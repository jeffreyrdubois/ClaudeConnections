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Backgammon" sheetId="2" r:id="rId5"/>
    <sheet state="visible" name="Average Rank" sheetId="3" r:id="rId6"/>
    <sheet state="visible" name="Odds" sheetId="4" r:id="rId7"/>
    <sheet state="visible" name="Monopoly Results" sheetId="5" r:id="rId8"/>
    <sheet state="visible" name="Overall Trend" sheetId="6" r:id="rId9"/>
    <sheet state="visible" name="Compared to Current Leader" sheetId="7" r:id="rId10"/>
    <sheet state="visible" name="Compared to Leader" sheetId="8" r:id="rId11"/>
    <sheet state="visible" name="Rob and Jeff" sheetId="9" r:id="rId12"/>
    <sheet state="visible" name="Chart10" sheetId="10" r:id="rId13"/>
  </sheets>
  <definedNames/>
  <calcPr/>
</workbook>
</file>

<file path=xl/sharedStrings.xml><?xml version="1.0" encoding="utf-8"?>
<sst xmlns="http://schemas.openxmlformats.org/spreadsheetml/2006/main" count="1217" uniqueCount="111">
  <si>
    <t>Game</t>
  </si>
  <si>
    <t>Board</t>
  </si>
  <si>
    <t>Date</t>
  </si>
  <si>
    <t>Players</t>
  </si>
  <si>
    <t>Jeffrey</t>
  </si>
  <si>
    <t>Robert</t>
  </si>
  <si>
    <t>Bobby</t>
  </si>
  <si>
    <t>Stephen</t>
  </si>
  <si>
    <t>Cory</t>
  </si>
  <si>
    <t>Chelsea</t>
  </si>
  <si>
    <t>Robin</t>
  </si>
  <si>
    <t>Marcus</t>
  </si>
  <si>
    <t>Spencer</t>
  </si>
  <si>
    <t>Syvaunti</t>
  </si>
  <si>
    <t>Rob Elrod</t>
  </si>
  <si>
    <t>Cayla</t>
  </si>
  <si>
    <t>Ethan</t>
  </si>
  <si>
    <t>Ruth</t>
  </si>
  <si>
    <t>Katie Zackarias</t>
  </si>
  <si>
    <t>John Zackarias</t>
  </si>
  <si>
    <t>Danielle</t>
  </si>
  <si>
    <t>Abby</t>
  </si>
  <si>
    <t>Georgia</t>
  </si>
  <si>
    <t>Carcassonne</t>
  </si>
  <si>
    <t>Unknown</t>
  </si>
  <si>
    <t>Dominion</t>
  </si>
  <si>
    <t>King of New York</t>
  </si>
  <si>
    <t>King of Tokyo</t>
  </si>
  <si>
    <t>Monopoly</t>
  </si>
  <si>
    <t>Unknown - Season 01</t>
  </si>
  <si>
    <t>Sheriff of Nottingham</t>
  </si>
  <si>
    <t>Snapshouts</t>
  </si>
  <si>
    <t>Terraforming Mars</t>
  </si>
  <si>
    <t>Ticket To Ride</t>
  </si>
  <si>
    <t>Wits and Wagers</t>
  </si>
  <si>
    <t>Yahtzee</t>
  </si>
  <si>
    <t>Europe</t>
  </si>
  <si>
    <t>Dutch Blitz</t>
  </si>
  <si>
    <t>Catan</t>
  </si>
  <si>
    <t>Ticket to Ride</t>
  </si>
  <si>
    <t>Chicken Foot</t>
  </si>
  <si>
    <t>Blue Board</t>
  </si>
  <si>
    <t>Nightmare Before Christmas</t>
  </si>
  <si>
    <t>Wood</t>
  </si>
  <si>
    <t>Standard</t>
  </si>
  <si>
    <t>Christmas Story</t>
  </si>
  <si>
    <t>Seafarers</t>
  </si>
  <si>
    <t>Green Board</t>
  </si>
  <si>
    <t>Blue</t>
  </si>
  <si>
    <t>Rick and Morty</t>
  </si>
  <si>
    <t>Nascar</t>
  </si>
  <si>
    <t xml:space="preserve">Standard </t>
  </si>
  <si>
    <t>Green</t>
  </si>
  <si>
    <t>Shut The Box</t>
  </si>
  <si>
    <t>Cribbage</t>
  </si>
  <si>
    <t>Inns</t>
  </si>
  <si>
    <t>Unstable Unicorns</t>
  </si>
  <si>
    <t>Christmas</t>
  </si>
  <si>
    <t>Helpers</t>
  </si>
  <si>
    <t>Rivers</t>
  </si>
  <si>
    <t>Scythe</t>
  </si>
  <si>
    <t>Wingspan</t>
  </si>
  <si>
    <t>Cubitos</t>
  </si>
  <si>
    <t>Still Waters Run Deep</t>
  </si>
  <si>
    <t>Testing the Waters</t>
  </si>
  <si>
    <t>Ahead of the curve</t>
  </si>
  <si>
    <t>Nothing Goes Right 2x</t>
  </si>
  <si>
    <t>Ahead of the Curve</t>
  </si>
  <si>
    <t>Azul</t>
  </si>
  <si>
    <t>Nothing Goes Right</t>
  </si>
  <si>
    <t>Bridges</t>
  </si>
  <si>
    <t>Quacks</t>
  </si>
  <si>
    <t>Chickenfoot</t>
  </si>
  <si>
    <t>5 Bookmark</t>
  </si>
  <si>
    <t>Viticulture</t>
  </si>
  <si>
    <t>Dark Edition</t>
  </si>
  <si>
    <t>Witches</t>
  </si>
  <si>
    <t>Classic</t>
  </si>
  <si>
    <t>Custom</t>
  </si>
  <si>
    <t>Sagrada</t>
  </si>
  <si>
    <t>Space Base</t>
  </si>
  <si>
    <t>Grand Finale</t>
  </si>
  <si>
    <t>Ark Nova</t>
  </si>
  <si>
    <t>Dark</t>
  </si>
  <si>
    <t>Wood - This game went to sudden Death - 40 Turn Playoff</t>
  </si>
  <si>
    <t>Race 7</t>
  </si>
  <si>
    <t>Nectar</t>
  </si>
  <si>
    <t>Map 0</t>
  </si>
  <si>
    <t>Blank</t>
  </si>
  <si>
    <t>Dice Forge</t>
  </si>
  <si>
    <t>Tuscany</t>
  </si>
  <si>
    <t>Planet X</t>
  </si>
  <si>
    <t>Beginner</t>
  </si>
  <si>
    <t>Terra Cimmeria</t>
  </si>
  <si>
    <t>Witches - 6</t>
  </si>
  <si>
    <t>Vastits Borealis</t>
  </si>
  <si>
    <t>Witches - 2</t>
  </si>
  <si>
    <t>Wood - Brightline</t>
  </si>
  <si>
    <t>Utopia Planet</t>
  </si>
  <si>
    <t>Witches - 4</t>
  </si>
  <si>
    <t>Standard (Dry Tortugas)</t>
  </si>
  <si>
    <t>Island Hopper</t>
  </si>
  <si>
    <t>Winner</t>
  </si>
  <si>
    <t>Loser</t>
  </si>
  <si>
    <t>Skunk</t>
  </si>
  <si>
    <t>Count</t>
  </si>
  <si>
    <t>Odds Against Any Opponent</t>
  </si>
  <si>
    <t>Rummikub</t>
  </si>
  <si>
    <t>With Criteria</t>
  </si>
  <si>
    <t>Number of Players</t>
  </si>
  <si>
    <t>Minimum Games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</si>
</sst>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%"/>
  </numFmts>
  <fonts count="5">
    <font>
      <sz val="10.0"/>
      <color rgb="FF000000"/>
      <name val="Arial"/>
    </font>
    <font/>
    <font>
      <b/>
    </font>
    <font>
      <b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1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0" fillId="0" fontId="1" numFmtId="2" xfId="0" applyFont="1" applyNumberFormat="1"/>
    <xf borderId="0" fillId="0" fontId="2" numFmtId="0" xfId="0" applyAlignment="1" applyFont="1">
      <alignment readingOrder="0"/>
    </xf>
    <xf borderId="0" fillId="0" fontId="1" numFmtId="165" xfId="0" applyFont="1" applyNumberFormat="1"/>
    <xf borderId="0" fillId="0" fontId="1" numFmtId="10" xfId="0" applyFont="1" applyNumberFormat="1"/>
    <xf borderId="0" fillId="0" fontId="3" numFmtId="0" xfId="0" applyAlignment="1" applyFont="1">
      <alignment readingOrder="0"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chartsheet" Target="chartsheets/sheet3.xml"/><Relationship Id="rId10" Type="http://schemas.openxmlformats.org/officeDocument/2006/relationships/chartsheet" Target="chartsheets/sheet2.xml"/><Relationship Id="rId13" Type="http://schemas.openxmlformats.org/officeDocument/2006/relationships/chartsheet" Target="chartsheets/sheet4.xml"/><Relationship Id="rId12" Type="http://schemas.openxmlformats.org/officeDocument/2006/relationships/worksheet" Target="worksheets/sheet6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chartsheet" Target="chart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Overall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'Monopoly Results'!$P$1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'Monopoly Results'!$O$2:$O$1000</c:f>
            </c:strRef>
          </c:cat>
          <c:val>
            <c:numRef>
              <c:f>'Monopoly Results'!$P$2:$P$1000</c:f>
              <c:numCache/>
            </c:numRef>
          </c:val>
          <c:smooth val="1"/>
        </c:ser>
        <c:ser>
          <c:idx val="1"/>
          <c:order val="1"/>
          <c:tx>
            <c:strRef>
              <c:f>'Monopoly Results'!$Q$1</c:f>
            </c:strRef>
          </c:tx>
          <c:spPr>
            <a:ln cmpd="sng" w="19050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'Monopoly Results'!$O$2:$O$1000</c:f>
            </c:strRef>
          </c:cat>
          <c:val>
            <c:numRef>
              <c:f>'Monopoly Results'!$Q$2:$Q$1000</c:f>
              <c:numCache/>
            </c:numRef>
          </c:val>
          <c:smooth val="1"/>
        </c:ser>
        <c:ser>
          <c:idx val="2"/>
          <c:order val="2"/>
          <c:tx>
            <c:strRef>
              <c:f>'Monopoly Results'!$R$1</c:f>
            </c:strRef>
          </c:tx>
          <c:spPr>
            <a:ln cmpd="sng" w="19050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'Monopoly Results'!$O$2:$O$1000</c:f>
            </c:strRef>
          </c:cat>
          <c:val>
            <c:numRef>
              <c:f>'Monopoly Results'!$R$2:$R$1000</c:f>
              <c:numCache/>
            </c:numRef>
          </c:val>
          <c:smooth val="1"/>
        </c:ser>
        <c:axId val="321638161"/>
        <c:axId val="389120286"/>
      </c:lineChart>
      <c:catAx>
        <c:axId val="321638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89120286"/>
      </c:catAx>
      <c:valAx>
        <c:axId val="389120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1638161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Compared to Current Leader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'Monopoly Results'!$V$1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'Monopoly Results'!$U$2:$U$1000</c:f>
            </c:strRef>
          </c:cat>
          <c:val>
            <c:numRef>
              <c:f>'Monopoly Results'!$V$2:$V$1000</c:f>
              <c:numCache/>
            </c:numRef>
          </c:val>
          <c:smooth val="1"/>
        </c:ser>
        <c:ser>
          <c:idx val="1"/>
          <c:order val="1"/>
          <c:tx>
            <c:strRef>
              <c:f>'Monopoly Results'!$W$1</c:f>
            </c:strRef>
          </c:tx>
          <c:spPr>
            <a:ln cmpd="sng" w="38100">
              <a:solidFill>
                <a:srgbClr val="DB4437"/>
              </a:solidFill>
            </a:ln>
          </c:spPr>
          <c:marker>
            <c:symbol val="circle"/>
            <c:size val="7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cat>
            <c:strRef>
              <c:f>'Monopoly Results'!$U$2:$U$1000</c:f>
            </c:strRef>
          </c:cat>
          <c:val>
            <c:numRef>
              <c:f>'Monopoly Results'!$W$2:$W$1000</c:f>
              <c:numCache/>
            </c:numRef>
          </c:val>
          <c:smooth val="1"/>
        </c:ser>
        <c:ser>
          <c:idx val="2"/>
          <c:order val="2"/>
          <c:tx>
            <c:strRef>
              <c:f>'Monopoly Results'!$X$1</c:f>
            </c:strRef>
          </c:tx>
          <c:spPr>
            <a:ln cmpd="sng" w="38100">
              <a:solidFill>
                <a:srgbClr val="F4B400"/>
              </a:solidFill>
            </a:ln>
          </c:spPr>
          <c:marker>
            <c:symbol val="circle"/>
            <c:size val="7"/>
            <c:spPr>
              <a:solidFill>
                <a:srgbClr val="F4B400"/>
              </a:solidFill>
              <a:ln cmpd="sng">
                <a:solidFill>
                  <a:srgbClr val="F4B400"/>
                </a:solidFill>
              </a:ln>
            </c:spPr>
          </c:marker>
          <c:cat>
            <c:strRef>
              <c:f>'Monopoly Results'!$U$2:$U$1000</c:f>
            </c:strRef>
          </c:cat>
          <c:val>
            <c:numRef>
              <c:f>'Monopoly Results'!$X$2:$X$1000</c:f>
              <c:numCache/>
            </c:numRef>
          </c:val>
          <c:smooth val="1"/>
        </c:ser>
        <c:axId val="1610422032"/>
        <c:axId val="1887564466"/>
      </c:lineChart>
      <c:catAx>
        <c:axId val="161042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7564466"/>
      </c:catAx>
      <c:valAx>
        <c:axId val="1887564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0422032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Compared to Leader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'Monopoly Results'!$AA$1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'Monopoly Results'!$Z$2:$Z$1000</c:f>
            </c:strRef>
          </c:cat>
          <c:val>
            <c:numRef>
              <c:f>'Monopoly Results'!$AA$2:$AA$1000</c:f>
              <c:numCache/>
            </c:numRef>
          </c:val>
          <c:smooth val="1"/>
        </c:ser>
        <c:ser>
          <c:idx val="1"/>
          <c:order val="1"/>
          <c:tx>
            <c:strRef>
              <c:f>'Monopoly Results'!$AB$1</c:f>
            </c:strRef>
          </c:tx>
          <c:spPr>
            <a:ln cmpd="sng" w="38100">
              <a:solidFill>
                <a:srgbClr val="DB4437"/>
              </a:solidFill>
            </a:ln>
          </c:spPr>
          <c:marker>
            <c:symbol val="circle"/>
            <c:size val="7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cat>
            <c:strRef>
              <c:f>'Monopoly Results'!$Z$2:$Z$1000</c:f>
            </c:strRef>
          </c:cat>
          <c:val>
            <c:numRef>
              <c:f>'Monopoly Results'!$AB$2:$AB$1000</c:f>
              <c:numCache/>
            </c:numRef>
          </c:val>
          <c:smooth val="1"/>
        </c:ser>
        <c:ser>
          <c:idx val="2"/>
          <c:order val="2"/>
          <c:tx>
            <c:strRef>
              <c:f>'Monopoly Results'!$AC$1</c:f>
            </c:strRef>
          </c:tx>
          <c:spPr>
            <a:ln cmpd="sng" w="38100">
              <a:solidFill>
                <a:srgbClr val="F4B400"/>
              </a:solidFill>
            </a:ln>
          </c:spPr>
          <c:marker>
            <c:symbol val="circle"/>
            <c:size val="7"/>
            <c:spPr>
              <a:solidFill>
                <a:srgbClr val="F4B400"/>
              </a:solidFill>
              <a:ln cmpd="sng">
                <a:solidFill>
                  <a:srgbClr val="F4B400"/>
                </a:solidFill>
              </a:ln>
            </c:spPr>
          </c:marker>
          <c:cat>
            <c:strRef>
              <c:f>'Monopoly Results'!$Z$2:$Z$1000</c:f>
            </c:strRef>
          </c:cat>
          <c:val>
            <c:numRef>
              <c:f>'Monopoly Results'!$AC$2:$AC$1000</c:f>
              <c:numCache/>
            </c:numRef>
          </c:val>
          <c:smooth val="1"/>
        </c:ser>
        <c:axId val="1000921887"/>
        <c:axId val="806292396"/>
      </c:lineChart>
      <c:catAx>
        <c:axId val="1000921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6292396"/>
      </c:catAx>
      <c:valAx>
        <c:axId val="806292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0921887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'Rob and Jeff'!$I$2:$I$317</c:f>
            </c:strRef>
          </c:cat>
          <c:val>
            <c:numRef>
              <c:f>'Rob and Jeff'!$J$2:$J$317</c:f>
              <c:numCache/>
            </c:numRef>
          </c:val>
          <c:smooth val="0"/>
        </c:ser>
        <c:axId val="201877915"/>
        <c:axId val="1603874410"/>
      </c:lineChart>
      <c:catAx>
        <c:axId val="201877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3874410"/>
      </c:catAx>
      <c:valAx>
        <c:axId val="1603874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877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2381250" cy="1466850"/>
    <xdr:pic>
      <xdr:nvPicPr>
        <xdr:cNvPr id="182133927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6.25"/>
    <col customWidth="1" min="2" max="2" width="23.63"/>
    <col customWidth="1" min="3" max="3" width="17.38"/>
    <col customWidth="1" min="4" max="4" width="8.75"/>
    <col customWidth="1" min="5" max="5" width="7.63"/>
    <col customWidth="1" min="6" max="6" width="6.75"/>
    <col customWidth="1" min="7" max="7" width="6.38"/>
    <col customWidth="1" min="8" max="8" width="7.0"/>
    <col customWidth="1" min="9" max="9" width="4.38"/>
    <col customWidth="1" min="10" max="10" width="6.88"/>
    <col customWidth="1" min="11" max="11" width="5.13"/>
    <col customWidth="1" min="12" max="12" width="6.38"/>
    <col customWidth="1" min="13" max="13" width="7.0"/>
    <col customWidth="1" min="14" max="14" width="7.13"/>
    <col customWidth="1" min="15" max="15" width="8.13"/>
    <col customWidth="1" min="16" max="16" width="5.13"/>
    <col customWidth="1" min="17" max="17" width="5.25"/>
    <col customWidth="1" min="18" max="18" width="4.3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3"/>
      <c r="C2" s="3">
        <v>43282.0</v>
      </c>
      <c r="D2" s="1">
        <f t="shared" ref="D2:D115" si="1">COUNT(E2:Z2)</f>
        <v>4</v>
      </c>
      <c r="E2" s="1">
        <v>2.0</v>
      </c>
      <c r="F2" s="1">
        <v>1.0</v>
      </c>
      <c r="G2" s="1">
        <v>3.0</v>
      </c>
      <c r="H2" s="1">
        <v>4.0</v>
      </c>
    </row>
    <row r="3">
      <c r="A3" s="1" t="s">
        <v>23</v>
      </c>
      <c r="B3" s="3"/>
      <c r="C3" s="3">
        <v>43285.0</v>
      </c>
      <c r="D3" s="1">
        <f t="shared" si="1"/>
        <v>4</v>
      </c>
      <c r="E3" s="1">
        <v>1.0</v>
      </c>
      <c r="F3" s="1">
        <v>2.0</v>
      </c>
      <c r="H3" s="1">
        <v>3.0</v>
      </c>
      <c r="I3" s="1">
        <v>4.0</v>
      </c>
    </row>
    <row r="4">
      <c r="A4" s="1" t="s">
        <v>23</v>
      </c>
      <c r="B4" s="3"/>
      <c r="C4" s="3">
        <v>43288.0</v>
      </c>
      <c r="D4" s="1">
        <f t="shared" si="1"/>
        <v>4</v>
      </c>
      <c r="E4" s="1">
        <v>2.0</v>
      </c>
      <c r="F4" s="1">
        <v>3.0</v>
      </c>
      <c r="K4" s="1">
        <v>1.0</v>
      </c>
      <c r="L4" s="1">
        <v>4.0</v>
      </c>
    </row>
    <row r="5">
      <c r="A5" s="1" t="s">
        <v>23</v>
      </c>
      <c r="B5" s="3"/>
      <c r="C5" s="3">
        <v>43296.0</v>
      </c>
      <c r="D5" s="1">
        <f t="shared" si="1"/>
        <v>3</v>
      </c>
      <c r="E5" s="1">
        <v>3.0</v>
      </c>
      <c r="F5" s="1">
        <v>1.0</v>
      </c>
      <c r="H5" s="1">
        <v>2.0</v>
      </c>
    </row>
    <row r="6">
      <c r="A6" s="1" t="s">
        <v>23</v>
      </c>
      <c r="B6" s="3"/>
      <c r="C6" s="3">
        <v>43317.0</v>
      </c>
      <c r="D6" s="1">
        <f t="shared" si="1"/>
        <v>4</v>
      </c>
      <c r="E6" s="1">
        <v>3.0</v>
      </c>
      <c r="F6" s="1">
        <v>4.0</v>
      </c>
      <c r="G6" s="1">
        <v>1.0</v>
      </c>
      <c r="H6" s="1">
        <v>2.0</v>
      </c>
    </row>
    <row r="7">
      <c r="A7" s="1" t="s">
        <v>23</v>
      </c>
      <c r="B7" s="3"/>
      <c r="C7" s="3" t="s">
        <v>24</v>
      </c>
      <c r="D7" s="1">
        <f t="shared" si="1"/>
        <v>5</v>
      </c>
      <c r="E7" s="1">
        <v>5.0</v>
      </c>
      <c r="F7" s="1">
        <v>4.0</v>
      </c>
      <c r="G7" s="1">
        <v>2.0</v>
      </c>
      <c r="H7" s="1">
        <v>1.0</v>
      </c>
      <c r="M7" s="1">
        <v>3.0</v>
      </c>
    </row>
    <row r="8">
      <c r="A8" s="1" t="s">
        <v>23</v>
      </c>
      <c r="B8" s="3"/>
      <c r="C8" s="3">
        <v>43421.0</v>
      </c>
      <c r="D8" s="1">
        <f t="shared" si="1"/>
        <v>3</v>
      </c>
      <c r="E8" s="1">
        <v>2.0</v>
      </c>
      <c r="F8" s="1">
        <v>1.0</v>
      </c>
      <c r="H8" s="1">
        <v>3.0</v>
      </c>
    </row>
    <row r="9">
      <c r="A9" s="1" t="s">
        <v>23</v>
      </c>
      <c r="B9" s="2"/>
      <c r="C9" s="2" t="s">
        <v>24</v>
      </c>
      <c r="D9" s="1">
        <f t="shared" si="1"/>
        <v>3</v>
      </c>
      <c r="E9" s="1">
        <v>2.0</v>
      </c>
      <c r="F9" s="1">
        <v>3.0</v>
      </c>
      <c r="H9" s="1">
        <v>1.0</v>
      </c>
    </row>
    <row r="10">
      <c r="A10" s="1" t="s">
        <v>23</v>
      </c>
      <c r="B10" s="2"/>
      <c r="C10" s="2" t="s">
        <v>24</v>
      </c>
      <c r="D10" s="1">
        <f t="shared" si="1"/>
        <v>3</v>
      </c>
      <c r="E10" s="1">
        <v>2.0</v>
      </c>
      <c r="F10" s="1">
        <v>1.0</v>
      </c>
      <c r="I10" s="1">
        <v>3.0</v>
      </c>
    </row>
    <row r="11">
      <c r="A11" s="1" t="s">
        <v>23</v>
      </c>
      <c r="B11" s="2"/>
      <c r="C11" s="2" t="s">
        <v>24</v>
      </c>
      <c r="D11" s="1">
        <f t="shared" si="1"/>
        <v>3</v>
      </c>
      <c r="E11" s="1">
        <v>2.0</v>
      </c>
      <c r="F11" s="1">
        <v>1.0</v>
      </c>
      <c r="G11" s="1">
        <v>3.0</v>
      </c>
    </row>
    <row r="12">
      <c r="A12" s="1" t="s">
        <v>23</v>
      </c>
      <c r="B12" s="3"/>
      <c r="C12" s="3">
        <v>43646.0</v>
      </c>
      <c r="D12" s="1">
        <f t="shared" si="1"/>
        <v>3</v>
      </c>
      <c r="E12" s="1">
        <v>3.0</v>
      </c>
      <c r="F12" s="1">
        <v>1.0</v>
      </c>
      <c r="H12" s="1">
        <v>2.0</v>
      </c>
    </row>
    <row r="13">
      <c r="A13" s="1" t="s">
        <v>25</v>
      </c>
      <c r="B13" s="3"/>
      <c r="C13" s="3">
        <v>43645.0</v>
      </c>
      <c r="D13" s="1">
        <f t="shared" si="1"/>
        <v>4</v>
      </c>
      <c r="E13" s="1">
        <v>2.0</v>
      </c>
      <c r="F13" s="1">
        <v>1.0</v>
      </c>
      <c r="H13" s="1">
        <v>4.0</v>
      </c>
      <c r="I13" s="1">
        <v>3.0</v>
      </c>
    </row>
    <row r="14">
      <c r="A14" s="1" t="s">
        <v>26</v>
      </c>
      <c r="B14" s="3"/>
      <c r="C14" s="3" t="s">
        <v>24</v>
      </c>
      <c r="D14" s="1">
        <f t="shared" si="1"/>
        <v>3</v>
      </c>
      <c r="E14" s="1">
        <v>3.0</v>
      </c>
      <c r="F14" s="1">
        <v>1.0</v>
      </c>
      <c r="H14" s="1">
        <v>2.0</v>
      </c>
    </row>
    <row r="15">
      <c r="A15" s="1" t="s">
        <v>26</v>
      </c>
      <c r="B15" s="3"/>
      <c r="C15" s="3" t="s">
        <v>24</v>
      </c>
      <c r="D15" s="1">
        <f t="shared" si="1"/>
        <v>3</v>
      </c>
      <c r="E15" s="1">
        <v>3.0</v>
      </c>
      <c r="F15" s="1">
        <v>1.0</v>
      </c>
      <c r="H15" s="1">
        <v>2.0</v>
      </c>
    </row>
    <row r="16">
      <c r="A16" s="1" t="s">
        <v>26</v>
      </c>
      <c r="B16" s="3"/>
      <c r="C16" s="3" t="s">
        <v>24</v>
      </c>
      <c r="D16" s="1">
        <f t="shared" si="1"/>
        <v>3</v>
      </c>
      <c r="E16" s="1">
        <v>2.0</v>
      </c>
      <c r="F16" s="1">
        <v>1.0</v>
      </c>
      <c r="H16" s="1">
        <v>3.0</v>
      </c>
    </row>
    <row r="17">
      <c r="A17" s="1" t="s">
        <v>26</v>
      </c>
      <c r="B17" s="3"/>
      <c r="C17" s="3" t="s">
        <v>24</v>
      </c>
      <c r="D17" s="1">
        <f t="shared" si="1"/>
        <v>3</v>
      </c>
      <c r="E17" s="1">
        <v>2.0</v>
      </c>
      <c r="F17" s="1">
        <v>1.0</v>
      </c>
      <c r="H17" s="1">
        <v>3.0</v>
      </c>
    </row>
    <row r="18">
      <c r="A18" s="1" t="s">
        <v>26</v>
      </c>
      <c r="B18" s="3"/>
      <c r="C18" s="3" t="s">
        <v>24</v>
      </c>
      <c r="D18" s="1">
        <f t="shared" si="1"/>
        <v>3</v>
      </c>
      <c r="E18" s="1">
        <v>2.0</v>
      </c>
      <c r="F18" s="1">
        <v>1.0</v>
      </c>
      <c r="H18" s="1">
        <v>3.0</v>
      </c>
    </row>
    <row r="19">
      <c r="A19" s="1" t="s">
        <v>26</v>
      </c>
      <c r="B19" s="3"/>
      <c r="C19" s="3" t="s">
        <v>24</v>
      </c>
      <c r="D19" s="1">
        <f t="shared" si="1"/>
        <v>3</v>
      </c>
      <c r="E19" s="1">
        <v>2.0</v>
      </c>
      <c r="F19" s="1">
        <v>1.0</v>
      </c>
      <c r="H19" s="1">
        <v>3.0</v>
      </c>
    </row>
    <row r="20">
      <c r="A20" s="1" t="s">
        <v>26</v>
      </c>
      <c r="B20" s="3"/>
      <c r="C20" s="3" t="s">
        <v>24</v>
      </c>
      <c r="D20" s="1">
        <f t="shared" si="1"/>
        <v>3</v>
      </c>
      <c r="E20" s="1">
        <v>1.0</v>
      </c>
      <c r="F20" s="1">
        <v>2.0</v>
      </c>
      <c r="H20" s="1">
        <v>3.0</v>
      </c>
    </row>
    <row r="21">
      <c r="A21" s="1" t="s">
        <v>26</v>
      </c>
      <c r="B21" s="3"/>
      <c r="C21" s="3" t="s">
        <v>24</v>
      </c>
      <c r="D21" s="1">
        <f t="shared" si="1"/>
        <v>3</v>
      </c>
      <c r="E21" s="1">
        <v>2.0</v>
      </c>
      <c r="F21" s="1">
        <v>3.0</v>
      </c>
      <c r="H21" s="1">
        <v>1.0</v>
      </c>
    </row>
    <row r="22">
      <c r="A22" s="1" t="s">
        <v>26</v>
      </c>
      <c r="B22" s="3"/>
      <c r="C22" s="3" t="s">
        <v>24</v>
      </c>
      <c r="D22" s="1">
        <f t="shared" si="1"/>
        <v>3</v>
      </c>
      <c r="E22" s="1">
        <v>3.0</v>
      </c>
      <c r="F22" s="1">
        <v>1.0</v>
      </c>
      <c r="H22" s="1">
        <v>2.0</v>
      </c>
    </row>
    <row r="23">
      <c r="A23" s="1" t="s">
        <v>26</v>
      </c>
      <c r="B23" s="3"/>
      <c r="C23" s="3" t="s">
        <v>24</v>
      </c>
      <c r="D23" s="1">
        <f t="shared" si="1"/>
        <v>3</v>
      </c>
      <c r="E23" s="1">
        <v>2.0</v>
      </c>
      <c r="F23" s="1">
        <v>1.0</v>
      </c>
      <c r="H23" s="1">
        <v>3.0</v>
      </c>
    </row>
    <row r="24">
      <c r="A24" s="1" t="s">
        <v>26</v>
      </c>
      <c r="B24" s="3"/>
      <c r="C24" s="3" t="s">
        <v>24</v>
      </c>
      <c r="D24" s="1">
        <f t="shared" si="1"/>
        <v>3</v>
      </c>
      <c r="E24" s="1">
        <v>2.0</v>
      </c>
      <c r="F24" s="1">
        <v>3.0</v>
      </c>
      <c r="H24" s="1">
        <v>1.0</v>
      </c>
    </row>
    <row r="25">
      <c r="A25" s="1" t="s">
        <v>26</v>
      </c>
      <c r="B25" s="3"/>
      <c r="C25" s="3" t="s">
        <v>24</v>
      </c>
      <c r="D25" s="1">
        <f t="shared" si="1"/>
        <v>3</v>
      </c>
      <c r="E25" s="1">
        <v>1.0</v>
      </c>
      <c r="F25" s="1">
        <v>2.0</v>
      </c>
      <c r="H25" s="1">
        <v>3.0</v>
      </c>
    </row>
    <row r="26">
      <c r="A26" s="1" t="s">
        <v>26</v>
      </c>
      <c r="B26" s="3"/>
      <c r="C26" s="3" t="s">
        <v>24</v>
      </c>
      <c r="D26" s="1">
        <f t="shared" si="1"/>
        <v>3</v>
      </c>
      <c r="E26" s="1">
        <v>3.0</v>
      </c>
      <c r="F26" s="1">
        <v>1.0</v>
      </c>
      <c r="H26" s="1">
        <v>2.0</v>
      </c>
    </row>
    <row r="27">
      <c r="A27" s="1" t="s">
        <v>26</v>
      </c>
      <c r="B27" s="3"/>
      <c r="C27" s="3" t="s">
        <v>24</v>
      </c>
      <c r="D27" s="1">
        <f t="shared" si="1"/>
        <v>3</v>
      </c>
      <c r="E27" s="1">
        <v>3.0</v>
      </c>
      <c r="F27" s="1">
        <v>2.0</v>
      </c>
      <c r="H27" s="1">
        <v>1.0</v>
      </c>
    </row>
    <row r="28">
      <c r="A28" s="1" t="s">
        <v>26</v>
      </c>
      <c r="B28" s="3"/>
      <c r="C28" s="3" t="s">
        <v>24</v>
      </c>
      <c r="D28" s="1">
        <f t="shared" si="1"/>
        <v>3</v>
      </c>
      <c r="E28" s="1">
        <v>1.0</v>
      </c>
      <c r="F28" s="1">
        <v>2.0</v>
      </c>
      <c r="H28" s="1">
        <v>3.0</v>
      </c>
    </row>
    <row r="29">
      <c r="A29" s="1" t="s">
        <v>26</v>
      </c>
      <c r="B29" s="3"/>
      <c r="C29" s="3" t="s">
        <v>24</v>
      </c>
      <c r="D29" s="1">
        <f t="shared" si="1"/>
        <v>3</v>
      </c>
      <c r="E29" s="1">
        <v>2.0</v>
      </c>
      <c r="F29" s="1">
        <v>1.0</v>
      </c>
      <c r="H29" s="1">
        <v>3.0</v>
      </c>
    </row>
    <row r="30">
      <c r="A30" s="1" t="s">
        <v>26</v>
      </c>
      <c r="B30" s="3"/>
      <c r="C30" s="3" t="s">
        <v>24</v>
      </c>
      <c r="D30" s="1">
        <f t="shared" si="1"/>
        <v>3</v>
      </c>
      <c r="E30" s="1">
        <v>1.0</v>
      </c>
      <c r="F30" s="1">
        <v>2.0</v>
      </c>
      <c r="H30" s="1">
        <v>3.0</v>
      </c>
    </row>
    <row r="31">
      <c r="A31" s="1" t="s">
        <v>26</v>
      </c>
      <c r="B31" s="3"/>
      <c r="C31" s="3" t="s">
        <v>24</v>
      </c>
      <c r="D31" s="1">
        <f t="shared" si="1"/>
        <v>3</v>
      </c>
      <c r="E31" s="1">
        <v>2.0</v>
      </c>
      <c r="F31" s="1">
        <v>3.0</v>
      </c>
      <c r="H31" s="1">
        <v>1.0</v>
      </c>
    </row>
    <row r="32">
      <c r="A32" s="1" t="s">
        <v>26</v>
      </c>
      <c r="B32" s="3"/>
      <c r="C32" s="3" t="s">
        <v>24</v>
      </c>
      <c r="D32" s="1">
        <f t="shared" si="1"/>
        <v>3</v>
      </c>
      <c r="E32" s="1">
        <v>2.0</v>
      </c>
      <c r="F32" s="1">
        <v>2.0</v>
      </c>
      <c r="H32" s="1">
        <v>1.0</v>
      </c>
    </row>
    <row r="33">
      <c r="A33" s="1" t="s">
        <v>26</v>
      </c>
      <c r="B33" s="3"/>
      <c r="C33" s="3" t="s">
        <v>24</v>
      </c>
      <c r="D33" s="1">
        <f t="shared" si="1"/>
        <v>3</v>
      </c>
      <c r="E33" s="1">
        <v>3.0</v>
      </c>
      <c r="F33" s="1">
        <v>2.0</v>
      </c>
      <c r="H33" s="1">
        <v>1.0</v>
      </c>
    </row>
    <row r="34">
      <c r="A34" s="1" t="s">
        <v>26</v>
      </c>
      <c r="B34" s="3"/>
      <c r="C34" s="3" t="s">
        <v>24</v>
      </c>
      <c r="D34" s="1">
        <f t="shared" si="1"/>
        <v>3</v>
      </c>
      <c r="E34" s="1">
        <v>1.0</v>
      </c>
      <c r="F34" s="1">
        <v>3.0</v>
      </c>
      <c r="H34" s="1">
        <v>2.0</v>
      </c>
    </row>
    <row r="35">
      <c r="A35" s="1" t="s">
        <v>26</v>
      </c>
      <c r="B35" s="3"/>
      <c r="C35" s="3" t="s">
        <v>24</v>
      </c>
      <c r="D35" s="1">
        <f t="shared" si="1"/>
        <v>3</v>
      </c>
      <c r="E35" s="1">
        <v>1.0</v>
      </c>
      <c r="F35" s="1">
        <v>2.0</v>
      </c>
      <c r="H35" s="1">
        <v>3.0</v>
      </c>
    </row>
    <row r="36">
      <c r="A36" s="1" t="s">
        <v>26</v>
      </c>
      <c r="B36" s="3"/>
      <c r="C36" s="3" t="s">
        <v>24</v>
      </c>
      <c r="D36" s="1">
        <f t="shared" si="1"/>
        <v>3</v>
      </c>
      <c r="E36" s="1">
        <v>1.0</v>
      </c>
      <c r="F36" s="1">
        <v>3.0</v>
      </c>
      <c r="H36" s="1">
        <v>2.0</v>
      </c>
    </row>
    <row r="37">
      <c r="A37" s="1" t="s">
        <v>26</v>
      </c>
      <c r="B37" s="3"/>
      <c r="C37" s="3" t="s">
        <v>24</v>
      </c>
      <c r="D37" s="1">
        <f t="shared" si="1"/>
        <v>3</v>
      </c>
      <c r="E37" s="1">
        <v>2.0</v>
      </c>
      <c r="F37" s="1">
        <v>1.0</v>
      </c>
      <c r="H37" s="1">
        <v>3.0</v>
      </c>
    </row>
    <row r="38">
      <c r="A38" s="1" t="s">
        <v>26</v>
      </c>
      <c r="B38" s="3"/>
      <c r="C38" s="3" t="s">
        <v>24</v>
      </c>
      <c r="D38" s="1">
        <f t="shared" si="1"/>
        <v>3</v>
      </c>
      <c r="E38" s="1">
        <v>2.0</v>
      </c>
      <c r="F38" s="1">
        <v>3.0</v>
      </c>
      <c r="H38" s="1">
        <v>1.0</v>
      </c>
    </row>
    <row r="39">
      <c r="A39" s="1" t="s">
        <v>26</v>
      </c>
      <c r="B39" s="3"/>
      <c r="C39" s="3" t="s">
        <v>24</v>
      </c>
      <c r="D39" s="1">
        <f t="shared" si="1"/>
        <v>3</v>
      </c>
      <c r="E39" s="1">
        <v>3.0</v>
      </c>
      <c r="F39" s="1">
        <v>2.0</v>
      </c>
      <c r="H39" s="1">
        <v>1.0</v>
      </c>
    </row>
    <row r="40">
      <c r="A40" s="1" t="s">
        <v>26</v>
      </c>
      <c r="B40" s="3"/>
      <c r="C40" s="3" t="s">
        <v>24</v>
      </c>
      <c r="D40" s="1">
        <f t="shared" si="1"/>
        <v>3</v>
      </c>
      <c r="E40" s="1">
        <v>2.0</v>
      </c>
      <c r="F40" s="1">
        <v>3.0</v>
      </c>
      <c r="H40" s="1">
        <v>1.0</v>
      </c>
    </row>
    <row r="41">
      <c r="A41" s="1" t="s">
        <v>26</v>
      </c>
      <c r="B41" s="3"/>
      <c r="C41" s="3" t="s">
        <v>24</v>
      </c>
      <c r="D41" s="1">
        <f t="shared" si="1"/>
        <v>3</v>
      </c>
      <c r="E41" s="1">
        <v>1.0</v>
      </c>
      <c r="F41" s="1">
        <v>2.0</v>
      </c>
      <c r="H41" s="1">
        <v>3.0</v>
      </c>
    </row>
    <row r="42">
      <c r="A42" s="1" t="s">
        <v>26</v>
      </c>
      <c r="B42" s="3"/>
      <c r="C42" s="3" t="s">
        <v>24</v>
      </c>
      <c r="D42" s="1">
        <f t="shared" si="1"/>
        <v>3</v>
      </c>
      <c r="E42" s="1">
        <v>1.0</v>
      </c>
      <c r="F42" s="1">
        <v>3.0</v>
      </c>
      <c r="H42" s="1">
        <v>2.0</v>
      </c>
    </row>
    <row r="43">
      <c r="A43" s="1" t="s">
        <v>26</v>
      </c>
      <c r="B43" s="3"/>
      <c r="C43" s="3" t="s">
        <v>24</v>
      </c>
      <c r="D43" s="1">
        <f t="shared" si="1"/>
        <v>3</v>
      </c>
      <c r="E43" s="1">
        <v>2.0</v>
      </c>
      <c r="F43" s="1">
        <v>3.0</v>
      </c>
      <c r="H43" s="1">
        <v>1.0</v>
      </c>
    </row>
    <row r="44">
      <c r="A44" s="1" t="s">
        <v>26</v>
      </c>
      <c r="B44" s="3"/>
      <c r="C44" s="3" t="s">
        <v>24</v>
      </c>
      <c r="D44" s="1">
        <f t="shared" si="1"/>
        <v>3</v>
      </c>
      <c r="E44" s="1">
        <v>1.0</v>
      </c>
      <c r="F44" s="1">
        <v>3.0</v>
      </c>
      <c r="H44" s="1">
        <v>2.0</v>
      </c>
    </row>
    <row r="45">
      <c r="A45" s="1" t="s">
        <v>26</v>
      </c>
      <c r="B45" s="3"/>
      <c r="C45" s="3" t="s">
        <v>24</v>
      </c>
      <c r="D45" s="1">
        <f t="shared" si="1"/>
        <v>3</v>
      </c>
      <c r="E45" s="1">
        <v>2.0</v>
      </c>
      <c r="F45" s="1">
        <v>3.0</v>
      </c>
      <c r="H45" s="1">
        <v>1.0</v>
      </c>
    </row>
    <row r="46">
      <c r="A46" s="1" t="s">
        <v>26</v>
      </c>
      <c r="B46" s="3"/>
      <c r="C46" s="3" t="s">
        <v>24</v>
      </c>
      <c r="D46" s="1">
        <f t="shared" si="1"/>
        <v>3</v>
      </c>
      <c r="E46" s="1">
        <v>1.0</v>
      </c>
      <c r="F46" s="1">
        <v>3.0</v>
      </c>
      <c r="H46" s="1">
        <v>2.0</v>
      </c>
    </row>
    <row r="47">
      <c r="A47" s="1" t="s">
        <v>26</v>
      </c>
      <c r="B47" s="3"/>
      <c r="C47" s="3" t="s">
        <v>24</v>
      </c>
      <c r="D47" s="1">
        <f t="shared" si="1"/>
        <v>4</v>
      </c>
      <c r="E47" s="1">
        <v>3.0</v>
      </c>
      <c r="F47" s="1">
        <v>1.0</v>
      </c>
      <c r="H47" s="1">
        <v>4.0</v>
      </c>
      <c r="I47" s="1">
        <v>2.0</v>
      </c>
    </row>
    <row r="48">
      <c r="A48" s="1" t="s">
        <v>26</v>
      </c>
      <c r="B48" s="3"/>
      <c r="C48" s="3">
        <v>43576.0</v>
      </c>
      <c r="D48" s="1">
        <f t="shared" si="1"/>
        <v>4</v>
      </c>
      <c r="E48" s="1">
        <v>4.0</v>
      </c>
      <c r="F48" s="1">
        <v>2.0</v>
      </c>
      <c r="H48" s="1">
        <v>3.0</v>
      </c>
      <c r="I48" s="1">
        <v>1.0</v>
      </c>
    </row>
    <row r="49">
      <c r="A49" s="1" t="s">
        <v>27</v>
      </c>
      <c r="B49" s="2"/>
      <c r="C49" s="2" t="s">
        <v>24</v>
      </c>
      <c r="D49" s="1">
        <f t="shared" si="1"/>
        <v>3</v>
      </c>
      <c r="E49" s="1">
        <v>3.0</v>
      </c>
      <c r="F49" s="1">
        <v>2.0</v>
      </c>
      <c r="H49" s="1">
        <v>1.0</v>
      </c>
    </row>
    <row r="50">
      <c r="A50" s="1" t="s">
        <v>27</v>
      </c>
      <c r="B50" s="2"/>
      <c r="C50" s="2" t="s">
        <v>24</v>
      </c>
      <c r="D50" s="1">
        <f t="shared" si="1"/>
        <v>3</v>
      </c>
      <c r="E50" s="1">
        <v>3.0</v>
      </c>
      <c r="F50" s="1">
        <v>1.0</v>
      </c>
      <c r="H50" s="1">
        <v>2.0</v>
      </c>
    </row>
    <row r="51">
      <c r="A51" s="1" t="s">
        <v>28</v>
      </c>
      <c r="B51" s="3"/>
      <c r="C51" s="3">
        <v>42763.0</v>
      </c>
      <c r="D51" s="1">
        <f t="shared" si="1"/>
        <v>4</v>
      </c>
      <c r="E51" s="1">
        <v>3.0</v>
      </c>
      <c r="F51" s="1">
        <v>4.0</v>
      </c>
      <c r="G51" s="1">
        <v>1.0</v>
      </c>
      <c r="J51" s="1">
        <v>2.0</v>
      </c>
    </row>
    <row r="52">
      <c r="A52" s="1" t="s">
        <v>28</v>
      </c>
      <c r="B52" s="3"/>
      <c r="C52" s="3">
        <v>42763.0</v>
      </c>
      <c r="D52" s="1">
        <f t="shared" si="1"/>
        <v>4</v>
      </c>
      <c r="E52" s="1">
        <v>1.0</v>
      </c>
      <c r="F52" s="1">
        <v>2.0</v>
      </c>
      <c r="G52" s="1">
        <v>4.0</v>
      </c>
      <c r="J52" s="1">
        <v>3.0</v>
      </c>
    </row>
    <row r="53">
      <c r="A53" s="1" t="s">
        <v>28</v>
      </c>
      <c r="B53" s="3"/>
      <c r="C53" s="3">
        <v>42764.0</v>
      </c>
      <c r="D53" s="1">
        <f t="shared" si="1"/>
        <v>4</v>
      </c>
      <c r="E53" s="1">
        <v>2.0</v>
      </c>
      <c r="F53" s="1">
        <v>3.0</v>
      </c>
      <c r="G53" s="1">
        <v>1.0</v>
      </c>
      <c r="J53" s="1">
        <v>4.0</v>
      </c>
    </row>
    <row r="54">
      <c r="A54" s="1" t="s">
        <v>28</v>
      </c>
      <c r="B54" s="3"/>
      <c r="C54" s="3">
        <v>42862.0</v>
      </c>
      <c r="D54" s="1">
        <f t="shared" si="1"/>
        <v>4</v>
      </c>
      <c r="E54" s="1">
        <v>3.0</v>
      </c>
      <c r="F54" s="1">
        <v>4.0</v>
      </c>
      <c r="G54" s="1">
        <v>2.0</v>
      </c>
      <c r="J54" s="1">
        <v>1.0</v>
      </c>
    </row>
    <row r="55">
      <c r="A55" s="1" t="s">
        <v>28</v>
      </c>
      <c r="B55" s="3"/>
      <c r="C55" s="3">
        <v>43002.0</v>
      </c>
      <c r="D55" s="1">
        <f t="shared" si="1"/>
        <v>3</v>
      </c>
      <c r="E55" s="1">
        <v>2.0</v>
      </c>
      <c r="F55" s="1">
        <v>3.0</v>
      </c>
      <c r="G55" s="1">
        <v>1.0</v>
      </c>
    </row>
    <row r="56">
      <c r="A56" s="1" t="s">
        <v>28</v>
      </c>
      <c r="B56" s="3"/>
      <c r="C56" s="3">
        <v>43005.0</v>
      </c>
      <c r="D56" s="1">
        <f t="shared" si="1"/>
        <v>3</v>
      </c>
      <c r="E56" s="1">
        <v>3.0</v>
      </c>
      <c r="F56" s="1">
        <v>1.0</v>
      </c>
      <c r="G56" s="1">
        <v>2.0</v>
      </c>
    </row>
    <row r="57">
      <c r="A57" s="1" t="s">
        <v>28</v>
      </c>
      <c r="B57" s="3"/>
      <c r="C57" s="3">
        <v>43018.0</v>
      </c>
      <c r="D57" s="1">
        <f t="shared" si="1"/>
        <v>3</v>
      </c>
      <c r="E57" s="1">
        <v>1.0</v>
      </c>
      <c r="F57" s="1">
        <v>3.0</v>
      </c>
      <c r="G57" s="1">
        <v>2.0</v>
      </c>
    </row>
    <row r="58">
      <c r="A58" s="1" t="s">
        <v>28</v>
      </c>
      <c r="B58" s="3"/>
      <c r="C58" s="3">
        <v>43034.0</v>
      </c>
      <c r="D58" s="1">
        <f t="shared" si="1"/>
        <v>3</v>
      </c>
      <c r="E58" s="1">
        <v>1.0</v>
      </c>
      <c r="F58" s="1">
        <v>3.0</v>
      </c>
      <c r="G58" s="1">
        <v>2.0</v>
      </c>
    </row>
    <row r="59">
      <c r="A59" s="1" t="s">
        <v>28</v>
      </c>
      <c r="B59" s="3"/>
      <c r="C59" s="3">
        <v>43037.0</v>
      </c>
      <c r="D59" s="1">
        <f t="shared" si="1"/>
        <v>3</v>
      </c>
      <c r="E59" s="1">
        <v>2.0</v>
      </c>
      <c r="F59" s="1">
        <v>3.0</v>
      </c>
      <c r="G59" s="1">
        <v>1.0</v>
      </c>
    </row>
    <row r="60">
      <c r="A60" s="1" t="s">
        <v>28</v>
      </c>
      <c r="B60" s="3"/>
      <c r="C60" s="3">
        <v>43041.0</v>
      </c>
      <c r="D60" s="1">
        <f t="shared" si="1"/>
        <v>3</v>
      </c>
      <c r="E60" s="1">
        <v>2.0</v>
      </c>
      <c r="F60" s="1">
        <v>3.0</v>
      </c>
      <c r="G60" s="1">
        <v>1.0</v>
      </c>
    </row>
    <row r="61">
      <c r="A61" s="1" t="s">
        <v>28</v>
      </c>
      <c r="B61" s="3"/>
      <c r="C61" s="3">
        <v>43044.0</v>
      </c>
      <c r="D61" s="1">
        <f t="shared" si="1"/>
        <v>3</v>
      </c>
      <c r="E61" s="1">
        <v>1.0</v>
      </c>
      <c r="F61" s="1">
        <v>3.0</v>
      </c>
      <c r="G61" s="1">
        <v>2.0</v>
      </c>
    </row>
    <row r="62">
      <c r="A62" s="1" t="s">
        <v>28</v>
      </c>
      <c r="B62" s="3"/>
      <c r="C62" s="3">
        <v>43046.0</v>
      </c>
      <c r="D62" s="1">
        <f t="shared" si="1"/>
        <v>3</v>
      </c>
      <c r="E62" s="1">
        <v>4.0</v>
      </c>
      <c r="F62" s="1">
        <v>2.0</v>
      </c>
      <c r="G62" s="1">
        <v>3.0</v>
      </c>
    </row>
    <row r="63">
      <c r="A63" s="1" t="s">
        <v>28</v>
      </c>
      <c r="B63" s="3"/>
      <c r="C63" s="3">
        <v>43055.0</v>
      </c>
      <c r="D63" s="1">
        <f t="shared" si="1"/>
        <v>3</v>
      </c>
      <c r="E63" s="1">
        <v>4.0</v>
      </c>
      <c r="F63" s="1">
        <v>3.0</v>
      </c>
      <c r="G63" s="1">
        <v>1.0</v>
      </c>
    </row>
    <row r="64">
      <c r="A64" s="1" t="s">
        <v>28</v>
      </c>
      <c r="B64" s="3"/>
      <c r="C64" s="3">
        <v>43057.0</v>
      </c>
      <c r="D64" s="1">
        <f t="shared" si="1"/>
        <v>3</v>
      </c>
      <c r="E64" s="1">
        <v>3.0</v>
      </c>
      <c r="F64" s="1">
        <v>1.0</v>
      </c>
      <c r="G64" s="1">
        <v>4.0</v>
      </c>
    </row>
    <row r="65">
      <c r="A65" s="1" t="s">
        <v>28</v>
      </c>
      <c r="B65" s="3"/>
      <c r="C65" s="3">
        <v>43065.0</v>
      </c>
      <c r="D65" s="1">
        <f t="shared" si="1"/>
        <v>3</v>
      </c>
      <c r="E65" s="1">
        <v>4.0</v>
      </c>
      <c r="F65" s="1">
        <v>2.0</v>
      </c>
      <c r="G65" s="1">
        <v>1.0</v>
      </c>
    </row>
    <row r="66">
      <c r="A66" s="1" t="s">
        <v>28</v>
      </c>
      <c r="B66" s="3"/>
      <c r="C66" s="3">
        <v>43069.0</v>
      </c>
      <c r="D66" s="1">
        <f t="shared" si="1"/>
        <v>3</v>
      </c>
      <c r="E66" s="1">
        <v>3.0</v>
      </c>
      <c r="F66" s="1">
        <v>1.0</v>
      </c>
      <c r="G66" s="1">
        <v>2.0</v>
      </c>
    </row>
    <row r="67">
      <c r="A67" s="1" t="s">
        <v>28</v>
      </c>
      <c r="B67" s="3"/>
      <c r="C67" s="3">
        <v>43072.0</v>
      </c>
      <c r="D67" s="1">
        <f t="shared" si="1"/>
        <v>3</v>
      </c>
      <c r="E67" s="1">
        <v>1.0</v>
      </c>
      <c r="F67" s="1">
        <v>3.0</v>
      </c>
      <c r="G67" s="1">
        <v>4.0</v>
      </c>
    </row>
    <row r="68">
      <c r="A68" s="1" t="s">
        <v>28</v>
      </c>
      <c r="B68" s="3"/>
      <c r="C68" s="3">
        <v>43076.0</v>
      </c>
      <c r="D68" s="1">
        <f t="shared" si="1"/>
        <v>3</v>
      </c>
      <c r="E68" s="1">
        <v>2.0</v>
      </c>
      <c r="F68" s="1">
        <v>1.0</v>
      </c>
      <c r="G68" s="1">
        <v>3.0</v>
      </c>
    </row>
    <row r="69">
      <c r="A69" s="1" t="s">
        <v>28</v>
      </c>
      <c r="B69" s="3"/>
      <c r="C69" s="3">
        <v>43090.0</v>
      </c>
      <c r="D69" s="1">
        <f t="shared" si="1"/>
        <v>3</v>
      </c>
      <c r="E69" s="1">
        <v>1.0</v>
      </c>
      <c r="F69" s="1">
        <v>3.0</v>
      </c>
      <c r="G69" s="1">
        <v>2.0</v>
      </c>
    </row>
    <row r="70">
      <c r="A70" s="1" t="s">
        <v>28</v>
      </c>
      <c r="B70" s="3"/>
      <c r="C70" s="3">
        <v>43093.0</v>
      </c>
      <c r="D70" s="1">
        <f t="shared" si="1"/>
        <v>3</v>
      </c>
      <c r="E70" s="1">
        <v>3.0</v>
      </c>
      <c r="F70" s="1">
        <v>1.0</v>
      </c>
      <c r="G70" s="1">
        <v>2.0</v>
      </c>
    </row>
    <row r="71">
      <c r="A71" s="1" t="s">
        <v>28</v>
      </c>
      <c r="B71" s="3"/>
      <c r="C71" s="3">
        <v>43095.0</v>
      </c>
      <c r="D71" s="1">
        <f t="shared" si="1"/>
        <v>3</v>
      </c>
      <c r="E71" s="1">
        <v>1.0</v>
      </c>
      <c r="F71" s="1">
        <v>2.0</v>
      </c>
      <c r="G71" s="1">
        <v>3.0</v>
      </c>
    </row>
    <row r="72">
      <c r="A72" s="1" t="s">
        <v>28</v>
      </c>
      <c r="B72" s="3"/>
      <c r="C72" s="3">
        <v>43097.0</v>
      </c>
      <c r="D72" s="1">
        <f t="shared" si="1"/>
        <v>3</v>
      </c>
      <c r="E72" s="1">
        <v>3.0</v>
      </c>
      <c r="F72" s="1">
        <v>2.0</v>
      </c>
      <c r="G72" s="1">
        <v>1.0</v>
      </c>
    </row>
    <row r="73">
      <c r="A73" s="1" t="s">
        <v>28</v>
      </c>
      <c r="B73" s="3"/>
      <c r="C73" s="3">
        <v>43101.0</v>
      </c>
      <c r="D73" s="1">
        <f t="shared" si="1"/>
        <v>3</v>
      </c>
      <c r="E73" s="1">
        <v>2.0</v>
      </c>
      <c r="F73" s="1">
        <v>3.0</v>
      </c>
      <c r="G73" s="1">
        <v>1.0</v>
      </c>
    </row>
    <row r="74">
      <c r="A74" s="1" t="s">
        <v>28</v>
      </c>
      <c r="B74" s="3"/>
      <c r="C74" s="3">
        <v>43114.0</v>
      </c>
      <c r="D74" s="1">
        <f t="shared" si="1"/>
        <v>3</v>
      </c>
      <c r="E74" s="1">
        <v>1.0</v>
      </c>
      <c r="F74" s="1">
        <v>3.0</v>
      </c>
      <c r="G74" s="1">
        <v>2.0</v>
      </c>
    </row>
    <row r="75">
      <c r="A75" s="1" t="s">
        <v>28</v>
      </c>
      <c r="B75" s="3"/>
      <c r="C75" s="3">
        <v>43119.0</v>
      </c>
      <c r="D75" s="1">
        <f t="shared" si="1"/>
        <v>3</v>
      </c>
      <c r="E75" s="1">
        <v>2.0</v>
      </c>
      <c r="F75" s="1">
        <v>3.0</v>
      </c>
      <c r="G75" s="1">
        <v>1.0</v>
      </c>
    </row>
    <row r="76">
      <c r="A76" s="1" t="s">
        <v>28</v>
      </c>
      <c r="B76" s="3"/>
      <c r="C76" s="3">
        <v>43126.0</v>
      </c>
      <c r="D76" s="1">
        <f t="shared" si="1"/>
        <v>3</v>
      </c>
      <c r="E76" s="1">
        <v>3.0</v>
      </c>
      <c r="F76" s="1">
        <v>1.0</v>
      </c>
      <c r="G76" s="1">
        <v>2.0</v>
      </c>
    </row>
    <row r="77">
      <c r="A77" s="1" t="s">
        <v>28</v>
      </c>
      <c r="B77" s="3"/>
      <c r="C77" s="3">
        <v>43127.0</v>
      </c>
      <c r="D77" s="1">
        <f t="shared" si="1"/>
        <v>3</v>
      </c>
      <c r="E77" s="1">
        <v>1.0</v>
      </c>
      <c r="F77" s="1">
        <v>3.0</v>
      </c>
      <c r="G77" s="1">
        <v>2.0</v>
      </c>
    </row>
    <row r="78">
      <c r="A78" s="1" t="s">
        <v>28</v>
      </c>
      <c r="B78" s="3"/>
      <c r="C78" s="3">
        <v>43132.0</v>
      </c>
      <c r="D78" s="1">
        <f t="shared" si="1"/>
        <v>3</v>
      </c>
      <c r="E78" s="1">
        <v>3.0</v>
      </c>
      <c r="F78" s="1">
        <v>2.0</v>
      </c>
      <c r="G78" s="1">
        <v>1.0</v>
      </c>
    </row>
    <row r="79">
      <c r="A79" s="1" t="s">
        <v>28</v>
      </c>
      <c r="B79" s="3"/>
      <c r="C79" s="3">
        <v>43158.0</v>
      </c>
      <c r="D79" s="1">
        <f t="shared" si="1"/>
        <v>3</v>
      </c>
      <c r="E79" s="1">
        <v>2.0</v>
      </c>
      <c r="F79" s="1">
        <v>3.0</v>
      </c>
      <c r="G79" s="1">
        <v>1.0</v>
      </c>
    </row>
    <row r="80">
      <c r="A80" s="1" t="s">
        <v>28</v>
      </c>
      <c r="B80" s="3"/>
      <c r="C80" s="3">
        <v>43167.0</v>
      </c>
      <c r="D80" s="1">
        <f t="shared" si="1"/>
        <v>3</v>
      </c>
      <c r="E80" s="1">
        <v>2.0</v>
      </c>
      <c r="F80" s="1">
        <v>3.0</v>
      </c>
      <c r="G80" s="1">
        <v>1.0</v>
      </c>
    </row>
    <row r="81">
      <c r="A81" s="1" t="s">
        <v>28</v>
      </c>
      <c r="B81" s="3"/>
      <c r="C81" s="3">
        <v>43188.0</v>
      </c>
      <c r="D81" s="1">
        <f t="shared" si="1"/>
        <v>3</v>
      </c>
      <c r="E81" s="1">
        <v>1.0</v>
      </c>
      <c r="F81" s="1">
        <v>3.0</v>
      </c>
      <c r="G81" s="1">
        <v>2.0</v>
      </c>
    </row>
    <row r="82">
      <c r="A82" s="1" t="s">
        <v>28</v>
      </c>
      <c r="B82" s="3"/>
      <c r="C82" s="3">
        <v>43193.0</v>
      </c>
      <c r="D82" s="1">
        <f t="shared" si="1"/>
        <v>3</v>
      </c>
      <c r="E82" s="1">
        <v>1.0</v>
      </c>
      <c r="F82" s="1">
        <v>3.0</v>
      </c>
      <c r="G82" s="1">
        <v>2.0</v>
      </c>
    </row>
    <row r="83">
      <c r="A83" s="1" t="s">
        <v>28</v>
      </c>
      <c r="B83" s="3"/>
      <c r="C83" s="3">
        <v>43268.0</v>
      </c>
      <c r="D83" s="1">
        <f t="shared" si="1"/>
        <v>3</v>
      </c>
      <c r="E83" s="1">
        <v>3.0</v>
      </c>
      <c r="F83" s="1">
        <v>1.0</v>
      </c>
      <c r="G83" s="1">
        <v>2.0</v>
      </c>
    </row>
    <row r="84">
      <c r="A84" s="1" t="s">
        <v>28</v>
      </c>
      <c r="B84" s="3"/>
      <c r="C84" s="3">
        <v>43287.0</v>
      </c>
      <c r="D84" s="1">
        <f t="shared" si="1"/>
        <v>3</v>
      </c>
      <c r="E84" s="1">
        <v>2.0</v>
      </c>
      <c r="F84" s="1">
        <v>1.0</v>
      </c>
      <c r="G84" s="1">
        <v>3.0</v>
      </c>
    </row>
    <row r="85">
      <c r="A85" s="1" t="s">
        <v>28</v>
      </c>
      <c r="B85" s="3"/>
      <c r="C85" s="3">
        <v>43310.0</v>
      </c>
      <c r="D85" s="1">
        <f t="shared" si="1"/>
        <v>3</v>
      </c>
      <c r="E85" s="1">
        <v>2.0</v>
      </c>
      <c r="F85" s="1">
        <v>3.0</v>
      </c>
      <c r="G85" s="1">
        <v>1.0</v>
      </c>
    </row>
    <row r="86">
      <c r="A86" s="1" t="s">
        <v>28</v>
      </c>
      <c r="B86" s="3"/>
      <c r="C86" s="3">
        <v>43330.0</v>
      </c>
      <c r="D86" s="1">
        <f t="shared" si="1"/>
        <v>3</v>
      </c>
      <c r="E86" s="1">
        <v>3.0</v>
      </c>
      <c r="F86" s="1">
        <v>1.0</v>
      </c>
      <c r="H86" s="1">
        <v>2.0</v>
      </c>
    </row>
    <row r="87">
      <c r="A87" s="1" t="s">
        <v>28</v>
      </c>
      <c r="B87" s="3"/>
      <c r="C87" s="3">
        <v>43352.0</v>
      </c>
      <c r="D87" s="1">
        <f t="shared" si="1"/>
        <v>4</v>
      </c>
      <c r="E87" s="1">
        <v>4.0</v>
      </c>
      <c r="F87" s="1">
        <v>1.0</v>
      </c>
      <c r="G87" s="1">
        <v>3.0</v>
      </c>
      <c r="H87" s="1">
        <v>2.0</v>
      </c>
    </row>
    <row r="88">
      <c r="A88" s="1" t="s">
        <v>28</v>
      </c>
      <c r="B88" s="3"/>
      <c r="C88" s="3">
        <v>43427.0</v>
      </c>
      <c r="D88" s="1">
        <f t="shared" si="1"/>
        <v>3</v>
      </c>
      <c r="E88" s="1">
        <v>3.0</v>
      </c>
      <c r="F88" s="1">
        <v>1.0</v>
      </c>
      <c r="G88" s="1">
        <v>2.0</v>
      </c>
    </row>
    <row r="89">
      <c r="A89" s="1" t="s">
        <v>28</v>
      </c>
      <c r="B89" s="3"/>
      <c r="C89" s="3">
        <v>43458.0</v>
      </c>
      <c r="D89" s="1">
        <f t="shared" si="1"/>
        <v>3</v>
      </c>
      <c r="E89" s="1">
        <v>1.0</v>
      </c>
      <c r="F89" s="1">
        <v>3.0</v>
      </c>
      <c r="G89" s="1">
        <v>2.0</v>
      </c>
    </row>
    <row r="90">
      <c r="A90" s="1" t="s">
        <v>28</v>
      </c>
      <c r="B90" s="3"/>
      <c r="C90" s="3">
        <v>43506.0</v>
      </c>
      <c r="D90" s="1">
        <f t="shared" si="1"/>
        <v>3</v>
      </c>
      <c r="E90" s="1">
        <v>1.0</v>
      </c>
      <c r="F90" s="1">
        <v>2.0</v>
      </c>
      <c r="G90" s="1">
        <v>3.0</v>
      </c>
    </row>
    <row r="91">
      <c r="A91" s="1" t="s">
        <v>28</v>
      </c>
      <c r="B91" s="3"/>
      <c r="C91" s="3">
        <v>43538.0</v>
      </c>
      <c r="D91" s="1">
        <f t="shared" si="1"/>
        <v>3</v>
      </c>
      <c r="E91" s="1">
        <v>1.0</v>
      </c>
      <c r="F91" s="1">
        <v>2.0</v>
      </c>
      <c r="G91" s="1">
        <v>3.0</v>
      </c>
    </row>
    <row r="92">
      <c r="A92" s="1" t="s">
        <v>28</v>
      </c>
      <c r="B92" s="3"/>
      <c r="C92" s="3">
        <v>43548.0</v>
      </c>
      <c r="D92" s="1">
        <f t="shared" si="1"/>
        <v>3</v>
      </c>
      <c r="E92" s="1">
        <v>1.0</v>
      </c>
      <c r="F92" s="1">
        <v>3.0</v>
      </c>
      <c r="G92" s="1">
        <v>2.0</v>
      </c>
    </row>
    <row r="93">
      <c r="A93" s="1" t="s">
        <v>28</v>
      </c>
      <c r="B93" s="3"/>
      <c r="C93" s="3">
        <v>43625.0</v>
      </c>
      <c r="D93" s="1">
        <f t="shared" si="1"/>
        <v>3</v>
      </c>
      <c r="E93" s="1">
        <v>3.0</v>
      </c>
      <c r="F93" s="1">
        <v>2.0</v>
      </c>
      <c r="G93" s="1">
        <v>1.0</v>
      </c>
    </row>
    <row r="94">
      <c r="A94" s="1" t="s">
        <v>28</v>
      </c>
      <c r="B94" s="3"/>
      <c r="C94" s="3">
        <v>43632.0</v>
      </c>
      <c r="D94" s="1">
        <f t="shared" si="1"/>
        <v>3</v>
      </c>
      <c r="E94" s="1">
        <v>1.0</v>
      </c>
      <c r="F94" s="1">
        <v>2.0</v>
      </c>
      <c r="G94" s="1">
        <v>3.0</v>
      </c>
    </row>
    <row r="95">
      <c r="A95" s="1" t="s">
        <v>28</v>
      </c>
      <c r="B95" s="3"/>
      <c r="C95" s="3">
        <v>43646.0</v>
      </c>
      <c r="D95" s="1">
        <f t="shared" si="1"/>
        <v>3</v>
      </c>
      <c r="E95" s="1">
        <v>2.0</v>
      </c>
      <c r="F95" s="1">
        <v>3.0</v>
      </c>
      <c r="G95" s="1">
        <v>1.0</v>
      </c>
    </row>
    <row r="96">
      <c r="A96" s="1" t="s">
        <v>28</v>
      </c>
      <c r="B96" s="3"/>
      <c r="C96" s="3">
        <v>43650.0</v>
      </c>
      <c r="D96" s="1">
        <f t="shared" si="1"/>
        <v>3</v>
      </c>
      <c r="E96" s="1">
        <v>3.0</v>
      </c>
      <c r="F96" s="1">
        <v>2.0</v>
      </c>
      <c r="G96" s="1">
        <v>1.0</v>
      </c>
    </row>
    <row r="97">
      <c r="A97" s="1" t="s">
        <v>28</v>
      </c>
      <c r="B97" s="3"/>
      <c r="C97" s="3">
        <v>43651.0</v>
      </c>
      <c r="D97" s="1">
        <f t="shared" si="1"/>
        <v>3</v>
      </c>
      <c r="E97" s="1">
        <v>3.0</v>
      </c>
      <c r="F97" s="1">
        <v>1.0</v>
      </c>
      <c r="G97" s="1">
        <v>2.0</v>
      </c>
    </row>
    <row r="98">
      <c r="A98" s="1" t="s">
        <v>28</v>
      </c>
      <c r="B98" s="3"/>
      <c r="C98" s="3">
        <v>43660.0</v>
      </c>
      <c r="D98" s="1">
        <f t="shared" si="1"/>
        <v>3</v>
      </c>
      <c r="E98" s="1">
        <v>1.0</v>
      </c>
      <c r="F98" s="1">
        <v>3.0</v>
      </c>
      <c r="G98" s="1">
        <v>2.0</v>
      </c>
    </row>
    <row r="99">
      <c r="A99" s="1" t="s">
        <v>28</v>
      </c>
      <c r="B99" s="3"/>
      <c r="C99" s="3">
        <v>43667.0</v>
      </c>
      <c r="D99" s="1">
        <f t="shared" si="1"/>
        <v>3</v>
      </c>
      <c r="E99" s="1">
        <v>3.0</v>
      </c>
      <c r="F99" s="1">
        <v>2.0</v>
      </c>
      <c r="G99" s="1">
        <v>1.0</v>
      </c>
    </row>
    <row r="100">
      <c r="A100" s="1" t="s">
        <v>28</v>
      </c>
      <c r="B100" s="3"/>
      <c r="C100" s="3">
        <v>43681.0</v>
      </c>
      <c r="D100" s="1">
        <f t="shared" si="1"/>
        <v>3</v>
      </c>
      <c r="E100" s="1">
        <v>3.0</v>
      </c>
      <c r="F100" s="1">
        <v>2.0</v>
      </c>
      <c r="G100" s="1">
        <v>1.0</v>
      </c>
    </row>
    <row r="101">
      <c r="A101" s="1" t="s">
        <v>28</v>
      </c>
      <c r="B101" s="3"/>
      <c r="C101" s="3">
        <v>43688.0</v>
      </c>
      <c r="D101" s="1">
        <f t="shared" si="1"/>
        <v>3</v>
      </c>
      <c r="E101" s="1">
        <v>2.0</v>
      </c>
      <c r="F101" s="1">
        <v>3.0</v>
      </c>
      <c r="G101" s="1">
        <v>1.0</v>
      </c>
    </row>
    <row r="102">
      <c r="A102" s="1" t="s">
        <v>28</v>
      </c>
      <c r="B102" s="3"/>
      <c r="C102" s="3">
        <v>42532.0</v>
      </c>
      <c r="D102" s="1">
        <f t="shared" si="1"/>
        <v>4</v>
      </c>
      <c r="E102" s="1">
        <v>2.0</v>
      </c>
      <c r="F102" s="1">
        <v>1.0</v>
      </c>
      <c r="G102" s="1">
        <v>4.0</v>
      </c>
      <c r="J102" s="1">
        <v>3.0</v>
      </c>
    </row>
    <row r="103">
      <c r="A103" s="1" t="s">
        <v>28</v>
      </c>
      <c r="B103" s="3"/>
      <c r="C103" s="3">
        <v>42532.0</v>
      </c>
      <c r="D103" s="1">
        <f t="shared" si="1"/>
        <v>4</v>
      </c>
      <c r="E103" s="1">
        <v>3.0</v>
      </c>
      <c r="F103" s="1">
        <v>2.0</v>
      </c>
      <c r="G103" s="1">
        <v>1.0</v>
      </c>
      <c r="J103" s="1">
        <v>4.0</v>
      </c>
    </row>
    <row r="104">
      <c r="A104" s="1" t="s">
        <v>28</v>
      </c>
      <c r="B104" s="3"/>
      <c r="C104" s="3">
        <v>42533.0</v>
      </c>
      <c r="D104" s="1">
        <f t="shared" si="1"/>
        <v>4</v>
      </c>
      <c r="E104" s="1">
        <v>3.0</v>
      </c>
      <c r="F104" s="1">
        <v>1.0</v>
      </c>
      <c r="G104" s="1">
        <v>2.0</v>
      </c>
      <c r="J104" s="1">
        <v>4.0</v>
      </c>
    </row>
    <row r="105">
      <c r="A105" s="1" t="s">
        <v>28</v>
      </c>
      <c r="B105" s="3"/>
      <c r="C105" s="3">
        <v>42535.0</v>
      </c>
      <c r="D105" s="1">
        <f t="shared" si="1"/>
        <v>4</v>
      </c>
      <c r="E105" s="1">
        <v>4.0</v>
      </c>
      <c r="F105" s="1">
        <v>3.0</v>
      </c>
      <c r="G105" s="1">
        <v>2.0</v>
      </c>
      <c r="J105" s="1">
        <v>1.0</v>
      </c>
    </row>
    <row r="106">
      <c r="A106" s="1" t="s">
        <v>28</v>
      </c>
      <c r="B106" s="3"/>
      <c r="C106" s="3">
        <v>42547.0</v>
      </c>
      <c r="D106" s="1">
        <f t="shared" si="1"/>
        <v>4</v>
      </c>
      <c r="E106" s="1">
        <v>1.0</v>
      </c>
      <c r="F106" s="1">
        <v>2.0</v>
      </c>
      <c r="G106" s="1">
        <v>4.0</v>
      </c>
      <c r="J106" s="1">
        <v>3.0</v>
      </c>
    </row>
    <row r="107">
      <c r="A107" s="1" t="s">
        <v>28</v>
      </c>
      <c r="B107" s="3"/>
      <c r="C107" s="3">
        <v>42554.0</v>
      </c>
      <c r="D107" s="1">
        <f t="shared" si="1"/>
        <v>4</v>
      </c>
      <c r="E107" s="1">
        <v>3.0</v>
      </c>
      <c r="F107" s="1">
        <v>2.0</v>
      </c>
      <c r="G107" s="1">
        <v>1.0</v>
      </c>
      <c r="J107" s="1">
        <v>4.0</v>
      </c>
    </row>
    <row r="108">
      <c r="A108" s="1" t="s">
        <v>28</v>
      </c>
      <c r="B108" s="3"/>
      <c r="C108" s="3">
        <v>42555.0</v>
      </c>
      <c r="D108" s="1">
        <f t="shared" si="1"/>
        <v>4</v>
      </c>
      <c r="E108" s="1">
        <v>1.0</v>
      </c>
      <c r="F108" s="1">
        <v>3.0</v>
      </c>
      <c r="G108" s="1">
        <v>4.0</v>
      </c>
      <c r="J108" s="1">
        <v>2.0</v>
      </c>
    </row>
    <row r="109">
      <c r="A109" s="1" t="s">
        <v>28</v>
      </c>
      <c r="B109" s="3"/>
      <c r="C109" s="3">
        <v>42560.0</v>
      </c>
      <c r="D109" s="1">
        <f t="shared" si="1"/>
        <v>4</v>
      </c>
      <c r="E109" s="1">
        <v>4.0</v>
      </c>
      <c r="F109" s="1">
        <v>3.0</v>
      </c>
      <c r="G109" s="1">
        <v>1.0</v>
      </c>
      <c r="J109" s="1">
        <v>2.0</v>
      </c>
    </row>
    <row r="110">
      <c r="A110" s="1" t="s">
        <v>28</v>
      </c>
      <c r="B110" s="3"/>
      <c r="C110" s="3">
        <v>42561.0</v>
      </c>
      <c r="D110" s="1">
        <f t="shared" si="1"/>
        <v>4</v>
      </c>
      <c r="E110" s="1">
        <v>3.0</v>
      </c>
      <c r="F110" s="1">
        <v>1.0</v>
      </c>
      <c r="G110" s="1">
        <v>4.0</v>
      </c>
      <c r="J110" s="1">
        <v>2.0</v>
      </c>
    </row>
    <row r="111">
      <c r="A111" s="1" t="s">
        <v>28</v>
      </c>
      <c r="B111" s="3"/>
      <c r="C111" s="3">
        <v>42578.0</v>
      </c>
      <c r="D111" s="1">
        <f t="shared" si="1"/>
        <v>4</v>
      </c>
      <c r="E111" s="1">
        <v>2.0</v>
      </c>
      <c r="F111" s="1">
        <v>1.0</v>
      </c>
      <c r="G111" s="1">
        <v>4.0</v>
      </c>
      <c r="J111" s="1">
        <v>3.0</v>
      </c>
    </row>
    <row r="112">
      <c r="A112" s="1" t="s">
        <v>28</v>
      </c>
      <c r="B112" s="3"/>
      <c r="C112" s="3">
        <v>42578.0</v>
      </c>
      <c r="D112" s="1">
        <f t="shared" si="1"/>
        <v>4</v>
      </c>
      <c r="E112" s="1">
        <v>1.0</v>
      </c>
      <c r="F112" s="1">
        <v>3.0</v>
      </c>
      <c r="G112" s="1">
        <v>2.0</v>
      </c>
      <c r="J112" s="1">
        <v>4.0</v>
      </c>
    </row>
    <row r="113">
      <c r="A113" s="1" t="s">
        <v>28</v>
      </c>
      <c r="B113" s="3"/>
      <c r="C113" s="3">
        <v>42589.0</v>
      </c>
      <c r="D113" s="1">
        <f t="shared" si="1"/>
        <v>4</v>
      </c>
      <c r="E113" s="1">
        <v>2.0</v>
      </c>
      <c r="F113" s="1">
        <v>3.0</v>
      </c>
      <c r="G113" s="1">
        <v>4.0</v>
      </c>
      <c r="J113" s="1">
        <v>1.0</v>
      </c>
    </row>
    <row r="114">
      <c r="A114" s="1" t="s">
        <v>28</v>
      </c>
      <c r="B114" s="3"/>
      <c r="C114" s="3">
        <v>42634.0</v>
      </c>
      <c r="D114" s="1">
        <f t="shared" si="1"/>
        <v>4</v>
      </c>
      <c r="E114" s="1">
        <v>1.0</v>
      </c>
      <c r="F114" s="1">
        <v>3.0</v>
      </c>
      <c r="G114" s="1">
        <v>2.0</v>
      </c>
      <c r="J114" s="1">
        <v>4.0</v>
      </c>
    </row>
    <row r="115">
      <c r="A115" s="1" t="s">
        <v>28</v>
      </c>
      <c r="B115" s="3"/>
      <c r="C115" s="3">
        <v>42693.0</v>
      </c>
      <c r="D115" s="1">
        <f t="shared" si="1"/>
        <v>4</v>
      </c>
      <c r="E115" s="1">
        <v>3.0</v>
      </c>
      <c r="F115" s="1">
        <v>2.0</v>
      </c>
      <c r="G115" s="1">
        <v>1.0</v>
      </c>
      <c r="J115" s="1">
        <v>4.0</v>
      </c>
    </row>
    <row r="116">
      <c r="A116" s="1" t="s">
        <v>28</v>
      </c>
      <c r="B116" s="3"/>
      <c r="C116" s="3">
        <v>42728.0</v>
      </c>
      <c r="D116" s="1">
        <v>5.0</v>
      </c>
      <c r="E116" s="1">
        <v>2.0</v>
      </c>
      <c r="F116" s="1">
        <v>5.0</v>
      </c>
      <c r="G116" s="1">
        <v>3.0</v>
      </c>
      <c r="J116" s="1">
        <v>4.0</v>
      </c>
    </row>
    <row r="117">
      <c r="A117" s="1" t="s">
        <v>28</v>
      </c>
      <c r="B117" s="3"/>
      <c r="C117" s="2" t="s">
        <v>29</v>
      </c>
      <c r="D117" s="1">
        <f t="shared" ref="D117:D195" si="2">COUNT(E117:Z117)</f>
        <v>4</v>
      </c>
      <c r="E117" s="1">
        <v>3.0</v>
      </c>
      <c r="F117" s="1">
        <v>4.0</v>
      </c>
      <c r="G117" s="1">
        <v>1.0</v>
      </c>
      <c r="J117" s="1">
        <v>2.0</v>
      </c>
    </row>
    <row r="118">
      <c r="A118" s="1" t="s">
        <v>28</v>
      </c>
      <c r="B118" s="3"/>
      <c r="C118" s="2" t="s">
        <v>29</v>
      </c>
      <c r="D118" s="1">
        <f t="shared" si="2"/>
        <v>4</v>
      </c>
      <c r="E118" s="1">
        <v>3.0</v>
      </c>
      <c r="F118" s="1">
        <v>1.0</v>
      </c>
      <c r="G118" s="1">
        <v>4.0</v>
      </c>
      <c r="J118" s="1">
        <v>2.0</v>
      </c>
    </row>
    <row r="119">
      <c r="A119" s="1" t="s">
        <v>28</v>
      </c>
      <c r="B119" s="3"/>
      <c r="C119" s="2" t="s">
        <v>29</v>
      </c>
      <c r="D119" s="1">
        <f t="shared" si="2"/>
        <v>4</v>
      </c>
      <c r="E119" s="1">
        <v>3.0</v>
      </c>
      <c r="F119" s="1">
        <v>2.0</v>
      </c>
      <c r="G119" s="1">
        <v>1.0</v>
      </c>
      <c r="J119" s="1">
        <v>5.0</v>
      </c>
    </row>
    <row r="120">
      <c r="A120" s="1" t="s">
        <v>30</v>
      </c>
      <c r="B120" s="3"/>
      <c r="C120" s="3">
        <v>43282.0</v>
      </c>
      <c r="D120" s="1">
        <f t="shared" si="2"/>
        <v>4</v>
      </c>
      <c r="E120" s="1">
        <v>4.0</v>
      </c>
      <c r="F120" s="1">
        <v>2.0</v>
      </c>
      <c r="G120" s="1">
        <v>1.0</v>
      </c>
      <c r="H120" s="1">
        <v>3.0</v>
      </c>
    </row>
    <row r="121">
      <c r="A121" s="1" t="s">
        <v>30</v>
      </c>
      <c r="B121" s="3"/>
      <c r="C121" s="3">
        <v>43282.0</v>
      </c>
      <c r="D121" s="1">
        <f t="shared" si="2"/>
        <v>4</v>
      </c>
      <c r="E121" s="1">
        <v>2.0</v>
      </c>
      <c r="F121" s="1">
        <v>4.0</v>
      </c>
      <c r="G121" s="1">
        <v>3.0</v>
      </c>
      <c r="H121" s="1">
        <v>1.0</v>
      </c>
    </row>
    <row r="122">
      <c r="A122" s="1" t="s">
        <v>30</v>
      </c>
      <c r="B122" s="3"/>
      <c r="C122" s="3">
        <v>43313.0</v>
      </c>
      <c r="D122" s="1">
        <f t="shared" si="2"/>
        <v>4</v>
      </c>
      <c r="E122" s="1">
        <v>2.0</v>
      </c>
      <c r="F122" s="1">
        <v>1.0</v>
      </c>
      <c r="G122" s="1">
        <v>3.0</v>
      </c>
      <c r="H122" s="1">
        <v>4.0</v>
      </c>
    </row>
    <row r="123">
      <c r="A123" s="1" t="s">
        <v>30</v>
      </c>
      <c r="B123" s="3"/>
      <c r="C123" s="3">
        <v>43319.0</v>
      </c>
      <c r="D123" s="1">
        <f t="shared" si="2"/>
        <v>4</v>
      </c>
      <c r="E123" s="1">
        <v>1.0</v>
      </c>
      <c r="F123" s="1">
        <v>2.0</v>
      </c>
      <c r="G123" s="1">
        <v>3.0</v>
      </c>
      <c r="H123" s="1">
        <v>4.0</v>
      </c>
    </row>
    <row r="124">
      <c r="A124" s="1" t="s">
        <v>30</v>
      </c>
      <c r="B124" s="3"/>
      <c r="C124" s="3">
        <v>43331.0</v>
      </c>
      <c r="D124" s="1">
        <f t="shared" si="2"/>
        <v>3</v>
      </c>
      <c r="E124" s="1">
        <v>1.0</v>
      </c>
      <c r="H124" s="1">
        <v>2.0</v>
      </c>
      <c r="N124" s="1">
        <v>3.0</v>
      </c>
    </row>
    <row r="125">
      <c r="A125" s="1" t="s">
        <v>30</v>
      </c>
      <c r="B125" s="3"/>
      <c r="C125" s="3">
        <v>43597.0</v>
      </c>
      <c r="D125" s="1">
        <f t="shared" si="2"/>
        <v>3</v>
      </c>
      <c r="E125" s="1">
        <v>2.0</v>
      </c>
      <c r="F125" s="1">
        <v>1.0</v>
      </c>
      <c r="K125" s="1">
        <v>3.0</v>
      </c>
    </row>
    <row r="126">
      <c r="A126" s="1" t="s">
        <v>31</v>
      </c>
      <c r="B126" s="3"/>
      <c r="C126" s="3" t="s">
        <v>24</v>
      </c>
      <c r="D126" s="1">
        <f t="shared" si="2"/>
        <v>4</v>
      </c>
      <c r="E126" s="1">
        <v>2.0</v>
      </c>
      <c r="F126" s="1">
        <v>1.0</v>
      </c>
      <c r="G126" s="1">
        <v>4.0</v>
      </c>
      <c r="H126" s="1">
        <v>2.0</v>
      </c>
    </row>
    <row r="127">
      <c r="A127" s="1" t="s">
        <v>32</v>
      </c>
      <c r="B127" s="3"/>
      <c r="C127" s="3">
        <v>43576.0</v>
      </c>
      <c r="D127" s="1">
        <f t="shared" si="2"/>
        <v>3</v>
      </c>
      <c r="E127" s="1">
        <v>1.0</v>
      </c>
      <c r="F127" s="1">
        <v>2.0</v>
      </c>
      <c r="H127" s="1">
        <v>3.0</v>
      </c>
    </row>
    <row r="128">
      <c r="A128" s="1" t="s">
        <v>32</v>
      </c>
      <c r="B128" s="2"/>
      <c r="C128" s="2" t="s">
        <v>24</v>
      </c>
      <c r="D128" s="1">
        <f t="shared" si="2"/>
        <v>3</v>
      </c>
      <c r="E128" s="1">
        <v>3.0</v>
      </c>
      <c r="F128" s="1">
        <v>2.0</v>
      </c>
      <c r="H128" s="1">
        <v>1.0</v>
      </c>
    </row>
    <row r="129">
      <c r="A129" s="1" t="s">
        <v>32</v>
      </c>
      <c r="B129" s="2"/>
      <c r="C129" s="2" t="s">
        <v>24</v>
      </c>
      <c r="D129" s="1">
        <f t="shared" si="2"/>
        <v>3</v>
      </c>
      <c r="E129" s="1">
        <v>1.0</v>
      </c>
      <c r="F129" s="1">
        <v>2.0</v>
      </c>
      <c r="H129" s="1">
        <v>3.0</v>
      </c>
    </row>
    <row r="130">
      <c r="A130" s="1" t="s">
        <v>32</v>
      </c>
      <c r="B130" s="2"/>
      <c r="C130" s="2" t="s">
        <v>24</v>
      </c>
      <c r="D130" s="1">
        <f t="shared" si="2"/>
        <v>3</v>
      </c>
      <c r="E130" s="1">
        <v>2.0</v>
      </c>
      <c r="F130" s="1">
        <v>1.0</v>
      </c>
      <c r="H130" s="1">
        <v>3.0</v>
      </c>
    </row>
    <row r="131">
      <c r="A131" s="1" t="s">
        <v>32</v>
      </c>
      <c r="B131" s="2"/>
      <c r="C131" s="2" t="s">
        <v>24</v>
      </c>
      <c r="D131" s="1">
        <f t="shared" si="2"/>
        <v>4</v>
      </c>
      <c r="E131" s="1">
        <v>2.0</v>
      </c>
      <c r="F131" s="1">
        <v>1.0</v>
      </c>
      <c r="H131" s="1">
        <v>3.0</v>
      </c>
      <c r="I131" s="1">
        <v>4.0</v>
      </c>
    </row>
    <row r="132">
      <c r="A132" s="1" t="s">
        <v>32</v>
      </c>
      <c r="B132" s="2"/>
      <c r="C132" s="2" t="s">
        <v>24</v>
      </c>
      <c r="D132" s="1">
        <f t="shared" si="2"/>
        <v>4</v>
      </c>
      <c r="E132" s="1">
        <v>3.0</v>
      </c>
      <c r="F132" s="1">
        <v>1.0</v>
      </c>
      <c r="H132" s="1">
        <v>4.0</v>
      </c>
      <c r="I132" s="1">
        <v>2.0</v>
      </c>
    </row>
    <row r="133">
      <c r="A133" s="1" t="s">
        <v>32</v>
      </c>
      <c r="B133" s="2"/>
      <c r="C133" s="2" t="s">
        <v>24</v>
      </c>
      <c r="D133" s="1">
        <f t="shared" si="2"/>
        <v>3</v>
      </c>
      <c r="E133" s="1">
        <v>3.0</v>
      </c>
      <c r="F133" s="1">
        <v>1.0</v>
      </c>
      <c r="H133" s="1">
        <v>2.0</v>
      </c>
    </row>
    <row r="134">
      <c r="A134" s="1" t="s">
        <v>32</v>
      </c>
      <c r="B134" s="3"/>
      <c r="C134" s="3">
        <v>43637.0</v>
      </c>
      <c r="D134" s="1">
        <f t="shared" si="2"/>
        <v>3</v>
      </c>
      <c r="E134" s="1">
        <v>2.0</v>
      </c>
      <c r="F134" s="1">
        <v>1.0</v>
      </c>
      <c r="H134" s="1">
        <v>3.0</v>
      </c>
    </row>
    <row r="135">
      <c r="A135" s="1" t="s">
        <v>32</v>
      </c>
      <c r="B135" s="3"/>
      <c r="C135" s="3">
        <v>43639.0</v>
      </c>
      <c r="D135" s="1">
        <f t="shared" si="2"/>
        <v>3</v>
      </c>
      <c r="E135" s="1">
        <v>1.0</v>
      </c>
      <c r="F135" s="1">
        <v>3.0</v>
      </c>
      <c r="H135" s="1">
        <v>2.0</v>
      </c>
    </row>
    <row r="136">
      <c r="A136" s="1" t="s">
        <v>32</v>
      </c>
      <c r="B136" s="3"/>
      <c r="C136" s="3">
        <v>43639.0</v>
      </c>
      <c r="D136" s="1">
        <f t="shared" si="2"/>
        <v>3</v>
      </c>
      <c r="E136" s="1">
        <v>1.0</v>
      </c>
      <c r="F136" s="1">
        <v>2.0</v>
      </c>
      <c r="H136" s="1">
        <v>2.0</v>
      </c>
    </row>
    <row r="137">
      <c r="A137" s="1" t="s">
        <v>32</v>
      </c>
      <c r="B137" s="3"/>
      <c r="C137" s="3">
        <v>43644.0</v>
      </c>
      <c r="D137" s="1">
        <f t="shared" si="2"/>
        <v>3</v>
      </c>
      <c r="E137" s="1">
        <v>3.0</v>
      </c>
      <c r="F137" s="1">
        <v>1.0</v>
      </c>
      <c r="H137" s="1">
        <v>2.0</v>
      </c>
    </row>
    <row r="138">
      <c r="A138" s="1" t="s">
        <v>32</v>
      </c>
      <c r="B138" s="3"/>
      <c r="C138" s="3">
        <v>43646.0</v>
      </c>
      <c r="D138" s="1">
        <f t="shared" si="2"/>
        <v>4</v>
      </c>
      <c r="E138" s="1">
        <v>1.0</v>
      </c>
      <c r="F138" s="1">
        <v>3.0</v>
      </c>
      <c r="H138" s="1">
        <v>4.0</v>
      </c>
      <c r="I138" s="1">
        <v>2.0</v>
      </c>
    </row>
    <row r="139">
      <c r="A139" s="1" t="s">
        <v>33</v>
      </c>
      <c r="B139" s="3"/>
      <c r="C139" s="3">
        <v>43296.0</v>
      </c>
      <c r="D139" s="1">
        <f t="shared" si="2"/>
        <v>3</v>
      </c>
      <c r="E139" s="1">
        <v>1.0</v>
      </c>
      <c r="F139" s="1">
        <v>3.0</v>
      </c>
      <c r="H139" s="1">
        <v>2.0</v>
      </c>
    </row>
    <row r="140">
      <c r="A140" s="1" t="s">
        <v>33</v>
      </c>
      <c r="B140" s="3"/>
      <c r="C140" s="3" t="s">
        <v>24</v>
      </c>
      <c r="D140" s="1">
        <f t="shared" si="2"/>
        <v>4</v>
      </c>
      <c r="E140" s="1">
        <v>1.0</v>
      </c>
      <c r="F140" s="1">
        <v>2.0</v>
      </c>
      <c r="G140" s="1">
        <v>2.0</v>
      </c>
      <c r="H140" s="1">
        <v>4.0</v>
      </c>
    </row>
    <row r="141">
      <c r="A141" s="1" t="s">
        <v>33</v>
      </c>
      <c r="B141" s="3"/>
      <c r="C141" s="3">
        <v>43567.0</v>
      </c>
      <c r="D141" s="1">
        <f t="shared" si="2"/>
        <v>4</v>
      </c>
      <c r="E141" s="1">
        <v>2.0</v>
      </c>
      <c r="F141" s="1">
        <v>3.0</v>
      </c>
      <c r="G141" s="1">
        <v>1.0</v>
      </c>
      <c r="O141" s="1">
        <v>4.0</v>
      </c>
    </row>
    <row r="142">
      <c r="A142" s="1" t="s">
        <v>33</v>
      </c>
      <c r="B142" s="3"/>
      <c r="C142" s="3">
        <v>43575.0</v>
      </c>
      <c r="D142" s="1">
        <f t="shared" si="2"/>
        <v>4</v>
      </c>
      <c r="E142" s="1">
        <v>1.0</v>
      </c>
      <c r="F142" s="1">
        <v>4.0</v>
      </c>
      <c r="K142" s="1">
        <v>3.0</v>
      </c>
      <c r="L142" s="1">
        <v>2.0</v>
      </c>
    </row>
    <row r="143">
      <c r="A143" s="1" t="s">
        <v>33</v>
      </c>
      <c r="B143" s="3"/>
      <c r="C143" s="3">
        <v>43623.0</v>
      </c>
      <c r="D143" s="1">
        <f t="shared" si="2"/>
        <v>3</v>
      </c>
      <c r="E143" s="1">
        <v>2.0</v>
      </c>
      <c r="F143" s="1">
        <v>3.0</v>
      </c>
      <c r="G143" s="1">
        <v>1.0</v>
      </c>
    </row>
    <row r="144">
      <c r="A144" s="1" t="s">
        <v>33</v>
      </c>
      <c r="B144" s="3"/>
      <c r="C144" s="3">
        <v>43632.0</v>
      </c>
      <c r="D144" s="1">
        <f t="shared" si="2"/>
        <v>3</v>
      </c>
      <c r="E144" s="1">
        <v>2.0</v>
      </c>
      <c r="F144" s="1">
        <v>3.0</v>
      </c>
      <c r="G144" s="1">
        <v>1.0</v>
      </c>
    </row>
    <row r="145">
      <c r="A145" s="1" t="s">
        <v>34</v>
      </c>
      <c r="B145" s="3"/>
      <c r="C145" s="3">
        <v>43575.0</v>
      </c>
      <c r="D145" s="1">
        <f t="shared" si="2"/>
        <v>4</v>
      </c>
      <c r="E145" s="1">
        <v>3.0</v>
      </c>
      <c r="F145" s="1">
        <v>1.0</v>
      </c>
      <c r="K145" s="1">
        <v>3.0</v>
      </c>
      <c r="L145" s="1">
        <v>2.0</v>
      </c>
    </row>
    <row r="146">
      <c r="A146" s="1" t="s">
        <v>34</v>
      </c>
      <c r="B146" s="3"/>
      <c r="C146" s="3">
        <v>43575.0</v>
      </c>
      <c r="D146" s="1">
        <f t="shared" si="2"/>
        <v>4</v>
      </c>
      <c r="E146" s="1">
        <v>3.0</v>
      </c>
      <c r="F146" s="1">
        <v>2.0</v>
      </c>
      <c r="K146" s="1">
        <v>1.0</v>
      </c>
      <c r="L146" s="1">
        <v>3.0</v>
      </c>
    </row>
    <row r="147">
      <c r="A147" s="1" t="s">
        <v>34</v>
      </c>
      <c r="B147" s="3"/>
      <c r="C147" s="3">
        <v>43576.0</v>
      </c>
      <c r="D147" s="1">
        <f t="shared" si="2"/>
        <v>4</v>
      </c>
      <c r="E147" s="1">
        <v>1.0</v>
      </c>
      <c r="F147" s="1">
        <v>2.0</v>
      </c>
      <c r="K147" s="1">
        <v>3.0</v>
      </c>
      <c r="L147" s="1">
        <v>3.0</v>
      </c>
    </row>
    <row r="148">
      <c r="A148" s="1" t="s">
        <v>34</v>
      </c>
      <c r="B148" s="3"/>
      <c r="C148" s="3">
        <v>43597.0</v>
      </c>
      <c r="D148" s="1">
        <f t="shared" si="2"/>
        <v>3</v>
      </c>
      <c r="E148" s="1">
        <v>1.0</v>
      </c>
      <c r="F148" s="1">
        <v>2.0</v>
      </c>
      <c r="K148" s="1">
        <v>3.0</v>
      </c>
    </row>
    <row r="149">
      <c r="A149" s="1" t="s">
        <v>35</v>
      </c>
      <c r="B149" s="3"/>
      <c r="C149" s="3" t="s">
        <v>24</v>
      </c>
      <c r="D149" s="1">
        <f t="shared" si="2"/>
        <v>3</v>
      </c>
      <c r="E149" s="1">
        <v>1.0</v>
      </c>
      <c r="F149" s="1">
        <v>1.0</v>
      </c>
      <c r="G149" s="1">
        <v>3.0</v>
      </c>
    </row>
    <row r="150">
      <c r="A150" s="1" t="s">
        <v>35</v>
      </c>
      <c r="B150" s="3"/>
      <c r="C150" s="3" t="s">
        <v>24</v>
      </c>
      <c r="D150" s="1">
        <f t="shared" si="2"/>
        <v>4</v>
      </c>
      <c r="E150" s="1">
        <v>2.0</v>
      </c>
      <c r="F150" s="1">
        <v>3.0</v>
      </c>
      <c r="G150" s="1">
        <v>4.0</v>
      </c>
      <c r="H150" s="1">
        <v>1.0</v>
      </c>
    </row>
    <row r="151">
      <c r="A151" s="1" t="s">
        <v>35</v>
      </c>
      <c r="B151" s="3"/>
      <c r="C151" s="3" t="s">
        <v>24</v>
      </c>
      <c r="D151" s="1">
        <f t="shared" si="2"/>
        <v>4</v>
      </c>
      <c r="E151" s="1">
        <v>1.0</v>
      </c>
      <c r="F151" s="1">
        <v>2.0</v>
      </c>
      <c r="G151" s="1">
        <v>3.0</v>
      </c>
      <c r="H151" s="1">
        <v>4.0</v>
      </c>
    </row>
    <row r="152">
      <c r="A152" s="1" t="s">
        <v>35</v>
      </c>
      <c r="B152" s="3"/>
      <c r="C152" s="3">
        <v>43329.0</v>
      </c>
      <c r="D152" s="1">
        <f t="shared" si="2"/>
        <v>3</v>
      </c>
      <c r="E152" s="1">
        <v>3.0</v>
      </c>
      <c r="F152" s="1">
        <v>2.0</v>
      </c>
      <c r="H152" s="1">
        <v>1.0</v>
      </c>
    </row>
    <row r="153">
      <c r="A153" s="1" t="s">
        <v>35</v>
      </c>
      <c r="B153" s="3"/>
      <c r="C153" s="3">
        <v>43330.0</v>
      </c>
      <c r="D153" s="1">
        <f t="shared" si="2"/>
        <v>3</v>
      </c>
      <c r="E153" s="1">
        <v>2.0</v>
      </c>
      <c r="F153" s="1">
        <v>3.0</v>
      </c>
      <c r="H153" s="1">
        <v>1.0</v>
      </c>
    </row>
    <row r="154">
      <c r="A154" s="1" t="s">
        <v>35</v>
      </c>
      <c r="B154" s="3"/>
      <c r="C154" s="3">
        <v>43331.0</v>
      </c>
      <c r="D154" s="1">
        <f t="shared" si="2"/>
        <v>4</v>
      </c>
      <c r="E154" s="1">
        <v>2.0</v>
      </c>
      <c r="F154" s="1">
        <v>4.0</v>
      </c>
      <c r="G154" s="1">
        <v>2.0</v>
      </c>
      <c r="M154" s="1">
        <v>1.0</v>
      </c>
    </row>
    <row r="155">
      <c r="A155" s="1" t="s">
        <v>35</v>
      </c>
      <c r="B155" s="3"/>
      <c r="C155" s="3">
        <v>43332.0</v>
      </c>
      <c r="D155" s="1">
        <f t="shared" si="2"/>
        <v>3</v>
      </c>
      <c r="E155" s="1">
        <v>2.0</v>
      </c>
      <c r="H155" s="1">
        <v>3.0</v>
      </c>
      <c r="N155" s="1">
        <v>1.0</v>
      </c>
    </row>
    <row r="156">
      <c r="A156" s="1" t="s">
        <v>35</v>
      </c>
      <c r="B156" s="3"/>
      <c r="C156" s="3">
        <v>43333.0</v>
      </c>
      <c r="D156" s="1">
        <f t="shared" si="2"/>
        <v>4</v>
      </c>
      <c r="E156" s="1">
        <v>2.0</v>
      </c>
      <c r="F156" s="1">
        <v>3.0</v>
      </c>
      <c r="G156" s="1">
        <v>1.0</v>
      </c>
      <c r="H156" s="1">
        <v>4.0</v>
      </c>
    </row>
    <row r="157">
      <c r="A157" s="1" t="s">
        <v>35</v>
      </c>
      <c r="B157" s="3"/>
      <c r="C157" s="3">
        <v>43338.0</v>
      </c>
      <c r="D157" s="1">
        <f t="shared" si="2"/>
        <v>4</v>
      </c>
      <c r="E157" s="1">
        <v>2.0</v>
      </c>
      <c r="F157" s="1">
        <v>3.0</v>
      </c>
      <c r="G157" s="1">
        <v>1.0</v>
      </c>
      <c r="H157" s="1">
        <v>4.0</v>
      </c>
    </row>
    <row r="158">
      <c r="A158" s="1" t="s">
        <v>35</v>
      </c>
      <c r="B158" s="3"/>
      <c r="C158" s="3">
        <v>43548.0</v>
      </c>
      <c r="D158" s="1">
        <f t="shared" si="2"/>
        <v>3</v>
      </c>
      <c r="E158" s="1">
        <v>2.0</v>
      </c>
      <c r="F158" s="1">
        <v>1.0</v>
      </c>
      <c r="G158" s="1">
        <v>3.0</v>
      </c>
    </row>
    <row r="159">
      <c r="A159" s="1" t="s">
        <v>28</v>
      </c>
      <c r="B159" s="3"/>
      <c r="C159" s="2" t="s">
        <v>29</v>
      </c>
      <c r="D159" s="1">
        <f t="shared" si="2"/>
        <v>4</v>
      </c>
      <c r="E159" s="1">
        <v>1.0</v>
      </c>
      <c r="F159" s="1">
        <v>2.0</v>
      </c>
      <c r="G159" s="1">
        <v>3.0</v>
      </c>
      <c r="J159" s="1">
        <v>4.0</v>
      </c>
    </row>
    <row r="160">
      <c r="A160" s="1" t="s">
        <v>28</v>
      </c>
      <c r="B160" s="3"/>
      <c r="C160" s="2" t="s">
        <v>29</v>
      </c>
      <c r="D160" s="1">
        <f t="shared" si="2"/>
        <v>4</v>
      </c>
      <c r="E160" s="1">
        <v>1.0</v>
      </c>
      <c r="F160" s="1">
        <v>2.0</v>
      </c>
      <c r="G160" s="1">
        <v>4.0</v>
      </c>
      <c r="J160" s="1">
        <v>3.0</v>
      </c>
    </row>
    <row r="161">
      <c r="A161" s="1" t="s">
        <v>28</v>
      </c>
      <c r="B161" s="3"/>
      <c r="C161" s="2" t="s">
        <v>29</v>
      </c>
      <c r="D161" s="1">
        <f t="shared" si="2"/>
        <v>4</v>
      </c>
      <c r="E161" s="1">
        <v>3.0</v>
      </c>
      <c r="F161" s="1">
        <v>1.0</v>
      </c>
      <c r="G161" s="1">
        <v>2.0</v>
      </c>
      <c r="J161" s="1">
        <v>4.0</v>
      </c>
    </row>
    <row r="162">
      <c r="A162" s="1" t="s">
        <v>32</v>
      </c>
      <c r="B162" s="3"/>
      <c r="C162" s="3">
        <v>43666.0</v>
      </c>
      <c r="D162" s="1">
        <f t="shared" si="2"/>
        <v>3</v>
      </c>
      <c r="E162" s="1">
        <v>1.0</v>
      </c>
      <c r="F162" s="1">
        <v>2.0</v>
      </c>
      <c r="H162" s="1">
        <v>3.0</v>
      </c>
    </row>
    <row r="163">
      <c r="A163" s="1" t="s">
        <v>33</v>
      </c>
      <c r="B163" s="2" t="s">
        <v>36</v>
      </c>
      <c r="C163" s="3">
        <v>43666.0</v>
      </c>
      <c r="D163" s="1">
        <f t="shared" si="2"/>
        <v>3</v>
      </c>
      <c r="E163" s="1">
        <v>2.0</v>
      </c>
      <c r="F163" s="1">
        <v>1.0</v>
      </c>
      <c r="H163" s="1">
        <v>3.0</v>
      </c>
    </row>
    <row r="164">
      <c r="A164" s="1" t="s">
        <v>37</v>
      </c>
      <c r="B164" s="3"/>
      <c r="C164" s="3">
        <v>43666.0</v>
      </c>
      <c r="D164" s="1">
        <f t="shared" si="2"/>
        <v>3</v>
      </c>
      <c r="E164" s="1">
        <v>1.0</v>
      </c>
      <c r="F164" s="1">
        <v>3.0</v>
      </c>
      <c r="H164" s="1">
        <v>2.0</v>
      </c>
    </row>
    <row r="165">
      <c r="A165" s="1" t="s">
        <v>28</v>
      </c>
      <c r="B165" s="3"/>
      <c r="C165" s="2" t="s">
        <v>29</v>
      </c>
      <c r="D165" s="1">
        <f t="shared" si="2"/>
        <v>4</v>
      </c>
      <c r="E165" s="1">
        <v>3.0</v>
      </c>
      <c r="F165" s="1">
        <v>1.0</v>
      </c>
      <c r="G165" s="1">
        <v>2.0</v>
      </c>
      <c r="J165" s="1">
        <v>4.0</v>
      </c>
    </row>
    <row r="166">
      <c r="A166" s="1" t="s">
        <v>32</v>
      </c>
      <c r="B166" s="3"/>
      <c r="C166" s="3">
        <v>43680.0</v>
      </c>
      <c r="D166" s="1">
        <f t="shared" si="2"/>
        <v>3</v>
      </c>
      <c r="E166" s="1">
        <v>1.0</v>
      </c>
      <c r="F166" s="1">
        <v>2.0</v>
      </c>
      <c r="H166" s="1">
        <v>3.0</v>
      </c>
    </row>
    <row r="167">
      <c r="A167" s="1" t="s">
        <v>28</v>
      </c>
      <c r="B167" s="3"/>
      <c r="C167" s="2" t="s">
        <v>29</v>
      </c>
      <c r="D167" s="1">
        <f t="shared" si="2"/>
        <v>4</v>
      </c>
      <c r="E167" s="1">
        <v>1.0</v>
      </c>
      <c r="F167" s="1">
        <v>3.0</v>
      </c>
      <c r="G167" s="1">
        <v>4.0</v>
      </c>
      <c r="J167" s="1">
        <v>2.0</v>
      </c>
    </row>
    <row r="168">
      <c r="A168" s="1" t="s">
        <v>28</v>
      </c>
      <c r="B168" s="3"/>
      <c r="C168" s="2" t="s">
        <v>29</v>
      </c>
      <c r="D168" s="1">
        <f t="shared" si="2"/>
        <v>3</v>
      </c>
      <c r="E168" s="1">
        <v>1.0</v>
      </c>
      <c r="F168" s="1">
        <v>2.0</v>
      </c>
      <c r="G168" s="1">
        <v>3.0</v>
      </c>
    </row>
    <row r="169">
      <c r="A169" s="1" t="s">
        <v>32</v>
      </c>
      <c r="B169" s="3"/>
      <c r="C169" s="3">
        <v>43694.0</v>
      </c>
      <c r="D169" s="1">
        <f t="shared" si="2"/>
        <v>3</v>
      </c>
      <c r="E169" s="1">
        <v>2.0</v>
      </c>
      <c r="F169" s="1">
        <v>1.0</v>
      </c>
      <c r="H169" s="1">
        <v>3.0</v>
      </c>
    </row>
    <row r="170">
      <c r="A170" s="1" t="s">
        <v>37</v>
      </c>
      <c r="B170" s="3"/>
      <c r="C170" s="3">
        <v>43694.0</v>
      </c>
      <c r="D170" s="1">
        <f t="shared" si="2"/>
        <v>5</v>
      </c>
      <c r="E170" s="1">
        <v>2.0</v>
      </c>
      <c r="F170" s="1">
        <v>5.0</v>
      </c>
      <c r="H170" s="1">
        <v>3.0</v>
      </c>
      <c r="I170" s="1">
        <v>3.0</v>
      </c>
      <c r="P170" s="1">
        <v>1.0</v>
      </c>
    </row>
    <row r="171">
      <c r="A171" s="1" t="s">
        <v>28</v>
      </c>
      <c r="B171" s="4"/>
      <c r="C171" s="4">
        <v>43695.0</v>
      </c>
      <c r="D171" s="1">
        <f t="shared" si="2"/>
        <v>3</v>
      </c>
      <c r="E171" s="1">
        <v>1.0</v>
      </c>
      <c r="F171" s="1">
        <v>2.0</v>
      </c>
      <c r="G171" s="1">
        <v>3.0</v>
      </c>
    </row>
    <row r="172">
      <c r="A172" s="1" t="s">
        <v>32</v>
      </c>
      <c r="B172" s="4"/>
      <c r="C172" s="4">
        <v>43700.0</v>
      </c>
      <c r="D172" s="1">
        <f t="shared" si="2"/>
        <v>3</v>
      </c>
      <c r="E172" s="1">
        <v>2.0</v>
      </c>
      <c r="F172" s="1">
        <v>1.0</v>
      </c>
      <c r="H172" s="1">
        <v>2.0</v>
      </c>
    </row>
    <row r="173">
      <c r="A173" s="1" t="s">
        <v>38</v>
      </c>
      <c r="B173" s="4"/>
      <c r="C173" s="4">
        <v>43701.0</v>
      </c>
      <c r="D173" s="1">
        <f t="shared" si="2"/>
        <v>3</v>
      </c>
      <c r="E173" s="1">
        <v>2.0</v>
      </c>
      <c r="F173" s="1">
        <v>2.0</v>
      </c>
      <c r="H173" s="1">
        <v>1.0</v>
      </c>
    </row>
    <row r="174">
      <c r="A174" s="1" t="s">
        <v>25</v>
      </c>
      <c r="B174" s="4"/>
      <c r="C174" s="4">
        <v>43702.0</v>
      </c>
      <c r="D174" s="1">
        <f t="shared" si="2"/>
        <v>3</v>
      </c>
      <c r="E174" s="1">
        <v>1.0</v>
      </c>
      <c r="F174" s="1">
        <v>2.0</v>
      </c>
      <c r="G174" s="1"/>
      <c r="H174" s="1">
        <v>3.0</v>
      </c>
    </row>
    <row r="175">
      <c r="A175" s="1" t="s">
        <v>26</v>
      </c>
      <c r="B175" s="4"/>
      <c r="C175" s="4">
        <v>43702.0</v>
      </c>
      <c r="D175" s="1">
        <f t="shared" si="2"/>
        <v>3</v>
      </c>
      <c r="E175" s="1">
        <v>1.0</v>
      </c>
      <c r="F175" s="1">
        <v>2.0</v>
      </c>
      <c r="H175" s="1">
        <v>3.0</v>
      </c>
    </row>
    <row r="176">
      <c r="A176" s="1" t="s">
        <v>26</v>
      </c>
      <c r="B176" s="4"/>
      <c r="C176" s="4">
        <v>43702.0</v>
      </c>
      <c r="D176" s="1">
        <f t="shared" si="2"/>
        <v>3</v>
      </c>
      <c r="E176" s="1">
        <v>3.0</v>
      </c>
      <c r="F176" s="1">
        <v>2.0</v>
      </c>
      <c r="H176" s="1">
        <v>1.0</v>
      </c>
    </row>
    <row r="177">
      <c r="A177" s="1" t="s">
        <v>28</v>
      </c>
      <c r="B177" s="4"/>
      <c r="C177" s="4">
        <v>43702.0</v>
      </c>
      <c r="D177" s="1">
        <f t="shared" si="2"/>
        <v>3</v>
      </c>
      <c r="E177" s="1">
        <v>2.0</v>
      </c>
      <c r="F177" s="1">
        <v>1.0</v>
      </c>
      <c r="G177" s="1">
        <v>3.0</v>
      </c>
    </row>
    <row r="178">
      <c r="A178" s="1" t="s">
        <v>38</v>
      </c>
      <c r="B178" s="4"/>
      <c r="C178" s="4">
        <v>43708.0</v>
      </c>
      <c r="D178" s="1">
        <f t="shared" si="2"/>
        <v>3</v>
      </c>
      <c r="E178" s="1">
        <v>2.0</v>
      </c>
      <c r="F178" s="1">
        <v>3.0</v>
      </c>
      <c r="H178" s="1">
        <v>1.0</v>
      </c>
    </row>
    <row r="179">
      <c r="A179" s="1" t="s">
        <v>32</v>
      </c>
      <c r="B179" s="4"/>
      <c r="C179" s="4">
        <v>43708.0</v>
      </c>
      <c r="D179" s="1">
        <f t="shared" si="2"/>
        <v>3</v>
      </c>
      <c r="E179" s="1">
        <v>1.0</v>
      </c>
      <c r="F179" s="1">
        <v>2.0</v>
      </c>
      <c r="H179" s="1">
        <v>3.0</v>
      </c>
    </row>
    <row r="180">
      <c r="A180" s="1" t="s">
        <v>28</v>
      </c>
      <c r="B180" s="4"/>
      <c r="C180" s="4">
        <v>43709.0</v>
      </c>
      <c r="D180" s="1">
        <f t="shared" si="2"/>
        <v>3</v>
      </c>
      <c r="E180" s="1">
        <v>1.0</v>
      </c>
      <c r="F180" s="1">
        <v>3.0</v>
      </c>
      <c r="G180" s="1">
        <v>2.0</v>
      </c>
    </row>
    <row r="181">
      <c r="A181" s="1" t="s">
        <v>39</v>
      </c>
      <c r="B181" s="4"/>
      <c r="C181" s="4">
        <v>43709.0</v>
      </c>
      <c r="D181" s="1">
        <f t="shared" si="2"/>
        <v>3</v>
      </c>
      <c r="E181" s="1">
        <v>1.0</v>
      </c>
      <c r="F181" s="1">
        <v>2.0</v>
      </c>
      <c r="G181" s="1">
        <v>3.0</v>
      </c>
    </row>
    <row r="182">
      <c r="A182" s="1" t="s">
        <v>28</v>
      </c>
      <c r="B182" s="4"/>
      <c r="C182" s="4">
        <v>43710.0</v>
      </c>
      <c r="D182" s="1">
        <f t="shared" si="2"/>
        <v>4</v>
      </c>
      <c r="E182" s="1">
        <v>2.0</v>
      </c>
      <c r="F182" s="1">
        <v>4.0</v>
      </c>
      <c r="G182" s="1">
        <v>3.0</v>
      </c>
      <c r="H182" s="1">
        <v>1.0</v>
      </c>
    </row>
    <row r="183">
      <c r="A183" s="1" t="s">
        <v>39</v>
      </c>
      <c r="B183" s="4"/>
      <c r="C183" s="4">
        <v>43710.0</v>
      </c>
      <c r="D183" s="1">
        <f t="shared" si="2"/>
        <v>4</v>
      </c>
      <c r="E183" s="1">
        <v>1.0</v>
      </c>
      <c r="F183" s="1">
        <v>2.0</v>
      </c>
      <c r="G183" s="1">
        <v>3.0</v>
      </c>
      <c r="H183" s="1">
        <v>4.0</v>
      </c>
    </row>
    <row r="184">
      <c r="A184" s="1" t="s">
        <v>40</v>
      </c>
      <c r="B184" s="4"/>
      <c r="C184" s="4">
        <v>43715.0</v>
      </c>
      <c r="D184" s="1">
        <f t="shared" si="2"/>
        <v>4</v>
      </c>
      <c r="E184" s="1">
        <v>1.0</v>
      </c>
      <c r="F184" s="1">
        <v>3.0</v>
      </c>
      <c r="H184" s="1">
        <v>4.0</v>
      </c>
      <c r="K184" s="1">
        <v>2.0</v>
      </c>
    </row>
    <row r="185">
      <c r="A185" s="1" t="s">
        <v>30</v>
      </c>
      <c r="B185" s="4"/>
      <c r="C185" s="4">
        <v>43715.0</v>
      </c>
      <c r="D185" s="1">
        <f t="shared" si="2"/>
        <v>4</v>
      </c>
      <c r="E185" s="1">
        <v>3.0</v>
      </c>
      <c r="F185" s="1">
        <v>3.0</v>
      </c>
      <c r="H185" s="1">
        <v>1.0</v>
      </c>
      <c r="K185" s="1">
        <v>2.0</v>
      </c>
    </row>
    <row r="186">
      <c r="A186" s="1" t="s">
        <v>28</v>
      </c>
      <c r="B186" s="4"/>
      <c r="C186" s="4">
        <v>43716.0</v>
      </c>
      <c r="D186" s="1">
        <f t="shared" si="2"/>
        <v>3</v>
      </c>
      <c r="E186" s="1">
        <v>3.0</v>
      </c>
      <c r="F186" s="1">
        <v>1.0</v>
      </c>
      <c r="G186" s="1">
        <v>2.0</v>
      </c>
    </row>
    <row r="187">
      <c r="A187" s="1" t="s">
        <v>38</v>
      </c>
      <c r="B187" s="4"/>
      <c r="C187" s="4">
        <v>43721.0</v>
      </c>
      <c r="D187" s="1">
        <f t="shared" si="2"/>
        <v>3</v>
      </c>
      <c r="E187" s="1">
        <v>3.0</v>
      </c>
      <c r="H187" s="1">
        <v>1.0</v>
      </c>
      <c r="I187" s="1">
        <v>2.0</v>
      </c>
    </row>
    <row r="188">
      <c r="A188" s="1" t="s">
        <v>28</v>
      </c>
      <c r="B188" s="4"/>
      <c r="C188" s="4">
        <v>43722.0</v>
      </c>
      <c r="D188" s="1">
        <f t="shared" si="2"/>
        <v>3</v>
      </c>
      <c r="E188" s="1">
        <v>2.0</v>
      </c>
      <c r="F188" s="1">
        <v>3.0</v>
      </c>
      <c r="G188" s="1">
        <v>1.0</v>
      </c>
    </row>
    <row r="189">
      <c r="A189" s="1" t="s">
        <v>32</v>
      </c>
      <c r="B189" s="2" t="s">
        <v>41</v>
      </c>
      <c r="C189" s="4">
        <v>43736.0</v>
      </c>
      <c r="D189" s="1">
        <f t="shared" si="2"/>
        <v>3</v>
      </c>
      <c r="E189" s="1">
        <v>1.0</v>
      </c>
      <c r="F189" s="1">
        <v>2.0</v>
      </c>
      <c r="H189" s="1">
        <v>3.0</v>
      </c>
    </row>
    <row r="190">
      <c r="A190" s="1" t="s">
        <v>28</v>
      </c>
      <c r="B190" s="2" t="s">
        <v>42</v>
      </c>
      <c r="C190" s="4">
        <v>43744.0</v>
      </c>
      <c r="D190" s="1">
        <f t="shared" si="2"/>
        <v>3</v>
      </c>
      <c r="E190" s="1">
        <v>1.0</v>
      </c>
      <c r="F190" s="1">
        <v>2.0</v>
      </c>
      <c r="G190" s="1">
        <v>3.0</v>
      </c>
    </row>
    <row r="191">
      <c r="A191" s="1" t="s">
        <v>28</v>
      </c>
      <c r="B191" s="2" t="s">
        <v>43</v>
      </c>
      <c r="C191" s="4">
        <v>43765.0</v>
      </c>
      <c r="D191" s="1">
        <f t="shared" si="2"/>
        <v>3</v>
      </c>
      <c r="E191" s="1">
        <v>2.0</v>
      </c>
      <c r="F191" s="1">
        <v>1.0</v>
      </c>
      <c r="G191" s="1">
        <v>3.0</v>
      </c>
    </row>
    <row r="192">
      <c r="A192" s="1" t="s">
        <v>32</v>
      </c>
      <c r="B192" s="2" t="s">
        <v>41</v>
      </c>
      <c r="C192" s="4">
        <v>43771.0</v>
      </c>
      <c r="D192" s="1">
        <f t="shared" si="2"/>
        <v>3</v>
      </c>
      <c r="E192" s="1">
        <v>2.0</v>
      </c>
      <c r="F192" s="1">
        <v>3.0</v>
      </c>
      <c r="H192" s="1">
        <v>1.0</v>
      </c>
    </row>
    <row r="193">
      <c r="A193" s="1" t="s">
        <v>28</v>
      </c>
      <c r="B193" s="2" t="s">
        <v>43</v>
      </c>
      <c r="C193" s="4">
        <v>43772.0</v>
      </c>
      <c r="D193" s="1">
        <f t="shared" si="2"/>
        <v>4</v>
      </c>
      <c r="E193" s="1">
        <v>1.0</v>
      </c>
      <c r="F193" s="1">
        <v>3.0</v>
      </c>
      <c r="G193" s="1">
        <v>2.0</v>
      </c>
      <c r="H193" s="1">
        <v>4.0</v>
      </c>
    </row>
    <row r="194">
      <c r="A194" s="1" t="s">
        <v>32</v>
      </c>
      <c r="B194" s="2" t="s">
        <v>44</v>
      </c>
      <c r="C194" s="4">
        <v>43792.0</v>
      </c>
      <c r="D194" s="1">
        <f t="shared" si="2"/>
        <v>3</v>
      </c>
      <c r="E194" s="1">
        <v>3.0</v>
      </c>
      <c r="F194" s="1">
        <v>1.0</v>
      </c>
      <c r="I194" s="1">
        <v>2.0</v>
      </c>
    </row>
    <row r="195">
      <c r="A195" s="1" t="s">
        <v>28</v>
      </c>
      <c r="B195" s="2" t="s">
        <v>43</v>
      </c>
      <c r="C195" s="4">
        <v>43793.0</v>
      </c>
      <c r="D195" s="1">
        <f t="shared" si="2"/>
        <v>3</v>
      </c>
      <c r="E195" s="1">
        <v>2.0</v>
      </c>
      <c r="F195" s="1">
        <v>3.0</v>
      </c>
      <c r="G195" s="1">
        <v>1.0</v>
      </c>
    </row>
    <row r="196">
      <c r="A196" s="1" t="s">
        <v>32</v>
      </c>
      <c r="B196" s="2" t="s">
        <v>44</v>
      </c>
      <c r="C196" s="4">
        <v>43798.0</v>
      </c>
      <c r="D196" s="1">
        <v>3.0</v>
      </c>
      <c r="E196" s="1">
        <v>1.0</v>
      </c>
      <c r="F196" s="1">
        <v>2.0</v>
      </c>
      <c r="H196" s="1">
        <v>3.0</v>
      </c>
    </row>
    <row r="197">
      <c r="A197" s="1" t="s">
        <v>38</v>
      </c>
      <c r="B197" s="2" t="s">
        <v>44</v>
      </c>
      <c r="C197" s="4">
        <v>43799.0</v>
      </c>
      <c r="D197" s="1">
        <f>COUNT(E197:Z197)</f>
        <v>3</v>
      </c>
      <c r="E197" s="1">
        <v>3.0</v>
      </c>
      <c r="F197" s="1">
        <v>2.0</v>
      </c>
      <c r="H197" s="1">
        <v>1.0</v>
      </c>
    </row>
    <row r="198">
      <c r="A198" s="1" t="s">
        <v>26</v>
      </c>
      <c r="B198" s="2" t="s">
        <v>44</v>
      </c>
      <c r="C198" s="4">
        <v>43799.0</v>
      </c>
      <c r="D198" s="1">
        <v>4.0</v>
      </c>
      <c r="E198" s="1">
        <v>1.0</v>
      </c>
      <c r="F198" s="1">
        <v>2.0</v>
      </c>
      <c r="H198" s="1">
        <v>4.0</v>
      </c>
      <c r="I198" s="1">
        <v>3.0</v>
      </c>
    </row>
    <row r="199">
      <c r="A199" s="1" t="s">
        <v>26</v>
      </c>
      <c r="B199" s="2" t="s">
        <v>44</v>
      </c>
      <c r="C199" s="4">
        <v>43799.0</v>
      </c>
      <c r="D199" s="1">
        <v>4.0</v>
      </c>
      <c r="E199" s="1">
        <v>2.0</v>
      </c>
      <c r="F199" s="1">
        <v>1.0</v>
      </c>
      <c r="H199" s="1">
        <v>3.0</v>
      </c>
      <c r="I199" s="1">
        <v>4.0</v>
      </c>
    </row>
    <row r="200">
      <c r="A200" s="1" t="s">
        <v>38</v>
      </c>
      <c r="B200" s="2" t="s">
        <v>44</v>
      </c>
      <c r="C200" s="4">
        <v>43800.0</v>
      </c>
      <c r="D200" s="1">
        <v>4.0</v>
      </c>
      <c r="E200" s="1">
        <v>4.0</v>
      </c>
      <c r="F200" s="1">
        <v>1.0</v>
      </c>
      <c r="H200" s="1">
        <v>2.0</v>
      </c>
      <c r="I200" s="1">
        <v>3.0</v>
      </c>
    </row>
    <row r="201">
      <c r="A201" s="1" t="s">
        <v>28</v>
      </c>
      <c r="B201" s="2" t="s">
        <v>45</v>
      </c>
      <c r="C201" s="4">
        <v>43800.0</v>
      </c>
      <c r="D201" s="1">
        <v>3.0</v>
      </c>
      <c r="E201" s="1">
        <v>3.0</v>
      </c>
      <c r="F201" s="1">
        <v>2.0</v>
      </c>
      <c r="G201" s="1">
        <v>1.0</v>
      </c>
    </row>
    <row r="202">
      <c r="A202" s="1" t="s">
        <v>32</v>
      </c>
      <c r="B202" s="2" t="s">
        <v>44</v>
      </c>
      <c r="C202" s="4">
        <v>43810.0</v>
      </c>
      <c r="D202" s="1">
        <v>4.0</v>
      </c>
      <c r="E202" s="1">
        <v>2.0</v>
      </c>
      <c r="F202" s="1">
        <v>1.0</v>
      </c>
      <c r="H202" s="1">
        <v>3.0</v>
      </c>
      <c r="I202" s="1">
        <v>4.0</v>
      </c>
    </row>
    <row r="203">
      <c r="A203" s="1" t="s">
        <v>38</v>
      </c>
      <c r="B203" s="2" t="s">
        <v>46</v>
      </c>
      <c r="C203" s="4">
        <v>43810.0</v>
      </c>
      <c r="D203" s="1">
        <v>3.0</v>
      </c>
      <c r="E203" s="1">
        <v>2.0</v>
      </c>
      <c r="F203" s="1">
        <v>1.0</v>
      </c>
      <c r="H203" s="1">
        <v>3.0</v>
      </c>
    </row>
    <row r="204">
      <c r="A204" s="1" t="s">
        <v>32</v>
      </c>
      <c r="B204" s="2" t="s">
        <v>47</v>
      </c>
      <c r="C204" s="4">
        <v>43813.0</v>
      </c>
      <c r="D204" s="1">
        <v>3.0</v>
      </c>
      <c r="E204" s="1">
        <v>2.0</v>
      </c>
      <c r="F204" s="1">
        <v>1.0</v>
      </c>
      <c r="H204" s="1">
        <v>3.0</v>
      </c>
    </row>
    <row r="205">
      <c r="A205" s="1" t="s">
        <v>26</v>
      </c>
      <c r="B205" s="2"/>
      <c r="C205" s="4">
        <v>43813.0</v>
      </c>
      <c r="D205" s="1">
        <v>3.0</v>
      </c>
      <c r="E205" s="1">
        <v>2.0</v>
      </c>
      <c r="F205" s="1">
        <v>3.0</v>
      </c>
      <c r="H205" s="1">
        <v>1.0</v>
      </c>
    </row>
    <row r="206">
      <c r="A206" s="1" t="s">
        <v>23</v>
      </c>
      <c r="B206" s="5"/>
      <c r="C206" s="4">
        <v>43814.0</v>
      </c>
      <c r="D206" s="1">
        <v>3.0</v>
      </c>
      <c r="E206" s="1">
        <v>2.0</v>
      </c>
      <c r="F206" s="1">
        <v>1.0</v>
      </c>
      <c r="H206" s="1">
        <v>3.0</v>
      </c>
    </row>
    <row r="207">
      <c r="A207" s="1" t="s">
        <v>28</v>
      </c>
      <c r="B207" s="2" t="s">
        <v>43</v>
      </c>
      <c r="C207" s="4">
        <v>43814.0</v>
      </c>
      <c r="D207" s="1">
        <v>4.0</v>
      </c>
      <c r="E207" s="1">
        <v>2.0</v>
      </c>
      <c r="F207" s="1">
        <v>1.0</v>
      </c>
      <c r="G207" s="1">
        <v>4.0</v>
      </c>
      <c r="H207" s="1">
        <v>3.0</v>
      </c>
    </row>
    <row r="208">
      <c r="A208" s="1" t="s">
        <v>32</v>
      </c>
      <c r="B208" s="2" t="s">
        <v>44</v>
      </c>
      <c r="C208" s="4">
        <v>43816.0</v>
      </c>
      <c r="D208" s="1">
        <v>3.0</v>
      </c>
      <c r="E208" s="1">
        <v>1.0</v>
      </c>
      <c r="H208" s="1">
        <v>2.0</v>
      </c>
      <c r="Q208" s="1">
        <v>3.0</v>
      </c>
    </row>
    <row r="209">
      <c r="A209" s="1" t="s">
        <v>38</v>
      </c>
      <c r="B209" s="2" t="s">
        <v>46</v>
      </c>
      <c r="C209" s="4">
        <v>43820.0</v>
      </c>
      <c r="D209" s="1">
        <v>3.0</v>
      </c>
      <c r="E209" s="1">
        <v>1.0</v>
      </c>
      <c r="F209" s="1">
        <v>2.0</v>
      </c>
      <c r="H209" s="1">
        <v>2.0</v>
      </c>
    </row>
    <row r="210">
      <c r="A210" s="1" t="s">
        <v>32</v>
      </c>
      <c r="B210" s="2" t="s">
        <v>48</v>
      </c>
      <c r="C210" s="4">
        <v>43821.0</v>
      </c>
      <c r="D210" s="1">
        <v>3.0</v>
      </c>
      <c r="E210" s="1">
        <v>2.0</v>
      </c>
      <c r="F210" s="1">
        <v>1.0</v>
      </c>
      <c r="H210" s="1">
        <v>3.0</v>
      </c>
    </row>
    <row r="211">
      <c r="A211" s="1" t="s">
        <v>28</v>
      </c>
      <c r="B211" s="2" t="s">
        <v>43</v>
      </c>
      <c r="C211" s="4">
        <v>43828.0</v>
      </c>
      <c r="D211" s="1">
        <v>3.0</v>
      </c>
      <c r="E211" s="1">
        <v>2.0</v>
      </c>
      <c r="F211" s="1">
        <v>3.0</v>
      </c>
      <c r="G211" s="1">
        <v>1.0</v>
      </c>
    </row>
    <row r="212">
      <c r="A212" s="1" t="s">
        <v>37</v>
      </c>
      <c r="B212" s="5"/>
      <c r="C212" s="4">
        <v>43830.0</v>
      </c>
      <c r="D212" s="1">
        <v>3.0</v>
      </c>
      <c r="E212" s="1">
        <v>2.0</v>
      </c>
      <c r="F212" s="1">
        <v>3.0</v>
      </c>
      <c r="H212" s="1">
        <v>1.0</v>
      </c>
    </row>
    <row r="213">
      <c r="A213" s="1" t="s">
        <v>32</v>
      </c>
      <c r="B213" s="2" t="s">
        <v>44</v>
      </c>
      <c r="C213" s="4">
        <v>43831.0</v>
      </c>
      <c r="D213" s="1">
        <v>3.0</v>
      </c>
      <c r="E213" s="1">
        <v>2.0</v>
      </c>
      <c r="F213" s="1">
        <v>1.0</v>
      </c>
      <c r="H213" s="1">
        <v>3.0</v>
      </c>
    </row>
    <row r="214">
      <c r="A214" s="1" t="s">
        <v>28</v>
      </c>
      <c r="B214" s="2" t="s">
        <v>43</v>
      </c>
      <c r="C214" s="4">
        <v>43831.0</v>
      </c>
      <c r="D214" s="1">
        <v>5.0</v>
      </c>
      <c r="E214" s="1">
        <v>2.0</v>
      </c>
      <c r="F214" s="1">
        <v>3.0</v>
      </c>
      <c r="G214" s="1">
        <v>1.0</v>
      </c>
      <c r="H214" s="1">
        <v>4.0</v>
      </c>
      <c r="I214" s="1">
        <v>5.0</v>
      </c>
    </row>
    <row r="215">
      <c r="A215" s="1" t="s">
        <v>23</v>
      </c>
      <c r="B215" s="5"/>
      <c r="C215" s="4">
        <v>43834.0</v>
      </c>
      <c r="D215" s="1">
        <v>4.0</v>
      </c>
      <c r="E215" s="1">
        <v>2.0</v>
      </c>
      <c r="F215" s="1">
        <v>4.0</v>
      </c>
      <c r="G215" s="1">
        <v>3.0</v>
      </c>
      <c r="H215" s="1">
        <v>1.0</v>
      </c>
    </row>
    <row r="216">
      <c r="A216" s="1" t="s">
        <v>28</v>
      </c>
      <c r="B216" s="2" t="s">
        <v>43</v>
      </c>
      <c r="C216" s="4">
        <v>43842.0</v>
      </c>
      <c r="D216" s="1">
        <v>3.0</v>
      </c>
      <c r="E216" s="1">
        <v>2.0</v>
      </c>
      <c r="F216" s="1">
        <v>1.0</v>
      </c>
      <c r="G216" s="1">
        <v>3.0</v>
      </c>
    </row>
    <row r="217">
      <c r="A217" s="1" t="s">
        <v>32</v>
      </c>
      <c r="B217" s="2" t="s">
        <v>44</v>
      </c>
      <c r="C217" s="4">
        <v>43849.0</v>
      </c>
      <c r="D217" s="1">
        <v>3.0</v>
      </c>
      <c r="E217" s="1">
        <v>1.0</v>
      </c>
      <c r="H217" s="1">
        <v>2.0</v>
      </c>
      <c r="I217" s="1">
        <v>3.0</v>
      </c>
    </row>
    <row r="218">
      <c r="A218" s="1" t="s">
        <v>28</v>
      </c>
      <c r="B218" s="2" t="s">
        <v>43</v>
      </c>
      <c r="C218" s="4">
        <v>43849.0</v>
      </c>
      <c r="D218" s="1">
        <v>3.0</v>
      </c>
      <c r="E218" s="1">
        <v>2.0</v>
      </c>
      <c r="F218" s="1">
        <v>3.0</v>
      </c>
      <c r="G218" s="1">
        <v>1.0</v>
      </c>
    </row>
    <row r="219">
      <c r="A219" s="1" t="s">
        <v>32</v>
      </c>
      <c r="B219" s="2" t="s">
        <v>44</v>
      </c>
      <c r="C219" s="4">
        <v>43855.0</v>
      </c>
      <c r="D219" s="1">
        <v>3.0</v>
      </c>
      <c r="E219" s="1">
        <v>1.0</v>
      </c>
      <c r="F219" s="1">
        <v>2.0</v>
      </c>
      <c r="H219" s="1">
        <v>3.0</v>
      </c>
    </row>
    <row r="220">
      <c r="A220" s="1" t="s">
        <v>28</v>
      </c>
      <c r="B220" s="2" t="s">
        <v>49</v>
      </c>
      <c r="C220" s="4">
        <v>43856.0</v>
      </c>
      <c r="D220" s="1">
        <v>4.0</v>
      </c>
      <c r="E220" s="1">
        <v>2.0</v>
      </c>
      <c r="F220" s="1">
        <v>1.0</v>
      </c>
      <c r="G220" s="1">
        <v>3.0</v>
      </c>
      <c r="H220" s="1">
        <v>4.0</v>
      </c>
    </row>
    <row r="221">
      <c r="A221" s="1" t="s">
        <v>28</v>
      </c>
      <c r="B221" s="2" t="s">
        <v>43</v>
      </c>
      <c r="C221" s="4">
        <v>43861.0</v>
      </c>
      <c r="D221" s="1">
        <v>3.0</v>
      </c>
      <c r="E221" s="1">
        <v>1.0</v>
      </c>
      <c r="F221" s="1">
        <v>2.0</v>
      </c>
      <c r="G221" s="1">
        <v>3.0</v>
      </c>
    </row>
    <row r="222">
      <c r="A222" s="1" t="s">
        <v>28</v>
      </c>
      <c r="B222" s="2" t="s">
        <v>50</v>
      </c>
      <c r="C222" s="4">
        <v>43877.0</v>
      </c>
      <c r="D222" s="1">
        <v>3.0</v>
      </c>
      <c r="E222" s="1">
        <v>2.0</v>
      </c>
      <c r="F222" s="1">
        <v>3.0</v>
      </c>
      <c r="G222" s="1">
        <v>1.0</v>
      </c>
    </row>
    <row r="223">
      <c r="A223" s="1" t="s">
        <v>32</v>
      </c>
      <c r="B223" s="2" t="s">
        <v>48</v>
      </c>
      <c r="C223" s="4">
        <v>43883.0</v>
      </c>
      <c r="D223" s="1">
        <v>3.0</v>
      </c>
      <c r="E223" s="1">
        <v>3.0</v>
      </c>
      <c r="F223" s="1">
        <v>1.0</v>
      </c>
      <c r="H223" s="1">
        <v>2.0</v>
      </c>
    </row>
    <row r="224">
      <c r="A224" s="1" t="s">
        <v>28</v>
      </c>
      <c r="B224" s="2" t="s">
        <v>43</v>
      </c>
      <c r="C224" s="4">
        <v>43884.0</v>
      </c>
      <c r="D224" s="1">
        <v>3.0</v>
      </c>
      <c r="E224" s="1">
        <v>2.0</v>
      </c>
      <c r="F224" s="1">
        <v>3.0</v>
      </c>
      <c r="G224" s="1">
        <v>1.0</v>
      </c>
    </row>
    <row r="225">
      <c r="A225" s="1" t="s">
        <v>28</v>
      </c>
      <c r="B225" s="2" t="s">
        <v>43</v>
      </c>
      <c r="C225" s="4">
        <v>43891.0</v>
      </c>
      <c r="D225" s="1">
        <v>3.0</v>
      </c>
      <c r="E225" s="1">
        <v>3.0</v>
      </c>
      <c r="F225" s="1">
        <v>1.0</v>
      </c>
      <c r="G225" s="1">
        <v>2.0</v>
      </c>
    </row>
    <row r="226">
      <c r="A226" s="1" t="s">
        <v>28</v>
      </c>
      <c r="B226" s="2" t="s">
        <v>43</v>
      </c>
      <c r="C226" s="4">
        <v>43898.0</v>
      </c>
      <c r="D226" s="1">
        <v>3.0</v>
      </c>
      <c r="E226" s="1">
        <v>1.0</v>
      </c>
      <c r="F226" s="1">
        <v>3.0</v>
      </c>
      <c r="G226" s="1">
        <v>2.0</v>
      </c>
    </row>
    <row r="227">
      <c r="A227" s="1" t="s">
        <v>32</v>
      </c>
      <c r="B227" s="2" t="s">
        <v>44</v>
      </c>
      <c r="C227" s="4">
        <v>43904.0</v>
      </c>
      <c r="D227" s="1">
        <v>3.0</v>
      </c>
      <c r="E227" s="1">
        <v>2.0</v>
      </c>
      <c r="F227" s="1">
        <v>1.0</v>
      </c>
      <c r="H227" s="1">
        <v>3.0</v>
      </c>
    </row>
    <row r="228">
      <c r="A228" s="1" t="s">
        <v>28</v>
      </c>
      <c r="B228" s="2" t="s">
        <v>43</v>
      </c>
      <c r="C228" s="4">
        <v>43905.0</v>
      </c>
      <c r="D228" s="1">
        <v>3.0</v>
      </c>
      <c r="E228" s="1">
        <v>1.0</v>
      </c>
      <c r="F228" s="1">
        <v>2.0</v>
      </c>
      <c r="G228" s="1">
        <v>3.0</v>
      </c>
    </row>
    <row r="229">
      <c r="A229" s="1" t="s">
        <v>28</v>
      </c>
      <c r="B229" s="2" t="s">
        <v>43</v>
      </c>
      <c r="C229" s="4">
        <v>43914.0</v>
      </c>
      <c r="D229" s="1">
        <v>3.0</v>
      </c>
      <c r="E229" s="1">
        <v>2.0</v>
      </c>
      <c r="F229" s="1">
        <v>1.0</v>
      </c>
      <c r="G229" s="1">
        <v>3.0</v>
      </c>
    </row>
    <row r="230">
      <c r="A230" s="1" t="s">
        <v>25</v>
      </c>
      <c r="B230" s="2" t="s">
        <v>51</v>
      </c>
      <c r="C230" s="4">
        <v>43918.0</v>
      </c>
      <c r="D230" s="1">
        <v>3.0</v>
      </c>
      <c r="E230" s="1">
        <v>2.0</v>
      </c>
      <c r="F230" s="1">
        <v>1.0</v>
      </c>
      <c r="H230" s="1">
        <v>3.0</v>
      </c>
    </row>
    <row r="231">
      <c r="A231" s="1" t="s">
        <v>28</v>
      </c>
      <c r="B231" s="2" t="s">
        <v>43</v>
      </c>
      <c r="C231" s="4">
        <v>43919.0</v>
      </c>
      <c r="D231" s="1">
        <v>3.0</v>
      </c>
      <c r="E231" s="1">
        <v>1.0</v>
      </c>
      <c r="F231" s="1">
        <v>2.0</v>
      </c>
      <c r="G231" s="1">
        <v>3.0</v>
      </c>
    </row>
    <row r="232">
      <c r="A232" s="1" t="s">
        <v>35</v>
      </c>
      <c r="B232" s="2" t="s">
        <v>44</v>
      </c>
      <c r="C232" s="3">
        <v>43922.0</v>
      </c>
      <c r="D232" s="1">
        <v>4.0</v>
      </c>
      <c r="E232" s="1">
        <v>1.0</v>
      </c>
      <c r="F232" s="1">
        <v>2.0</v>
      </c>
      <c r="G232" s="1">
        <v>3.0</v>
      </c>
      <c r="R232" s="1">
        <v>4.0</v>
      </c>
    </row>
    <row r="233">
      <c r="A233" s="1" t="s">
        <v>28</v>
      </c>
      <c r="B233" s="2" t="s">
        <v>43</v>
      </c>
      <c r="C233" s="4">
        <v>43928.0</v>
      </c>
      <c r="D233" s="1">
        <v>3.0</v>
      </c>
      <c r="E233" s="1">
        <v>2.0</v>
      </c>
      <c r="F233" s="1">
        <v>3.0</v>
      </c>
      <c r="G233" s="1">
        <v>1.0</v>
      </c>
    </row>
    <row r="234">
      <c r="A234" s="1" t="s">
        <v>28</v>
      </c>
      <c r="B234" s="2" t="s">
        <v>43</v>
      </c>
      <c r="C234" s="4">
        <v>43930.0</v>
      </c>
      <c r="D234" s="1">
        <v>3.0</v>
      </c>
      <c r="E234" s="1">
        <v>1.0</v>
      </c>
      <c r="F234" s="1">
        <v>2.0</v>
      </c>
      <c r="G234" s="1">
        <v>3.0</v>
      </c>
    </row>
    <row r="235">
      <c r="A235" s="1" t="s">
        <v>26</v>
      </c>
      <c r="B235" s="2" t="s">
        <v>44</v>
      </c>
      <c r="C235" s="4">
        <v>43932.0</v>
      </c>
      <c r="D235" s="1">
        <v>4.0</v>
      </c>
      <c r="E235" s="1">
        <v>4.0</v>
      </c>
      <c r="F235" s="1">
        <v>2.0</v>
      </c>
      <c r="H235" s="1">
        <v>3.0</v>
      </c>
      <c r="I235" s="1">
        <v>1.0</v>
      </c>
    </row>
    <row r="236">
      <c r="A236" s="1" t="s">
        <v>28</v>
      </c>
      <c r="B236" s="2" t="s">
        <v>43</v>
      </c>
      <c r="C236" s="4">
        <v>43933.0</v>
      </c>
      <c r="D236" s="1">
        <v>3.0</v>
      </c>
      <c r="E236" s="1">
        <v>2.0</v>
      </c>
      <c r="F236" s="1">
        <v>3.0</v>
      </c>
      <c r="G236" s="1">
        <v>1.0</v>
      </c>
    </row>
    <row r="237">
      <c r="A237" s="1" t="s">
        <v>28</v>
      </c>
      <c r="B237" s="2" t="s">
        <v>43</v>
      </c>
      <c r="C237" s="4">
        <v>43935.0</v>
      </c>
      <c r="D237" s="1">
        <v>3.0</v>
      </c>
      <c r="E237" s="1">
        <v>3.0</v>
      </c>
      <c r="F237" s="1">
        <v>2.0</v>
      </c>
      <c r="G237" s="1">
        <v>1.0</v>
      </c>
    </row>
    <row r="238">
      <c r="A238" s="1" t="s">
        <v>28</v>
      </c>
      <c r="B238" s="2" t="s">
        <v>43</v>
      </c>
      <c r="C238" s="4">
        <v>43937.0</v>
      </c>
      <c r="D238" s="1">
        <v>3.0</v>
      </c>
      <c r="E238" s="1">
        <v>1.0</v>
      </c>
      <c r="F238" s="1">
        <v>3.0</v>
      </c>
      <c r="G238" s="1">
        <v>2.0</v>
      </c>
    </row>
    <row r="239">
      <c r="A239" s="1" t="s">
        <v>32</v>
      </c>
      <c r="B239" s="2" t="s">
        <v>52</v>
      </c>
      <c r="C239" s="4">
        <v>43939.0</v>
      </c>
      <c r="D239" s="1">
        <v>3.0</v>
      </c>
      <c r="E239" s="1">
        <v>2.0</v>
      </c>
      <c r="F239" s="1">
        <v>2.0</v>
      </c>
      <c r="H239" s="1">
        <v>1.0</v>
      </c>
    </row>
    <row r="240">
      <c r="A240" s="1" t="s">
        <v>28</v>
      </c>
      <c r="B240" s="2" t="s">
        <v>43</v>
      </c>
      <c r="C240" s="4">
        <v>43940.0</v>
      </c>
      <c r="D240" s="1">
        <v>3.0</v>
      </c>
      <c r="E240" s="1">
        <v>2.0</v>
      </c>
      <c r="F240" s="1">
        <v>3.0</v>
      </c>
      <c r="G240" s="1">
        <v>1.0</v>
      </c>
    </row>
    <row r="241">
      <c r="A241" s="1" t="s">
        <v>27</v>
      </c>
      <c r="B241" s="2" t="s">
        <v>44</v>
      </c>
      <c r="C241" s="4">
        <v>43940.0</v>
      </c>
      <c r="D241" s="1">
        <v>4.0</v>
      </c>
      <c r="E241" s="1">
        <v>3.0</v>
      </c>
      <c r="F241" s="1">
        <v>1.0</v>
      </c>
      <c r="M241" s="1">
        <v>2.0</v>
      </c>
      <c r="S241" s="1">
        <v>4.0</v>
      </c>
    </row>
    <row r="242">
      <c r="A242" s="1" t="s">
        <v>27</v>
      </c>
      <c r="B242" s="2" t="s">
        <v>44</v>
      </c>
      <c r="C242" s="4">
        <v>43940.0</v>
      </c>
      <c r="D242" s="1">
        <v>4.0</v>
      </c>
      <c r="E242" s="1">
        <v>1.0</v>
      </c>
      <c r="F242" s="1">
        <v>2.0</v>
      </c>
      <c r="M242" s="1">
        <v>3.0</v>
      </c>
      <c r="S242" s="1">
        <v>4.0</v>
      </c>
    </row>
    <row r="243">
      <c r="A243" s="1" t="s">
        <v>27</v>
      </c>
      <c r="B243" s="2" t="s">
        <v>44</v>
      </c>
      <c r="C243" s="4">
        <v>43940.0</v>
      </c>
      <c r="D243" s="1">
        <v>4.0</v>
      </c>
      <c r="E243" s="1">
        <v>2.0</v>
      </c>
      <c r="F243" s="1">
        <v>4.0</v>
      </c>
      <c r="M243" s="1">
        <v>1.0</v>
      </c>
      <c r="S243" s="1">
        <v>3.0</v>
      </c>
    </row>
    <row r="244">
      <c r="A244" s="1" t="s">
        <v>39</v>
      </c>
      <c r="B244" s="2" t="s">
        <v>44</v>
      </c>
      <c r="C244" s="4">
        <v>43942.0</v>
      </c>
      <c r="D244" s="1">
        <v>3.0</v>
      </c>
      <c r="E244" s="1">
        <v>3.0</v>
      </c>
      <c r="F244" s="1">
        <v>1.0</v>
      </c>
      <c r="G244" s="1">
        <v>2.0</v>
      </c>
    </row>
    <row r="245">
      <c r="A245" s="1" t="s">
        <v>28</v>
      </c>
      <c r="B245" s="2" t="s">
        <v>43</v>
      </c>
      <c r="C245" s="4">
        <v>43942.0</v>
      </c>
      <c r="D245" s="1">
        <v>3.0</v>
      </c>
      <c r="E245" s="1">
        <v>2.0</v>
      </c>
      <c r="F245" s="1">
        <v>1.0</v>
      </c>
      <c r="G245" s="1">
        <v>3.0</v>
      </c>
    </row>
    <row r="246">
      <c r="A246" s="1" t="s">
        <v>28</v>
      </c>
      <c r="B246" s="2" t="s">
        <v>43</v>
      </c>
      <c r="C246" s="4">
        <v>43944.0</v>
      </c>
      <c r="D246" s="1">
        <v>3.0</v>
      </c>
      <c r="E246" s="1">
        <v>3.0</v>
      </c>
      <c r="F246" s="1">
        <v>2.0</v>
      </c>
      <c r="G246" s="1">
        <v>1.0</v>
      </c>
    </row>
    <row r="247">
      <c r="A247" s="1" t="s">
        <v>28</v>
      </c>
      <c r="B247" s="2" t="s">
        <v>43</v>
      </c>
      <c r="C247" s="4">
        <v>43947.0</v>
      </c>
      <c r="D247" s="1">
        <v>3.0</v>
      </c>
      <c r="E247" s="1">
        <v>3.0</v>
      </c>
      <c r="F247" s="1">
        <v>2.0</v>
      </c>
      <c r="G247" s="1">
        <v>1.0</v>
      </c>
    </row>
    <row r="248">
      <c r="A248" s="1" t="s">
        <v>28</v>
      </c>
      <c r="B248" s="2" t="s">
        <v>43</v>
      </c>
      <c r="C248" s="4">
        <v>43947.0</v>
      </c>
      <c r="D248" s="1">
        <v>3.0</v>
      </c>
      <c r="E248" s="1">
        <v>2.0</v>
      </c>
      <c r="F248" s="1">
        <v>3.0</v>
      </c>
      <c r="G248" s="1">
        <v>1.0</v>
      </c>
    </row>
    <row r="249">
      <c r="A249" s="1" t="s">
        <v>28</v>
      </c>
      <c r="B249" s="2" t="s">
        <v>43</v>
      </c>
      <c r="C249" s="4">
        <v>43949.0</v>
      </c>
      <c r="D249" s="1">
        <v>3.0</v>
      </c>
      <c r="E249" s="1">
        <v>2.0</v>
      </c>
      <c r="F249" s="1">
        <v>3.0</v>
      </c>
      <c r="G249" s="1">
        <v>1.0</v>
      </c>
    </row>
    <row r="250">
      <c r="A250" s="1" t="s">
        <v>28</v>
      </c>
      <c r="B250" s="2" t="s">
        <v>43</v>
      </c>
      <c r="C250" s="4">
        <v>43951.0</v>
      </c>
      <c r="D250" s="1">
        <v>3.0</v>
      </c>
      <c r="E250" s="1">
        <v>1.0</v>
      </c>
      <c r="F250" s="1">
        <v>3.0</v>
      </c>
      <c r="G250" s="1">
        <v>2.0</v>
      </c>
    </row>
    <row r="251">
      <c r="A251" s="1" t="s">
        <v>28</v>
      </c>
      <c r="B251" s="2" t="s">
        <v>43</v>
      </c>
      <c r="C251" s="4">
        <v>43954.0</v>
      </c>
      <c r="D251" s="1">
        <v>4.0</v>
      </c>
      <c r="E251" s="1">
        <v>4.0</v>
      </c>
      <c r="F251" s="1">
        <v>3.0</v>
      </c>
      <c r="G251" s="1">
        <v>2.0</v>
      </c>
      <c r="R251" s="1">
        <v>1.0</v>
      </c>
    </row>
    <row r="252">
      <c r="A252" s="1" t="s">
        <v>26</v>
      </c>
      <c r="B252" s="2" t="s">
        <v>44</v>
      </c>
      <c r="C252" s="4">
        <v>43955.0</v>
      </c>
      <c r="D252" s="1">
        <v>3.0</v>
      </c>
      <c r="E252" s="1">
        <v>2.0</v>
      </c>
      <c r="H252" s="1">
        <v>3.0</v>
      </c>
      <c r="Q252" s="1">
        <v>1.0</v>
      </c>
    </row>
    <row r="253">
      <c r="A253" s="1" t="s">
        <v>28</v>
      </c>
      <c r="B253" s="2" t="s">
        <v>43</v>
      </c>
      <c r="C253" s="4">
        <v>43958.0</v>
      </c>
      <c r="D253" s="1">
        <v>3.0</v>
      </c>
      <c r="E253" s="1">
        <v>1.0</v>
      </c>
      <c r="F253" s="1">
        <v>3.0</v>
      </c>
      <c r="G253" s="1">
        <v>2.0</v>
      </c>
    </row>
    <row r="254">
      <c r="A254" s="1" t="s">
        <v>28</v>
      </c>
      <c r="B254" s="2" t="s">
        <v>43</v>
      </c>
      <c r="C254" s="4">
        <v>43961.0</v>
      </c>
      <c r="D254" s="1">
        <v>3.0</v>
      </c>
      <c r="E254" s="1">
        <v>1.0</v>
      </c>
      <c r="F254" s="1">
        <v>2.0</v>
      </c>
      <c r="G254" s="1">
        <v>3.0</v>
      </c>
    </row>
    <row r="255">
      <c r="A255" s="1" t="s">
        <v>28</v>
      </c>
      <c r="B255" s="2" t="s">
        <v>43</v>
      </c>
      <c r="C255" s="4">
        <v>43963.0</v>
      </c>
      <c r="D255" s="1">
        <v>3.0</v>
      </c>
      <c r="E255" s="1">
        <v>2.0</v>
      </c>
      <c r="F255" s="1">
        <v>1.0</v>
      </c>
      <c r="G255" s="1">
        <v>3.0</v>
      </c>
    </row>
    <row r="256">
      <c r="A256" s="1" t="s">
        <v>27</v>
      </c>
      <c r="B256" s="2" t="s">
        <v>44</v>
      </c>
      <c r="C256" s="4">
        <v>43965.0</v>
      </c>
      <c r="D256" s="1">
        <v>4.0</v>
      </c>
      <c r="E256" s="1">
        <v>1.0</v>
      </c>
      <c r="F256" s="1">
        <v>3.0</v>
      </c>
      <c r="M256" s="1">
        <v>2.0</v>
      </c>
      <c r="T256" s="1">
        <v>4.0</v>
      </c>
    </row>
    <row r="257">
      <c r="A257" s="1" t="s">
        <v>27</v>
      </c>
      <c r="B257" s="2" t="s">
        <v>44</v>
      </c>
      <c r="C257" s="4">
        <v>43965.0</v>
      </c>
      <c r="D257" s="1">
        <v>3.0</v>
      </c>
      <c r="E257" s="1">
        <v>1.0</v>
      </c>
      <c r="F257" s="1">
        <v>2.0</v>
      </c>
      <c r="M257" s="1">
        <v>3.0</v>
      </c>
    </row>
    <row r="258">
      <c r="A258" s="1" t="s">
        <v>32</v>
      </c>
      <c r="B258" s="2" t="s">
        <v>44</v>
      </c>
      <c r="C258" s="4">
        <v>43967.0</v>
      </c>
      <c r="D258" s="1">
        <v>3.0</v>
      </c>
      <c r="E258" s="1">
        <v>2.0</v>
      </c>
      <c r="F258" s="1">
        <v>3.0</v>
      </c>
      <c r="H258" s="1">
        <v>1.0</v>
      </c>
    </row>
    <row r="259">
      <c r="A259" s="1" t="s">
        <v>28</v>
      </c>
      <c r="B259" s="2" t="s">
        <v>43</v>
      </c>
      <c r="C259" s="4">
        <v>43968.0</v>
      </c>
      <c r="D259" s="1">
        <v>3.0</v>
      </c>
      <c r="E259" s="1">
        <v>1.0</v>
      </c>
      <c r="F259" s="1">
        <v>2.0</v>
      </c>
      <c r="G259" s="1">
        <v>3.0</v>
      </c>
    </row>
    <row r="260">
      <c r="A260" s="1" t="s">
        <v>28</v>
      </c>
      <c r="B260" s="2" t="s">
        <v>43</v>
      </c>
      <c r="C260" s="4">
        <v>43974.0</v>
      </c>
      <c r="D260" s="1">
        <v>4.0</v>
      </c>
      <c r="E260" s="1">
        <v>3.0</v>
      </c>
      <c r="F260" s="1">
        <v>1.0</v>
      </c>
      <c r="G260" s="1">
        <v>2.0</v>
      </c>
      <c r="H260" s="1">
        <v>4.0</v>
      </c>
    </row>
    <row r="261">
      <c r="A261" s="1" t="s">
        <v>32</v>
      </c>
      <c r="B261" s="2" t="s">
        <v>48</v>
      </c>
      <c r="C261" s="4">
        <v>43975.0</v>
      </c>
      <c r="D261" s="1">
        <v>3.0</v>
      </c>
      <c r="E261" s="1">
        <v>1.0</v>
      </c>
      <c r="F261" s="1">
        <v>3.0</v>
      </c>
      <c r="H261" s="1">
        <v>2.0</v>
      </c>
    </row>
    <row r="262">
      <c r="A262" s="1" t="s">
        <v>28</v>
      </c>
      <c r="B262" s="2" t="s">
        <v>43</v>
      </c>
      <c r="C262" s="4">
        <v>43975.0</v>
      </c>
      <c r="D262" s="1">
        <v>3.0</v>
      </c>
      <c r="E262" s="1">
        <v>2.0</v>
      </c>
      <c r="F262" s="1">
        <v>1.0</v>
      </c>
      <c r="G262" s="1">
        <v>3.0</v>
      </c>
    </row>
    <row r="263">
      <c r="A263" s="1" t="s">
        <v>28</v>
      </c>
      <c r="B263" s="2" t="s">
        <v>43</v>
      </c>
      <c r="C263" s="4">
        <v>43982.0</v>
      </c>
      <c r="D263" s="1">
        <v>3.0</v>
      </c>
      <c r="E263" s="1">
        <v>1.0</v>
      </c>
      <c r="F263" s="1">
        <v>3.0</v>
      </c>
      <c r="G263" s="1">
        <v>2.0</v>
      </c>
    </row>
    <row r="264">
      <c r="A264" s="1" t="s">
        <v>28</v>
      </c>
      <c r="B264" s="2" t="s">
        <v>43</v>
      </c>
      <c r="C264" s="3">
        <v>43986.0</v>
      </c>
      <c r="D264" s="1">
        <v>3.0</v>
      </c>
      <c r="E264" s="1">
        <v>3.0</v>
      </c>
      <c r="F264" s="1">
        <v>1.0</v>
      </c>
      <c r="G264" s="1">
        <v>2.0</v>
      </c>
    </row>
    <row r="265">
      <c r="A265" s="1" t="s">
        <v>38</v>
      </c>
      <c r="B265" s="2" t="s">
        <v>44</v>
      </c>
      <c r="C265" s="4">
        <v>43988.0</v>
      </c>
      <c r="D265" s="1">
        <v>3.0</v>
      </c>
      <c r="E265" s="1">
        <v>2.0</v>
      </c>
      <c r="F265" s="1">
        <v>2.0</v>
      </c>
      <c r="H265" s="1">
        <v>1.0</v>
      </c>
    </row>
    <row r="266">
      <c r="A266" s="1" t="s">
        <v>26</v>
      </c>
      <c r="B266" s="2" t="s">
        <v>43</v>
      </c>
      <c r="C266" s="4">
        <v>43988.0</v>
      </c>
      <c r="D266" s="1">
        <v>3.0</v>
      </c>
      <c r="E266" s="1">
        <v>1.0</v>
      </c>
      <c r="F266" s="1">
        <v>2.0</v>
      </c>
      <c r="H266" s="1">
        <v>3.0</v>
      </c>
    </row>
    <row r="267">
      <c r="A267" s="1" t="s">
        <v>37</v>
      </c>
      <c r="B267" s="2" t="s">
        <v>44</v>
      </c>
      <c r="C267" s="4">
        <v>43989.0</v>
      </c>
      <c r="D267" s="1">
        <v>3.0</v>
      </c>
      <c r="E267" s="1">
        <v>1.0</v>
      </c>
      <c r="F267" s="1">
        <v>3.0</v>
      </c>
      <c r="H267" s="1">
        <v>2.0</v>
      </c>
    </row>
    <row r="268">
      <c r="A268" s="1" t="s">
        <v>28</v>
      </c>
      <c r="B268" s="2" t="s">
        <v>43</v>
      </c>
      <c r="C268" s="4">
        <v>43989.0</v>
      </c>
      <c r="D268" s="1">
        <v>3.0</v>
      </c>
      <c r="E268" s="1">
        <v>3.0</v>
      </c>
      <c r="F268" s="1">
        <v>1.0</v>
      </c>
      <c r="G268" s="1">
        <v>2.0</v>
      </c>
    </row>
    <row r="269">
      <c r="A269" s="1" t="s">
        <v>28</v>
      </c>
      <c r="B269" s="2" t="s">
        <v>43</v>
      </c>
      <c r="C269" s="4">
        <v>43993.0</v>
      </c>
      <c r="D269" s="1">
        <v>3.0</v>
      </c>
      <c r="E269" s="1">
        <v>2.0</v>
      </c>
      <c r="F269" s="1">
        <v>3.0</v>
      </c>
      <c r="G269" s="1">
        <v>1.0</v>
      </c>
    </row>
    <row r="270">
      <c r="A270" s="1" t="s">
        <v>35</v>
      </c>
      <c r="B270" s="2" t="s">
        <v>44</v>
      </c>
      <c r="C270" s="4">
        <v>43995.0</v>
      </c>
      <c r="D270" s="1">
        <v>3.0</v>
      </c>
      <c r="E270" s="1">
        <v>3.0</v>
      </c>
      <c r="F270" s="1">
        <v>1.0</v>
      </c>
      <c r="K270" s="1">
        <v>2.0</v>
      </c>
    </row>
    <row r="271">
      <c r="A271" s="1" t="s">
        <v>53</v>
      </c>
      <c r="B271" s="2">
        <v>12.0</v>
      </c>
      <c r="C271" s="4">
        <v>43995.0</v>
      </c>
      <c r="D271" s="1">
        <v>3.0</v>
      </c>
      <c r="E271" s="1">
        <v>3.0</v>
      </c>
      <c r="F271" s="1">
        <v>1.0</v>
      </c>
      <c r="K271" s="1">
        <v>2.0</v>
      </c>
    </row>
    <row r="272">
      <c r="A272" s="1" t="s">
        <v>54</v>
      </c>
      <c r="B272" s="2" t="s">
        <v>44</v>
      </c>
      <c r="C272" s="4">
        <v>43995.0</v>
      </c>
      <c r="D272" s="1">
        <v>3.0</v>
      </c>
      <c r="E272" s="1">
        <v>3.0</v>
      </c>
      <c r="F272" s="1">
        <v>1.0</v>
      </c>
      <c r="K272" s="1">
        <v>2.0</v>
      </c>
    </row>
    <row r="273">
      <c r="A273" s="1" t="s">
        <v>54</v>
      </c>
      <c r="B273" s="2" t="s">
        <v>44</v>
      </c>
      <c r="C273" s="4">
        <v>43996.0</v>
      </c>
      <c r="D273" s="1">
        <v>3.0</v>
      </c>
      <c r="E273" s="1">
        <v>1.0</v>
      </c>
      <c r="F273" s="1">
        <v>2.0</v>
      </c>
      <c r="K273" s="1">
        <v>3.0</v>
      </c>
    </row>
    <row r="274">
      <c r="A274" s="1" t="s">
        <v>28</v>
      </c>
      <c r="B274" s="2" t="s">
        <v>43</v>
      </c>
      <c r="C274" s="4">
        <v>43996.0</v>
      </c>
      <c r="D274" s="1">
        <v>3.0</v>
      </c>
      <c r="E274" s="1">
        <v>3.0</v>
      </c>
      <c r="F274" s="1">
        <v>1.0</v>
      </c>
      <c r="G274" s="1">
        <v>2.0</v>
      </c>
    </row>
    <row r="275">
      <c r="A275" s="1" t="s">
        <v>28</v>
      </c>
      <c r="B275" s="2" t="s">
        <v>43</v>
      </c>
      <c r="C275" s="4">
        <v>44001.0</v>
      </c>
      <c r="D275" s="1">
        <v>3.0</v>
      </c>
      <c r="E275" s="1">
        <v>2.0</v>
      </c>
      <c r="F275" s="1">
        <v>1.0</v>
      </c>
      <c r="G275" s="1">
        <v>3.0</v>
      </c>
    </row>
    <row r="276">
      <c r="A276" s="1" t="s">
        <v>28</v>
      </c>
      <c r="B276" s="2" t="s">
        <v>43</v>
      </c>
      <c r="C276" s="4">
        <v>44003.0</v>
      </c>
      <c r="D276" s="1">
        <v>3.0</v>
      </c>
      <c r="E276" s="1">
        <v>3.0</v>
      </c>
      <c r="F276" s="1">
        <v>2.0</v>
      </c>
      <c r="G276" s="1">
        <v>1.0</v>
      </c>
    </row>
    <row r="277">
      <c r="A277" s="1" t="s">
        <v>28</v>
      </c>
      <c r="B277" s="2" t="s">
        <v>43</v>
      </c>
      <c r="C277" s="4">
        <v>44003.0</v>
      </c>
      <c r="D277" s="1">
        <v>3.0</v>
      </c>
      <c r="E277" s="1">
        <v>1.0</v>
      </c>
      <c r="F277" s="1">
        <v>2.0</v>
      </c>
      <c r="G277" s="1">
        <v>3.0</v>
      </c>
    </row>
    <row r="278">
      <c r="A278" s="1" t="s">
        <v>28</v>
      </c>
      <c r="B278" s="2" t="s">
        <v>43</v>
      </c>
      <c r="C278" s="4">
        <v>44007.0</v>
      </c>
      <c r="D278" s="1">
        <v>3.0</v>
      </c>
      <c r="E278" s="1">
        <v>3.0</v>
      </c>
      <c r="F278" s="1">
        <v>1.0</v>
      </c>
      <c r="G278" s="1">
        <v>2.0</v>
      </c>
    </row>
    <row r="279">
      <c r="A279" s="1" t="s">
        <v>32</v>
      </c>
      <c r="B279" s="2" t="s">
        <v>44</v>
      </c>
      <c r="C279" s="3">
        <v>44009.0</v>
      </c>
      <c r="D279" s="1">
        <v>3.0</v>
      </c>
      <c r="E279" s="1">
        <v>2.0</v>
      </c>
      <c r="F279" s="1">
        <v>1.0</v>
      </c>
      <c r="H279" s="1">
        <v>3.0</v>
      </c>
    </row>
    <row r="280">
      <c r="A280" s="1" t="s">
        <v>28</v>
      </c>
      <c r="B280" s="2" t="s">
        <v>43</v>
      </c>
      <c r="C280" s="4">
        <v>44010.0</v>
      </c>
      <c r="D280" s="1">
        <v>3.0</v>
      </c>
      <c r="E280" s="1">
        <v>1.0</v>
      </c>
      <c r="F280" s="1">
        <v>2.0</v>
      </c>
      <c r="G280" s="1">
        <v>3.0</v>
      </c>
    </row>
    <row r="281">
      <c r="A281" s="1" t="s">
        <v>28</v>
      </c>
      <c r="B281" s="2" t="s">
        <v>43</v>
      </c>
      <c r="C281" s="4">
        <v>44014.0</v>
      </c>
      <c r="D281" s="1">
        <v>3.0</v>
      </c>
      <c r="E281" s="1">
        <v>3.0</v>
      </c>
      <c r="F281" s="1">
        <v>2.0</v>
      </c>
      <c r="G281" s="1">
        <v>1.0</v>
      </c>
    </row>
    <row r="282">
      <c r="A282" s="1" t="s">
        <v>32</v>
      </c>
      <c r="B282" s="2" t="s">
        <v>48</v>
      </c>
      <c r="C282" s="4">
        <v>44017.0</v>
      </c>
      <c r="D282" s="1">
        <v>3.0</v>
      </c>
      <c r="E282" s="1">
        <v>1.0</v>
      </c>
      <c r="F282" s="1">
        <v>1.0</v>
      </c>
      <c r="H282" s="1">
        <v>3.0</v>
      </c>
    </row>
    <row r="283">
      <c r="A283" s="1" t="s">
        <v>28</v>
      </c>
      <c r="B283" s="2" t="s">
        <v>43</v>
      </c>
      <c r="C283" s="4">
        <v>44024.0</v>
      </c>
      <c r="D283" s="1">
        <v>3.0</v>
      </c>
      <c r="E283" s="1">
        <v>2.0</v>
      </c>
      <c r="F283" s="1">
        <v>3.0</v>
      </c>
      <c r="G283" s="1">
        <v>1.0</v>
      </c>
    </row>
    <row r="284">
      <c r="A284" s="1" t="s">
        <v>28</v>
      </c>
      <c r="B284" s="2" t="s">
        <v>43</v>
      </c>
      <c r="C284" s="4">
        <v>44035.0</v>
      </c>
      <c r="D284" s="1">
        <v>3.0</v>
      </c>
      <c r="E284" s="1">
        <v>1.0</v>
      </c>
      <c r="F284" s="1">
        <v>3.0</v>
      </c>
      <c r="G284" s="1">
        <v>2.0</v>
      </c>
    </row>
    <row r="285">
      <c r="A285" s="1" t="s">
        <v>28</v>
      </c>
      <c r="B285" s="2" t="s">
        <v>43</v>
      </c>
      <c r="C285" s="4">
        <v>44038.0</v>
      </c>
      <c r="D285" s="1">
        <v>3.0</v>
      </c>
      <c r="E285" s="1">
        <v>2.0</v>
      </c>
      <c r="F285" s="1">
        <v>3.0</v>
      </c>
      <c r="G285" s="1">
        <v>1.0</v>
      </c>
    </row>
    <row r="286">
      <c r="A286" s="1" t="s">
        <v>28</v>
      </c>
      <c r="B286" s="2" t="s">
        <v>43</v>
      </c>
      <c r="C286" s="4">
        <v>44042.0</v>
      </c>
      <c r="D286" s="1">
        <v>3.0</v>
      </c>
      <c r="E286" s="1">
        <v>2.0</v>
      </c>
      <c r="F286" s="1">
        <v>3.0</v>
      </c>
      <c r="G286" s="1">
        <v>1.0</v>
      </c>
    </row>
    <row r="287">
      <c r="A287" s="1" t="s">
        <v>23</v>
      </c>
      <c r="B287" s="2" t="s">
        <v>55</v>
      </c>
      <c r="C287" s="4">
        <v>44044.0</v>
      </c>
      <c r="D287" s="1">
        <v>3.0</v>
      </c>
      <c r="E287" s="1">
        <v>1.0</v>
      </c>
      <c r="F287" s="1">
        <v>3.0</v>
      </c>
      <c r="H287" s="1">
        <v>1.0</v>
      </c>
    </row>
    <row r="288">
      <c r="A288" s="1" t="s">
        <v>56</v>
      </c>
      <c r="B288" s="2" t="s">
        <v>44</v>
      </c>
      <c r="C288" s="4">
        <v>44044.0</v>
      </c>
      <c r="D288" s="1">
        <v>3.0</v>
      </c>
      <c r="E288" s="1">
        <v>3.0</v>
      </c>
      <c r="F288" s="1">
        <v>1.0</v>
      </c>
      <c r="H288" s="1">
        <v>2.0</v>
      </c>
    </row>
    <row r="289">
      <c r="A289" s="1" t="s">
        <v>28</v>
      </c>
      <c r="B289" s="2" t="s">
        <v>43</v>
      </c>
      <c r="C289" s="4">
        <v>44045.0</v>
      </c>
      <c r="D289" s="1">
        <v>3.0</v>
      </c>
      <c r="E289" s="1">
        <v>3.0</v>
      </c>
      <c r="F289" s="1">
        <v>1.0</v>
      </c>
      <c r="G289" s="1">
        <v>2.0</v>
      </c>
    </row>
    <row r="290">
      <c r="A290" s="1" t="s">
        <v>28</v>
      </c>
      <c r="B290" s="2" t="s">
        <v>43</v>
      </c>
      <c r="C290" s="4">
        <v>44058.0</v>
      </c>
      <c r="D290" s="1">
        <v>4.0</v>
      </c>
      <c r="E290" s="1">
        <v>3.0</v>
      </c>
      <c r="F290" s="1">
        <v>1.0</v>
      </c>
      <c r="G290" s="1">
        <v>2.0</v>
      </c>
      <c r="H290" s="1">
        <v>4.0</v>
      </c>
    </row>
    <row r="291">
      <c r="A291" s="1" t="s">
        <v>23</v>
      </c>
      <c r="B291" s="2" t="s">
        <v>55</v>
      </c>
      <c r="C291" s="4">
        <v>44058.0</v>
      </c>
      <c r="D291" s="1">
        <v>3.0</v>
      </c>
      <c r="E291" s="1">
        <v>2.0</v>
      </c>
      <c r="F291" s="1">
        <v>3.0</v>
      </c>
      <c r="G291" s="1">
        <v>1.0</v>
      </c>
    </row>
    <row r="292">
      <c r="A292" s="1" t="s">
        <v>32</v>
      </c>
      <c r="B292" s="2" t="s">
        <v>44</v>
      </c>
      <c r="C292" s="4">
        <v>44065.0</v>
      </c>
      <c r="D292" s="1">
        <v>3.0</v>
      </c>
      <c r="E292" s="1">
        <v>3.0</v>
      </c>
      <c r="F292" s="1">
        <v>1.0</v>
      </c>
      <c r="H292" s="1">
        <v>2.0</v>
      </c>
    </row>
    <row r="293">
      <c r="A293" s="1" t="s">
        <v>28</v>
      </c>
      <c r="B293" s="2" t="s">
        <v>43</v>
      </c>
      <c r="C293" s="4">
        <v>44066.0</v>
      </c>
      <c r="D293" s="1">
        <v>3.0</v>
      </c>
      <c r="E293" s="1">
        <v>3.0</v>
      </c>
      <c r="F293" s="1">
        <v>2.0</v>
      </c>
      <c r="G293" s="1">
        <v>1.0</v>
      </c>
    </row>
    <row r="294">
      <c r="A294" s="1" t="s">
        <v>28</v>
      </c>
      <c r="B294" s="2" t="s">
        <v>43</v>
      </c>
      <c r="C294" s="4">
        <v>44066.0</v>
      </c>
      <c r="D294" s="1">
        <v>3.0</v>
      </c>
      <c r="E294" s="1">
        <v>2.0</v>
      </c>
      <c r="F294" s="1">
        <v>1.0</v>
      </c>
      <c r="G294" s="1">
        <v>3.0</v>
      </c>
    </row>
    <row r="295">
      <c r="A295" s="1" t="s">
        <v>28</v>
      </c>
      <c r="B295" s="2" t="s">
        <v>43</v>
      </c>
      <c r="C295" s="4">
        <v>44069.0</v>
      </c>
      <c r="D295" s="1">
        <v>3.0</v>
      </c>
      <c r="E295" s="1">
        <v>1.0</v>
      </c>
      <c r="F295" s="1">
        <v>3.0</v>
      </c>
      <c r="G295" s="1">
        <v>2.0</v>
      </c>
    </row>
    <row r="296">
      <c r="A296" s="1" t="s">
        <v>23</v>
      </c>
      <c r="B296" s="2" t="s">
        <v>55</v>
      </c>
      <c r="C296" s="4">
        <v>44072.0</v>
      </c>
      <c r="D296" s="1">
        <v>3.0</v>
      </c>
      <c r="E296" s="1">
        <v>1.0</v>
      </c>
      <c r="F296" s="1">
        <v>2.0</v>
      </c>
      <c r="H296" s="1">
        <v>3.0</v>
      </c>
    </row>
    <row r="297">
      <c r="A297" s="1" t="s">
        <v>28</v>
      </c>
      <c r="B297" s="2" t="s">
        <v>43</v>
      </c>
      <c r="C297" s="4">
        <v>44073.0</v>
      </c>
      <c r="D297" s="1">
        <v>3.0</v>
      </c>
      <c r="E297" s="1">
        <v>2.0</v>
      </c>
      <c r="F297" s="1">
        <v>3.0</v>
      </c>
      <c r="G297" s="1">
        <v>1.0</v>
      </c>
    </row>
    <row r="298">
      <c r="A298" s="1" t="s">
        <v>28</v>
      </c>
      <c r="B298" s="2" t="s">
        <v>43</v>
      </c>
      <c r="C298" s="4">
        <v>44076.0</v>
      </c>
      <c r="D298" s="1">
        <v>3.0</v>
      </c>
      <c r="E298" s="1">
        <v>3.0</v>
      </c>
      <c r="F298" s="1">
        <v>1.0</v>
      </c>
      <c r="G298" s="1">
        <v>2.0</v>
      </c>
    </row>
    <row r="299">
      <c r="A299" s="1" t="s">
        <v>23</v>
      </c>
      <c r="B299" s="2" t="s">
        <v>44</v>
      </c>
      <c r="C299" s="4">
        <v>44080.0</v>
      </c>
      <c r="D299" s="1">
        <v>4.0</v>
      </c>
      <c r="E299" s="1">
        <v>4.0</v>
      </c>
      <c r="F299" s="1">
        <v>1.0</v>
      </c>
      <c r="H299" s="1">
        <v>3.0</v>
      </c>
      <c r="K299" s="1">
        <v>2.0</v>
      </c>
    </row>
    <row r="300">
      <c r="A300" s="1" t="s">
        <v>28</v>
      </c>
      <c r="B300" s="2" t="s">
        <v>43</v>
      </c>
      <c r="C300" s="4">
        <v>44081.0</v>
      </c>
      <c r="D300" s="1">
        <v>3.0</v>
      </c>
      <c r="E300" s="1">
        <v>3.0</v>
      </c>
      <c r="F300" s="1">
        <v>2.0</v>
      </c>
      <c r="G300" s="1">
        <v>1.0</v>
      </c>
    </row>
    <row r="301">
      <c r="A301" s="1" t="s">
        <v>38</v>
      </c>
      <c r="B301" s="2" t="s">
        <v>44</v>
      </c>
      <c r="C301" s="4">
        <v>44086.0</v>
      </c>
      <c r="D301" s="1">
        <v>3.0</v>
      </c>
      <c r="E301" s="1">
        <v>1.0</v>
      </c>
      <c r="F301" s="1">
        <v>2.0</v>
      </c>
      <c r="H301" s="1">
        <v>2.0</v>
      </c>
    </row>
    <row r="302">
      <c r="A302" s="1" t="s">
        <v>28</v>
      </c>
      <c r="B302" s="2" t="s">
        <v>43</v>
      </c>
      <c r="C302" s="4">
        <v>44087.0</v>
      </c>
      <c r="D302" s="1">
        <v>3.0</v>
      </c>
      <c r="E302" s="1">
        <v>1.0</v>
      </c>
      <c r="F302" s="1">
        <v>2.0</v>
      </c>
      <c r="G302" s="1">
        <v>3.0</v>
      </c>
    </row>
    <row r="303">
      <c r="A303" s="1" t="s">
        <v>28</v>
      </c>
      <c r="B303" s="2" t="s">
        <v>43</v>
      </c>
      <c r="C303" s="4">
        <v>44093.0</v>
      </c>
      <c r="D303" s="1">
        <v>3.0</v>
      </c>
      <c r="E303" s="1">
        <v>2.0</v>
      </c>
      <c r="F303" s="1">
        <v>1.0</v>
      </c>
      <c r="G303" s="1">
        <v>3.0</v>
      </c>
    </row>
    <row r="304">
      <c r="A304" s="1" t="s">
        <v>28</v>
      </c>
      <c r="B304" s="2" t="s">
        <v>43</v>
      </c>
      <c r="C304" s="4">
        <v>44097.0</v>
      </c>
      <c r="D304" s="1">
        <v>3.0</v>
      </c>
      <c r="E304" s="1">
        <v>3.0</v>
      </c>
      <c r="F304" s="1">
        <v>1.0</v>
      </c>
      <c r="G304" s="1">
        <v>2.0</v>
      </c>
    </row>
    <row r="305">
      <c r="A305" s="1" t="s">
        <v>28</v>
      </c>
      <c r="B305" s="2" t="s">
        <v>43</v>
      </c>
      <c r="C305" s="4">
        <v>44101.0</v>
      </c>
      <c r="D305" s="1">
        <v>3.0</v>
      </c>
      <c r="E305" s="1">
        <v>1.0</v>
      </c>
      <c r="F305" s="1">
        <v>3.0</v>
      </c>
      <c r="G305" s="1">
        <v>2.0</v>
      </c>
    </row>
    <row r="306">
      <c r="A306" s="1" t="s">
        <v>28</v>
      </c>
      <c r="B306" s="2" t="s">
        <v>43</v>
      </c>
      <c r="C306" s="4">
        <v>44118.0</v>
      </c>
      <c r="D306" s="1">
        <v>3.0</v>
      </c>
      <c r="E306" s="1">
        <v>2.0</v>
      </c>
      <c r="F306" s="1">
        <v>1.0</v>
      </c>
      <c r="G306" s="1">
        <v>3.0</v>
      </c>
    </row>
    <row r="307">
      <c r="A307" s="1" t="s">
        <v>32</v>
      </c>
      <c r="B307" s="2" t="s">
        <v>44</v>
      </c>
      <c r="C307" s="4">
        <v>44121.0</v>
      </c>
      <c r="D307" s="1">
        <v>3.0</v>
      </c>
      <c r="E307" s="1">
        <v>3.0</v>
      </c>
      <c r="F307" s="1">
        <v>2.0</v>
      </c>
      <c r="H307" s="1">
        <v>1.0</v>
      </c>
    </row>
    <row r="308">
      <c r="A308" s="1" t="s">
        <v>28</v>
      </c>
      <c r="B308" s="2" t="s">
        <v>43</v>
      </c>
      <c r="C308" s="4">
        <v>44122.0</v>
      </c>
      <c r="D308" s="1">
        <v>3.0</v>
      </c>
      <c r="E308" s="1">
        <v>1.0</v>
      </c>
      <c r="F308" s="1">
        <v>3.0</v>
      </c>
      <c r="G308" s="1">
        <v>2.0</v>
      </c>
    </row>
    <row r="309">
      <c r="A309" s="1" t="s">
        <v>28</v>
      </c>
      <c r="B309" s="2" t="s">
        <v>43</v>
      </c>
      <c r="C309" s="4">
        <v>44125.0</v>
      </c>
      <c r="D309" s="1">
        <v>3.0</v>
      </c>
      <c r="E309" s="1">
        <v>2.0</v>
      </c>
      <c r="F309" s="1">
        <v>1.0</v>
      </c>
      <c r="G309" s="1">
        <v>3.0</v>
      </c>
    </row>
    <row r="310">
      <c r="A310" s="1" t="s">
        <v>28</v>
      </c>
      <c r="B310" s="2" t="s">
        <v>43</v>
      </c>
      <c r="C310" s="4">
        <v>44129.0</v>
      </c>
      <c r="D310" s="1">
        <v>3.0</v>
      </c>
      <c r="E310" s="1">
        <v>1.0</v>
      </c>
      <c r="F310" s="1">
        <v>2.0</v>
      </c>
      <c r="G310" s="1">
        <v>3.0</v>
      </c>
    </row>
    <row r="311">
      <c r="A311" s="1" t="s">
        <v>28</v>
      </c>
      <c r="B311" s="2" t="s">
        <v>43</v>
      </c>
      <c r="C311" s="4">
        <v>44132.0</v>
      </c>
      <c r="D311" s="1">
        <v>3.0</v>
      </c>
      <c r="E311" s="1">
        <v>1.0</v>
      </c>
      <c r="F311" s="1">
        <v>2.0</v>
      </c>
      <c r="G311" s="1">
        <v>3.0</v>
      </c>
    </row>
    <row r="312">
      <c r="A312" s="1" t="s">
        <v>26</v>
      </c>
      <c r="B312" s="2" t="s">
        <v>44</v>
      </c>
      <c r="C312" s="4">
        <v>44135.0</v>
      </c>
      <c r="D312" s="1">
        <v>4.0</v>
      </c>
      <c r="E312" s="1">
        <v>3.0</v>
      </c>
      <c r="F312" s="1">
        <v>1.0</v>
      </c>
      <c r="H312" s="1">
        <v>2.0</v>
      </c>
      <c r="M312" s="1">
        <v>4.0</v>
      </c>
    </row>
    <row r="313">
      <c r="A313" s="1" t="s">
        <v>26</v>
      </c>
      <c r="B313" s="2" t="s">
        <v>44</v>
      </c>
      <c r="C313" s="4">
        <v>44135.0</v>
      </c>
      <c r="D313" s="1">
        <v>4.0</v>
      </c>
      <c r="E313" s="1">
        <v>2.0</v>
      </c>
      <c r="F313" s="1">
        <v>4.0</v>
      </c>
      <c r="H313" s="1">
        <v>3.0</v>
      </c>
      <c r="M313" s="1">
        <v>1.0</v>
      </c>
    </row>
    <row r="314">
      <c r="A314" s="1" t="s">
        <v>28</v>
      </c>
      <c r="B314" s="2" t="s">
        <v>43</v>
      </c>
      <c r="C314" s="4">
        <v>44136.0</v>
      </c>
      <c r="D314" s="1">
        <v>4.0</v>
      </c>
      <c r="E314" s="1">
        <v>1.0</v>
      </c>
      <c r="F314" s="1">
        <v>3.0</v>
      </c>
      <c r="G314" s="1">
        <v>2.0</v>
      </c>
    </row>
    <row r="315">
      <c r="A315" s="1" t="s">
        <v>28</v>
      </c>
      <c r="B315" s="2" t="s">
        <v>43</v>
      </c>
      <c r="C315" s="4">
        <v>44139.0</v>
      </c>
      <c r="D315" s="1">
        <v>3.0</v>
      </c>
      <c r="E315" s="1">
        <v>3.0</v>
      </c>
      <c r="F315" s="1">
        <v>2.0</v>
      </c>
      <c r="G315" s="1">
        <v>1.0</v>
      </c>
    </row>
    <row r="316">
      <c r="A316" s="1" t="s">
        <v>28</v>
      </c>
      <c r="B316" s="2" t="s">
        <v>43</v>
      </c>
      <c r="C316" s="4">
        <v>44143.0</v>
      </c>
      <c r="D316" s="1">
        <v>3.0</v>
      </c>
      <c r="E316" s="1">
        <v>2.0</v>
      </c>
      <c r="F316" s="1">
        <v>1.0</v>
      </c>
      <c r="G316" s="1">
        <v>3.0</v>
      </c>
    </row>
    <row r="317">
      <c r="A317" s="1" t="s">
        <v>28</v>
      </c>
      <c r="B317" s="2" t="s">
        <v>43</v>
      </c>
      <c r="C317" s="4">
        <v>44146.0</v>
      </c>
      <c r="D317" s="1">
        <v>3.0</v>
      </c>
      <c r="E317" s="1">
        <v>3.0</v>
      </c>
      <c r="F317" s="1">
        <v>1.0</v>
      </c>
      <c r="G317" s="1">
        <v>2.0</v>
      </c>
    </row>
    <row r="318">
      <c r="A318" s="1" t="s">
        <v>28</v>
      </c>
      <c r="B318" s="2" t="s">
        <v>43</v>
      </c>
      <c r="C318" s="4">
        <v>44150.0</v>
      </c>
      <c r="D318" s="1">
        <v>3.0</v>
      </c>
      <c r="E318" s="1">
        <v>2.0</v>
      </c>
      <c r="F318" s="1">
        <v>3.0</v>
      </c>
      <c r="G318" s="1">
        <v>1.0</v>
      </c>
    </row>
    <row r="319">
      <c r="A319" s="1" t="s">
        <v>32</v>
      </c>
      <c r="B319" s="2" t="s">
        <v>48</v>
      </c>
      <c r="C319" s="4">
        <v>44155.0</v>
      </c>
      <c r="D319" s="1">
        <v>3.0</v>
      </c>
      <c r="E319" s="1">
        <v>3.0</v>
      </c>
      <c r="F319" s="1">
        <v>1.0</v>
      </c>
      <c r="H319" s="1">
        <v>2.0</v>
      </c>
    </row>
    <row r="320">
      <c r="A320" s="1" t="s">
        <v>39</v>
      </c>
      <c r="B320" s="2" t="s">
        <v>36</v>
      </c>
      <c r="C320" s="4">
        <v>44156.0</v>
      </c>
      <c r="D320" s="1">
        <v>3.0</v>
      </c>
      <c r="E320" s="1">
        <v>1.0</v>
      </c>
      <c r="F320" s="1">
        <v>3.0</v>
      </c>
      <c r="G320" s="1">
        <v>2.0</v>
      </c>
    </row>
    <row r="321">
      <c r="A321" s="1" t="s">
        <v>38</v>
      </c>
      <c r="B321" s="2" t="s">
        <v>44</v>
      </c>
      <c r="C321" s="4">
        <v>44156.0</v>
      </c>
      <c r="D321" s="1">
        <v>3.0</v>
      </c>
      <c r="E321" s="1">
        <v>3.0</v>
      </c>
      <c r="F321" s="1">
        <v>2.0</v>
      </c>
      <c r="H321" s="1">
        <v>1.0</v>
      </c>
    </row>
    <row r="322">
      <c r="A322" s="1" t="s">
        <v>28</v>
      </c>
      <c r="B322" s="2" t="s">
        <v>57</v>
      </c>
      <c r="C322" s="4">
        <v>44157.0</v>
      </c>
      <c r="D322" s="1">
        <v>3.0</v>
      </c>
      <c r="E322" s="1">
        <v>2.0</v>
      </c>
      <c r="F322" s="1">
        <v>1.0</v>
      </c>
      <c r="G322" s="1">
        <v>3.0</v>
      </c>
    </row>
    <row r="323">
      <c r="A323" s="1" t="s">
        <v>28</v>
      </c>
      <c r="B323" s="2" t="s">
        <v>57</v>
      </c>
      <c r="C323" s="4">
        <v>44167.0</v>
      </c>
      <c r="D323" s="1">
        <v>3.0</v>
      </c>
      <c r="E323" s="1">
        <v>3.0</v>
      </c>
      <c r="F323" s="1">
        <v>1.0</v>
      </c>
      <c r="G323" s="1">
        <v>2.0</v>
      </c>
    </row>
    <row r="324">
      <c r="A324" s="1" t="s">
        <v>28</v>
      </c>
      <c r="B324" s="2" t="s">
        <v>57</v>
      </c>
      <c r="C324" s="4">
        <v>44170.0</v>
      </c>
      <c r="D324" s="1">
        <v>3.0</v>
      </c>
      <c r="E324" s="1">
        <v>3.0</v>
      </c>
      <c r="F324" s="1">
        <v>2.0</v>
      </c>
      <c r="G324" s="1">
        <v>1.0</v>
      </c>
    </row>
    <row r="325">
      <c r="A325" s="1" t="s">
        <v>28</v>
      </c>
      <c r="B325" s="2" t="s">
        <v>57</v>
      </c>
      <c r="C325" s="4">
        <v>44171.0</v>
      </c>
      <c r="D325" s="1">
        <v>3.0</v>
      </c>
      <c r="E325" s="1">
        <v>2.0</v>
      </c>
      <c r="F325" s="1">
        <v>1.0</v>
      </c>
      <c r="G325" s="1">
        <v>3.0</v>
      </c>
    </row>
    <row r="326">
      <c r="A326" s="1" t="s">
        <v>28</v>
      </c>
      <c r="B326" s="2" t="s">
        <v>57</v>
      </c>
      <c r="C326" s="4">
        <v>44174.0</v>
      </c>
      <c r="D326" s="1">
        <v>3.0</v>
      </c>
      <c r="E326" s="1">
        <v>3.0</v>
      </c>
      <c r="F326" s="1">
        <v>2.0</v>
      </c>
      <c r="G326" s="1">
        <v>1.0</v>
      </c>
    </row>
    <row r="327">
      <c r="A327" s="1" t="s">
        <v>28</v>
      </c>
      <c r="B327" s="2" t="s">
        <v>57</v>
      </c>
      <c r="C327" s="4">
        <v>44178.0</v>
      </c>
      <c r="D327" s="1">
        <v>3.0</v>
      </c>
      <c r="E327" s="1">
        <v>1.0</v>
      </c>
      <c r="F327" s="1">
        <v>3.0</v>
      </c>
      <c r="G327" s="1">
        <v>2.0</v>
      </c>
    </row>
    <row r="328">
      <c r="A328" s="1" t="s">
        <v>28</v>
      </c>
      <c r="B328" s="2" t="s">
        <v>57</v>
      </c>
      <c r="C328" s="4">
        <v>44181.0</v>
      </c>
      <c r="D328" s="1">
        <v>3.0</v>
      </c>
      <c r="E328" s="1">
        <v>2.0</v>
      </c>
      <c r="F328" s="1">
        <v>1.0</v>
      </c>
      <c r="G328" s="1">
        <v>3.0</v>
      </c>
    </row>
    <row r="329">
      <c r="A329" s="1" t="s">
        <v>38</v>
      </c>
      <c r="B329" s="2" t="s">
        <v>44</v>
      </c>
      <c r="C329" s="4">
        <v>44183.0</v>
      </c>
      <c r="D329" s="1">
        <v>3.0</v>
      </c>
      <c r="E329" s="1">
        <v>1.0</v>
      </c>
      <c r="F329" s="1">
        <v>2.0</v>
      </c>
      <c r="H329" s="1">
        <v>3.0</v>
      </c>
    </row>
    <row r="330">
      <c r="A330" s="1" t="s">
        <v>28</v>
      </c>
      <c r="B330" s="2" t="s">
        <v>57</v>
      </c>
      <c r="C330" s="4">
        <v>44185.0</v>
      </c>
      <c r="D330" s="1">
        <v>3.0</v>
      </c>
      <c r="E330" s="1">
        <v>1.0</v>
      </c>
      <c r="F330" s="1">
        <v>2.0</v>
      </c>
      <c r="G330" s="1">
        <v>3.0</v>
      </c>
    </row>
    <row r="331">
      <c r="A331" s="1" t="s">
        <v>28</v>
      </c>
      <c r="B331" s="2" t="s">
        <v>57</v>
      </c>
      <c r="C331" s="4">
        <v>44190.0</v>
      </c>
      <c r="D331" s="1">
        <v>3.0</v>
      </c>
      <c r="E331" s="1">
        <v>2.0</v>
      </c>
      <c r="F331" s="1">
        <v>3.0</v>
      </c>
      <c r="G331" s="1">
        <v>1.0</v>
      </c>
    </row>
    <row r="332">
      <c r="A332" s="1" t="s">
        <v>28</v>
      </c>
      <c r="B332" s="2" t="s">
        <v>43</v>
      </c>
      <c r="C332" s="4">
        <v>44192.0</v>
      </c>
      <c r="D332" s="1">
        <v>3.0</v>
      </c>
      <c r="E332" s="1">
        <v>2.0</v>
      </c>
      <c r="F332" s="1">
        <v>3.0</v>
      </c>
      <c r="G332" s="1">
        <v>1.0</v>
      </c>
    </row>
    <row r="333">
      <c r="A333" s="1" t="s">
        <v>28</v>
      </c>
      <c r="B333" s="2" t="s">
        <v>43</v>
      </c>
      <c r="C333" s="3">
        <v>44195.0</v>
      </c>
      <c r="D333" s="1">
        <v>3.0</v>
      </c>
      <c r="E333" s="1">
        <v>2.0</v>
      </c>
      <c r="F333" s="1">
        <v>3.0</v>
      </c>
      <c r="G333" s="1">
        <v>1.0</v>
      </c>
    </row>
    <row r="334">
      <c r="A334" s="1" t="s">
        <v>28</v>
      </c>
      <c r="B334" s="2" t="s">
        <v>43</v>
      </c>
      <c r="C334" s="4">
        <v>44199.0</v>
      </c>
      <c r="D334" s="1">
        <v>3.0</v>
      </c>
      <c r="E334" s="1">
        <v>1.0</v>
      </c>
      <c r="F334" s="1">
        <v>3.0</v>
      </c>
      <c r="G334" s="1">
        <v>2.0</v>
      </c>
    </row>
    <row r="335">
      <c r="A335" s="1" t="s">
        <v>28</v>
      </c>
      <c r="B335" s="2" t="s">
        <v>43</v>
      </c>
      <c r="C335" s="4">
        <v>44202.0</v>
      </c>
      <c r="D335" s="1">
        <v>3.0</v>
      </c>
      <c r="E335" s="1">
        <v>2.0</v>
      </c>
      <c r="F335" s="1">
        <v>1.0</v>
      </c>
      <c r="G335" s="1">
        <v>3.0</v>
      </c>
    </row>
    <row r="336">
      <c r="A336" s="1" t="s">
        <v>28</v>
      </c>
      <c r="B336" s="2" t="s">
        <v>43</v>
      </c>
      <c r="C336" s="4">
        <v>44206.0</v>
      </c>
      <c r="D336" s="1">
        <v>3.0</v>
      </c>
      <c r="E336" s="1">
        <v>3.0</v>
      </c>
      <c r="F336" s="1">
        <v>1.0</v>
      </c>
      <c r="G336" s="1">
        <v>2.0</v>
      </c>
    </row>
    <row r="337">
      <c r="A337" s="1" t="s">
        <v>32</v>
      </c>
      <c r="B337" s="2" t="s">
        <v>48</v>
      </c>
      <c r="C337" s="4">
        <v>44212.0</v>
      </c>
      <c r="D337" s="1">
        <v>3.0</v>
      </c>
      <c r="E337" s="1">
        <v>2.0</v>
      </c>
      <c r="F337" s="1">
        <v>1.0</v>
      </c>
      <c r="H337" s="1">
        <v>3.0</v>
      </c>
    </row>
    <row r="338">
      <c r="A338" s="1" t="s">
        <v>28</v>
      </c>
      <c r="B338" s="2" t="s">
        <v>43</v>
      </c>
      <c r="C338" s="4">
        <v>44213.0</v>
      </c>
      <c r="D338" s="1">
        <v>4.0</v>
      </c>
      <c r="E338" s="1">
        <v>1.0</v>
      </c>
      <c r="F338" s="1">
        <v>2.0</v>
      </c>
      <c r="G338" s="1">
        <v>4.0</v>
      </c>
      <c r="H338" s="1">
        <v>3.0</v>
      </c>
    </row>
    <row r="339">
      <c r="A339" s="1" t="s">
        <v>28</v>
      </c>
      <c r="B339" s="2" t="s">
        <v>43</v>
      </c>
      <c r="C339" s="4">
        <v>44217.0</v>
      </c>
      <c r="D339" s="1">
        <v>3.0</v>
      </c>
      <c r="E339" s="1">
        <v>2.0</v>
      </c>
      <c r="F339" s="1">
        <v>1.0</v>
      </c>
      <c r="G339" s="1">
        <v>3.0</v>
      </c>
    </row>
    <row r="340">
      <c r="A340" s="1" t="s">
        <v>28</v>
      </c>
      <c r="B340" s="2" t="s">
        <v>43</v>
      </c>
      <c r="C340" s="4">
        <v>44226.0</v>
      </c>
      <c r="D340" s="1">
        <v>3.0</v>
      </c>
      <c r="E340" s="1">
        <v>2.0</v>
      </c>
      <c r="F340" s="1">
        <v>1.0</v>
      </c>
      <c r="G340" s="1">
        <v>3.0</v>
      </c>
    </row>
    <row r="341">
      <c r="A341" s="1" t="s">
        <v>28</v>
      </c>
      <c r="B341" s="2" t="s">
        <v>43</v>
      </c>
      <c r="C341" s="4">
        <v>44231.0</v>
      </c>
      <c r="D341" s="1">
        <v>3.0</v>
      </c>
      <c r="E341" s="1">
        <v>3.0</v>
      </c>
      <c r="F341" s="1">
        <v>2.0</v>
      </c>
      <c r="G341" s="1">
        <v>1.0</v>
      </c>
    </row>
    <row r="342">
      <c r="A342" s="1" t="s">
        <v>38</v>
      </c>
      <c r="B342" s="2" t="s">
        <v>44</v>
      </c>
      <c r="C342" s="4">
        <v>44233.0</v>
      </c>
      <c r="D342" s="1">
        <v>3.0</v>
      </c>
      <c r="E342" s="1">
        <v>3.0</v>
      </c>
      <c r="F342" s="1">
        <v>1.0</v>
      </c>
      <c r="G342" s="1">
        <v>2.0</v>
      </c>
    </row>
    <row r="343">
      <c r="A343" s="1" t="s">
        <v>32</v>
      </c>
      <c r="B343" s="2" t="s">
        <v>48</v>
      </c>
      <c r="C343" s="4">
        <v>44233.0</v>
      </c>
      <c r="D343" s="1">
        <v>3.0</v>
      </c>
      <c r="E343" s="1">
        <v>3.0</v>
      </c>
      <c r="F343" s="1">
        <v>2.0</v>
      </c>
      <c r="H343" s="1">
        <v>1.0</v>
      </c>
    </row>
    <row r="344">
      <c r="A344" s="1" t="s">
        <v>28</v>
      </c>
      <c r="B344" s="2" t="s">
        <v>43</v>
      </c>
      <c r="C344" s="4">
        <v>44238.0</v>
      </c>
      <c r="D344" s="1">
        <v>3.0</v>
      </c>
      <c r="E344" s="1">
        <v>2.0</v>
      </c>
      <c r="F344" s="1">
        <v>1.0</v>
      </c>
      <c r="G344" s="1">
        <v>3.0</v>
      </c>
    </row>
    <row r="345">
      <c r="A345" s="1" t="s">
        <v>38</v>
      </c>
      <c r="B345" s="2" t="s">
        <v>58</v>
      </c>
      <c r="C345" s="4">
        <v>44241.0</v>
      </c>
      <c r="D345" s="1">
        <v>3.0</v>
      </c>
      <c r="E345" s="1">
        <v>1.0</v>
      </c>
      <c r="F345" s="1">
        <v>3.0</v>
      </c>
      <c r="H345" s="1">
        <v>2.0</v>
      </c>
    </row>
    <row r="346">
      <c r="A346" s="1" t="s">
        <v>38</v>
      </c>
      <c r="B346" s="2" t="s">
        <v>44</v>
      </c>
      <c r="C346" s="4">
        <v>44246.0</v>
      </c>
      <c r="D346" s="1">
        <v>3.0</v>
      </c>
      <c r="E346" s="1">
        <v>2.0</v>
      </c>
      <c r="F346" s="1">
        <v>2.0</v>
      </c>
      <c r="H346" s="1">
        <v>1.0</v>
      </c>
    </row>
    <row r="347">
      <c r="A347" s="1" t="s">
        <v>32</v>
      </c>
      <c r="B347" s="2" t="s">
        <v>44</v>
      </c>
      <c r="C347" s="4">
        <v>44247.0</v>
      </c>
      <c r="D347" s="1">
        <v>3.0</v>
      </c>
      <c r="E347" s="1">
        <v>3.0</v>
      </c>
      <c r="F347" s="1">
        <v>1.0</v>
      </c>
      <c r="H347" s="1">
        <v>2.0</v>
      </c>
    </row>
    <row r="348">
      <c r="A348" s="1" t="s">
        <v>28</v>
      </c>
      <c r="B348" s="2" t="s">
        <v>43</v>
      </c>
      <c r="C348" s="4">
        <v>44248.0</v>
      </c>
      <c r="D348" s="1">
        <v>3.0</v>
      </c>
      <c r="E348" s="1">
        <v>1.0</v>
      </c>
      <c r="F348" s="1">
        <v>3.0</v>
      </c>
      <c r="G348" s="1">
        <v>2.0</v>
      </c>
    </row>
    <row r="349">
      <c r="A349" s="1" t="s">
        <v>28</v>
      </c>
      <c r="B349" s="2" t="s">
        <v>43</v>
      </c>
      <c r="C349" s="4">
        <v>44255.0</v>
      </c>
      <c r="D349" s="1">
        <v>3.0</v>
      </c>
      <c r="E349" s="1">
        <v>1.0</v>
      </c>
      <c r="F349" s="1">
        <v>2.0</v>
      </c>
      <c r="G349" s="1">
        <v>3.0</v>
      </c>
    </row>
    <row r="350">
      <c r="A350" s="1" t="s">
        <v>28</v>
      </c>
      <c r="B350" s="2" t="s">
        <v>43</v>
      </c>
      <c r="C350" s="4">
        <v>44259.0</v>
      </c>
      <c r="D350" s="1">
        <v>3.0</v>
      </c>
      <c r="E350" s="1">
        <v>2.0</v>
      </c>
      <c r="F350" s="1">
        <v>3.0</v>
      </c>
      <c r="G350" s="1">
        <v>1.0</v>
      </c>
    </row>
    <row r="351">
      <c r="A351" s="1" t="s">
        <v>28</v>
      </c>
      <c r="B351" s="2" t="s">
        <v>43</v>
      </c>
      <c r="C351" s="4">
        <v>44262.0</v>
      </c>
      <c r="D351" s="1">
        <v>3.0</v>
      </c>
      <c r="E351" s="1">
        <v>1.0</v>
      </c>
      <c r="F351" s="1">
        <v>2.0</v>
      </c>
      <c r="G351" s="1">
        <v>3.0</v>
      </c>
    </row>
    <row r="352">
      <c r="A352" s="1" t="s">
        <v>28</v>
      </c>
      <c r="B352" s="2" t="s">
        <v>43</v>
      </c>
      <c r="C352" s="4">
        <v>44269.0</v>
      </c>
      <c r="D352" s="1">
        <v>3.0</v>
      </c>
      <c r="E352" s="1">
        <v>2.0</v>
      </c>
      <c r="F352" s="1">
        <v>1.0</v>
      </c>
      <c r="G352" s="1">
        <v>3.0</v>
      </c>
    </row>
    <row r="353">
      <c r="A353" s="1" t="s">
        <v>28</v>
      </c>
      <c r="B353" s="2" t="s">
        <v>43</v>
      </c>
      <c r="C353" s="4">
        <v>44276.0</v>
      </c>
      <c r="D353" s="1">
        <v>3.0</v>
      </c>
      <c r="E353" s="1">
        <v>3.0</v>
      </c>
      <c r="F353" s="1">
        <v>2.0</v>
      </c>
      <c r="G353" s="1">
        <v>1.0</v>
      </c>
    </row>
    <row r="354">
      <c r="A354" s="1" t="s">
        <v>32</v>
      </c>
      <c r="B354" s="2" t="s">
        <v>52</v>
      </c>
      <c r="C354" s="4">
        <v>44282.0</v>
      </c>
      <c r="D354" s="1">
        <v>3.0</v>
      </c>
      <c r="E354" s="1">
        <v>3.0</v>
      </c>
      <c r="F354" s="1">
        <v>1.0</v>
      </c>
      <c r="H354" s="1">
        <v>2.0</v>
      </c>
    </row>
    <row r="355">
      <c r="A355" s="1" t="s">
        <v>28</v>
      </c>
      <c r="B355" s="2" t="s">
        <v>43</v>
      </c>
      <c r="C355" s="4">
        <v>44283.0</v>
      </c>
      <c r="D355" s="1">
        <v>3.0</v>
      </c>
      <c r="E355" s="1">
        <v>3.0</v>
      </c>
      <c r="F355" s="1">
        <v>2.0</v>
      </c>
      <c r="G355" s="1">
        <v>1.0</v>
      </c>
    </row>
    <row r="356">
      <c r="A356" s="1" t="s">
        <v>28</v>
      </c>
      <c r="B356" s="2" t="s">
        <v>43</v>
      </c>
      <c r="C356" s="4">
        <v>44287.0</v>
      </c>
      <c r="D356" s="1">
        <v>3.0</v>
      </c>
      <c r="E356" s="1">
        <v>1.0</v>
      </c>
      <c r="F356" s="1">
        <v>3.0</v>
      </c>
      <c r="G356" s="1">
        <v>2.0</v>
      </c>
    </row>
    <row r="357">
      <c r="A357" s="1" t="s">
        <v>28</v>
      </c>
      <c r="B357" s="2" t="s">
        <v>43</v>
      </c>
      <c r="C357" s="4">
        <v>44290.0</v>
      </c>
      <c r="D357" s="1">
        <v>3.0</v>
      </c>
      <c r="E357" s="1">
        <v>1.0</v>
      </c>
      <c r="F357" s="1">
        <v>3.0</v>
      </c>
      <c r="G357" s="1">
        <v>2.0</v>
      </c>
    </row>
    <row r="358">
      <c r="A358" s="1" t="s">
        <v>28</v>
      </c>
      <c r="B358" s="2" t="s">
        <v>43</v>
      </c>
      <c r="C358" s="4">
        <v>44294.0</v>
      </c>
      <c r="D358" s="1">
        <v>3.0</v>
      </c>
      <c r="E358" s="1">
        <v>3.0</v>
      </c>
      <c r="F358" s="1">
        <v>2.0</v>
      </c>
      <c r="G358" s="1">
        <v>1.0</v>
      </c>
    </row>
    <row r="359">
      <c r="A359" s="1" t="s">
        <v>28</v>
      </c>
      <c r="B359" s="2" t="s">
        <v>43</v>
      </c>
      <c r="C359" s="4">
        <v>44297.0</v>
      </c>
      <c r="D359" s="1">
        <v>3.0</v>
      </c>
      <c r="E359" s="1">
        <v>2.0</v>
      </c>
      <c r="F359" s="1">
        <v>3.0</v>
      </c>
      <c r="G359" s="1">
        <v>1.0</v>
      </c>
    </row>
    <row r="360">
      <c r="A360" s="1" t="s">
        <v>28</v>
      </c>
      <c r="B360" s="2" t="s">
        <v>43</v>
      </c>
      <c r="C360" s="4">
        <v>44301.0</v>
      </c>
      <c r="D360" s="1">
        <v>3.0</v>
      </c>
      <c r="E360" s="1">
        <v>3.0</v>
      </c>
      <c r="F360" s="1">
        <v>2.0</v>
      </c>
      <c r="G360" s="1">
        <v>1.0</v>
      </c>
    </row>
    <row r="361">
      <c r="A361" s="1" t="s">
        <v>28</v>
      </c>
      <c r="B361" s="2" t="s">
        <v>43</v>
      </c>
      <c r="C361" s="4">
        <v>44304.0</v>
      </c>
      <c r="D361" s="1">
        <v>3.0</v>
      </c>
      <c r="E361" s="1">
        <v>2.0</v>
      </c>
      <c r="F361" s="1">
        <v>1.0</v>
      </c>
      <c r="G361" s="1">
        <v>3.0</v>
      </c>
    </row>
    <row r="362">
      <c r="A362" s="1" t="s">
        <v>28</v>
      </c>
      <c r="B362" s="2" t="s">
        <v>43</v>
      </c>
      <c r="C362" s="4">
        <v>44308.0</v>
      </c>
      <c r="D362" s="1">
        <v>3.0</v>
      </c>
      <c r="E362" s="1">
        <v>3.0</v>
      </c>
      <c r="F362" s="1">
        <v>1.0</v>
      </c>
      <c r="G362" s="1">
        <v>2.0</v>
      </c>
    </row>
    <row r="363">
      <c r="A363" s="1" t="s">
        <v>28</v>
      </c>
      <c r="B363" s="2" t="s">
        <v>43</v>
      </c>
      <c r="C363" s="4">
        <v>44318.0</v>
      </c>
      <c r="D363" s="1">
        <v>3.0</v>
      </c>
      <c r="E363" s="1">
        <v>2.0</v>
      </c>
      <c r="F363" s="1">
        <v>1.0</v>
      </c>
      <c r="G363" s="1">
        <v>3.0</v>
      </c>
    </row>
    <row r="364">
      <c r="A364" s="1" t="s">
        <v>28</v>
      </c>
      <c r="B364" s="2" t="s">
        <v>43</v>
      </c>
      <c r="C364" s="4">
        <v>44322.0</v>
      </c>
      <c r="D364" s="1">
        <v>3.0</v>
      </c>
      <c r="E364" s="1">
        <v>3.0</v>
      </c>
      <c r="F364" s="1">
        <v>1.0</v>
      </c>
      <c r="G364" s="1">
        <v>2.0</v>
      </c>
    </row>
    <row r="365">
      <c r="A365" s="1" t="s">
        <v>38</v>
      </c>
      <c r="B365" s="2" t="s">
        <v>59</v>
      </c>
      <c r="C365" s="4">
        <v>44324.0</v>
      </c>
      <c r="D365" s="1">
        <v>3.0</v>
      </c>
      <c r="E365" s="1">
        <v>2.0</v>
      </c>
      <c r="F365" s="1">
        <v>3.0</v>
      </c>
      <c r="H365" s="1">
        <v>1.0</v>
      </c>
    </row>
    <row r="366">
      <c r="A366" s="1" t="s">
        <v>60</v>
      </c>
      <c r="B366" s="2" t="s">
        <v>44</v>
      </c>
      <c r="C366" s="4">
        <v>44324.0</v>
      </c>
      <c r="D366" s="1">
        <v>3.0</v>
      </c>
      <c r="E366" s="1">
        <v>3.0</v>
      </c>
      <c r="F366" s="1">
        <v>2.0</v>
      </c>
      <c r="H366" s="1">
        <v>1.0</v>
      </c>
    </row>
    <row r="367">
      <c r="A367" s="1" t="s">
        <v>32</v>
      </c>
      <c r="B367" s="2" t="s">
        <v>44</v>
      </c>
      <c r="C367" s="4">
        <v>44324.0</v>
      </c>
      <c r="D367" s="1">
        <v>3.0</v>
      </c>
      <c r="E367" s="1">
        <v>2.0</v>
      </c>
      <c r="F367" s="1">
        <v>1.0</v>
      </c>
      <c r="H367" s="1">
        <v>3.0</v>
      </c>
    </row>
    <row r="368">
      <c r="A368" s="1" t="s">
        <v>28</v>
      </c>
      <c r="B368" s="2" t="s">
        <v>43</v>
      </c>
      <c r="C368" s="4">
        <v>44325.0</v>
      </c>
      <c r="D368" s="1">
        <v>3.0</v>
      </c>
      <c r="E368" s="1">
        <v>3.0</v>
      </c>
      <c r="F368" s="1">
        <v>2.0</v>
      </c>
      <c r="G368" s="1">
        <v>1.0</v>
      </c>
    </row>
    <row r="369">
      <c r="A369" s="1" t="s">
        <v>23</v>
      </c>
      <c r="B369" s="5"/>
      <c r="C369" s="4">
        <v>44331.0</v>
      </c>
      <c r="D369" s="1">
        <v>3.0</v>
      </c>
      <c r="E369" s="1">
        <v>1.0</v>
      </c>
      <c r="F369" s="1">
        <v>3.0</v>
      </c>
      <c r="G369" s="1">
        <v>2.0</v>
      </c>
    </row>
    <row r="370">
      <c r="A370" s="1" t="s">
        <v>28</v>
      </c>
      <c r="B370" s="2" t="s">
        <v>43</v>
      </c>
      <c r="C370" s="4">
        <v>44332.0</v>
      </c>
      <c r="D370" s="1">
        <v>3.0</v>
      </c>
      <c r="E370" s="1">
        <v>1.0</v>
      </c>
      <c r="F370" s="1">
        <v>3.0</v>
      </c>
      <c r="G370" s="1">
        <v>2.0</v>
      </c>
    </row>
    <row r="371">
      <c r="A371" s="1" t="s">
        <v>28</v>
      </c>
      <c r="B371" s="2" t="s">
        <v>43</v>
      </c>
      <c r="C371" s="4">
        <v>44336.0</v>
      </c>
      <c r="D371" s="1">
        <v>3.0</v>
      </c>
      <c r="E371" s="1">
        <v>2.0</v>
      </c>
      <c r="F371" s="1">
        <v>1.0</v>
      </c>
      <c r="G371" s="1">
        <v>3.0</v>
      </c>
    </row>
    <row r="372">
      <c r="A372" s="1" t="s">
        <v>38</v>
      </c>
      <c r="B372" s="2" t="s">
        <v>44</v>
      </c>
      <c r="C372" s="4">
        <v>44338.0</v>
      </c>
      <c r="D372" s="1">
        <v>3.0</v>
      </c>
      <c r="E372" s="1">
        <v>3.0</v>
      </c>
      <c r="F372" s="1">
        <v>2.0</v>
      </c>
      <c r="H372" s="1">
        <v>1.0</v>
      </c>
    </row>
    <row r="373">
      <c r="A373" s="1" t="s">
        <v>32</v>
      </c>
      <c r="B373" s="2" t="s">
        <v>52</v>
      </c>
      <c r="C373" s="4">
        <v>44338.0</v>
      </c>
      <c r="D373" s="1">
        <v>3.0</v>
      </c>
      <c r="E373" s="1">
        <v>1.0</v>
      </c>
      <c r="F373" s="1">
        <v>3.0</v>
      </c>
      <c r="H373" s="1">
        <v>2.0</v>
      </c>
    </row>
    <row r="374">
      <c r="A374" s="1" t="s">
        <v>28</v>
      </c>
      <c r="B374" s="2" t="s">
        <v>43</v>
      </c>
      <c r="C374" s="4">
        <v>44339.0</v>
      </c>
      <c r="D374" s="1">
        <v>3.0</v>
      </c>
      <c r="E374" s="1">
        <v>2.0</v>
      </c>
      <c r="F374" s="1">
        <v>3.0</v>
      </c>
      <c r="G374" s="1">
        <v>1.0</v>
      </c>
    </row>
    <row r="375">
      <c r="A375" s="1" t="s">
        <v>28</v>
      </c>
      <c r="B375" s="2" t="s">
        <v>43</v>
      </c>
      <c r="C375" s="4">
        <v>44343.0</v>
      </c>
      <c r="D375" s="1">
        <v>3.0</v>
      </c>
      <c r="E375" s="1">
        <v>3.0</v>
      </c>
      <c r="F375" s="1">
        <v>2.0</v>
      </c>
      <c r="G375" s="1">
        <v>1.0</v>
      </c>
    </row>
    <row r="376">
      <c r="A376" s="1" t="s">
        <v>60</v>
      </c>
      <c r="B376" s="2" t="s">
        <v>44</v>
      </c>
      <c r="C376" s="4">
        <v>44346.0</v>
      </c>
      <c r="D376" s="1">
        <v>3.0</v>
      </c>
      <c r="E376" s="1">
        <v>3.0</v>
      </c>
      <c r="F376" s="1">
        <v>2.0</v>
      </c>
      <c r="H376" s="1">
        <v>1.0</v>
      </c>
    </row>
    <row r="377">
      <c r="A377" s="1" t="s">
        <v>27</v>
      </c>
      <c r="B377" s="2" t="s">
        <v>44</v>
      </c>
      <c r="C377" s="4">
        <v>44347.0</v>
      </c>
      <c r="D377" s="1">
        <v>3.0</v>
      </c>
      <c r="E377" s="1">
        <v>3.0</v>
      </c>
      <c r="F377" s="1">
        <v>1.0</v>
      </c>
      <c r="H377" s="1">
        <v>2.0</v>
      </c>
    </row>
    <row r="378">
      <c r="A378" s="1" t="s">
        <v>27</v>
      </c>
      <c r="B378" s="2" t="s">
        <v>44</v>
      </c>
      <c r="C378" s="4">
        <v>44347.0</v>
      </c>
      <c r="D378" s="1">
        <v>3.0</v>
      </c>
      <c r="E378" s="1">
        <v>2.0</v>
      </c>
      <c r="F378" s="1">
        <v>3.0</v>
      </c>
      <c r="H378" s="1">
        <v>1.0</v>
      </c>
    </row>
    <row r="379">
      <c r="A379" s="1" t="s">
        <v>28</v>
      </c>
      <c r="B379" s="2" t="s">
        <v>43</v>
      </c>
      <c r="C379" s="4">
        <v>44353.0</v>
      </c>
      <c r="D379" s="1">
        <v>3.0</v>
      </c>
      <c r="E379" s="1">
        <v>1.0</v>
      </c>
      <c r="F379" s="1">
        <v>2.0</v>
      </c>
      <c r="G379" s="1">
        <v>3.0</v>
      </c>
    </row>
    <row r="380">
      <c r="A380" s="1" t="s">
        <v>28</v>
      </c>
      <c r="B380" s="2" t="s">
        <v>43</v>
      </c>
      <c r="C380" s="4">
        <v>44363.0</v>
      </c>
      <c r="D380" s="1">
        <v>3.0</v>
      </c>
      <c r="E380" s="1">
        <v>3.0</v>
      </c>
      <c r="F380" s="1">
        <v>2.0</v>
      </c>
      <c r="G380" s="1">
        <v>1.0</v>
      </c>
    </row>
    <row r="381">
      <c r="A381" s="1" t="s">
        <v>28</v>
      </c>
      <c r="B381" s="2" t="s">
        <v>42</v>
      </c>
      <c r="C381" s="4">
        <v>44367.0</v>
      </c>
      <c r="D381" s="1">
        <v>3.0</v>
      </c>
      <c r="E381" s="1">
        <v>3.0</v>
      </c>
      <c r="F381" s="1">
        <v>1.0</v>
      </c>
      <c r="G381" s="1">
        <v>2.0</v>
      </c>
    </row>
    <row r="382">
      <c r="A382" s="1" t="s">
        <v>32</v>
      </c>
      <c r="B382" s="2" t="s">
        <v>44</v>
      </c>
      <c r="C382" s="4">
        <v>44373.0</v>
      </c>
      <c r="D382" s="1">
        <v>3.0</v>
      </c>
      <c r="E382" s="1">
        <v>3.0</v>
      </c>
      <c r="F382" s="1">
        <v>1.0</v>
      </c>
      <c r="H382" s="1">
        <v>2.0</v>
      </c>
    </row>
    <row r="383">
      <c r="A383" s="1" t="s">
        <v>28</v>
      </c>
      <c r="B383" s="2" t="s">
        <v>49</v>
      </c>
      <c r="C383" s="4">
        <v>44374.0</v>
      </c>
      <c r="D383" s="1">
        <v>3.0</v>
      </c>
      <c r="E383" s="1">
        <v>1.0</v>
      </c>
      <c r="F383" s="1">
        <v>2.0</v>
      </c>
      <c r="G383" s="1">
        <v>3.0</v>
      </c>
    </row>
    <row r="384">
      <c r="A384" s="1" t="s">
        <v>28</v>
      </c>
      <c r="B384" s="2" t="s">
        <v>43</v>
      </c>
      <c r="C384" s="4">
        <v>44377.0</v>
      </c>
      <c r="D384" s="1">
        <v>3.0</v>
      </c>
      <c r="E384" s="1">
        <v>2.0</v>
      </c>
      <c r="F384" s="1">
        <v>1.0</v>
      </c>
      <c r="G384" s="1">
        <v>3.0</v>
      </c>
    </row>
    <row r="385">
      <c r="A385" s="1" t="s">
        <v>26</v>
      </c>
      <c r="B385" s="5"/>
      <c r="C385" s="4">
        <v>44381.0</v>
      </c>
      <c r="D385" s="1">
        <v>3.0</v>
      </c>
      <c r="E385" s="1">
        <v>2.0</v>
      </c>
      <c r="F385" s="1">
        <v>1.0</v>
      </c>
      <c r="H385" s="1">
        <v>3.0</v>
      </c>
    </row>
    <row r="386">
      <c r="A386" s="1" t="s">
        <v>38</v>
      </c>
      <c r="B386" s="2" t="s">
        <v>44</v>
      </c>
      <c r="C386" s="4">
        <v>44382.0</v>
      </c>
      <c r="D386" s="1">
        <v>3.0</v>
      </c>
      <c r="E386" s="1">
        <v>2.0</v>
      </c>
      <c r="F386" s="1">
        <v>1.0</v>
      </c>
      <c r="H386" s="1">
        <v>3.0</v>
      </c>
    </row>
    <row r="387">
      <c r="A387" s="1" t="s">
        <v>28</v>
      </c>
      <c r="B387" s="2" t="s">
        <v>43</v>
      </c>
      <c r="C387" s="4">
        <v>44384.0</v>
      </c>
      <c r="D387" s="1">
        <v>3.0</v>
      </c>
      <c r="E387" s="1">
        <v>2.0</v>
      </c>
      <c r="F387" s="1">
        <v>3.0</v>
      </c>
      <c r="G387" s="1">
        <v>1.0</v>
      </c>
    </row>
    <row r="388">
      <c r="A388" s="1" t="s">
        <v>28</v>
      </c>
      <c r="B388" s="2" t="s">
        <v>43</v>
      </c>
      <c r="C388" s="4">
        <v>44391.0</v>
      </c>
      <c r="D388" s="1">
        <v>3.0</v>
      </c>
      <c r="E388" s="1">
        <v>1.0</v>
      </c>
      <c r="F388" s="1">
        <v>3.0</v>
      </c>
      <c r="G388" s="1">
        <v>2.0</v>
      </c>
    </row>
    <row r="389">
      <c r="A389" s="1" t="s">
        <v>28</v>
      </c>
      <c r="B389" s="2" t="s">
        <v>43</v>
      </c>
      <c r="C389" s="4">
        <v>44398.0</v>
      </c>
      <c r="D389" s="1">
        <v>3.0</v>
      </c>
      <c r="E389" s="1">
        <v>1.0</v>
      </c>
      <c r="F389" s="1">
        <v>3.0</v>
      </c>
      <c r="G389" s="1">
        <v>2.0</v>
      </c>
    </row>
    <row r="390">
      <c r="A390" s="1" t="s">
        <v>28</v>
      </c>
      <c r="B390" s="2" t="s">
        <v>43</v>
      </c>
      <c r="C390" s="4">
        <v>44402.0</v>
      </c>
      <c r="D390" s="1">
        <v>3.0</v>
      </c>
      <c r="E390" s="1">
        <v>2.0</v>
      </c>
      <c r="F390" s="1">
        <v>1.0</v>
      </c>
      <c r="G390" s="1">
        <v>3.0</v>
      </c>
    </row>
    <row r="391">
      <c r="A391" s="1" t="s">
        <v>28</v>
      </c>
      <c r="B391" s="2" t="s">
        <v>43</v>
      </c>
      <c r="C391" s="4">
        <v>44409.0</v>
      </c>
      <c r="D391" s="1">
        <v>3.0</v>
      </c>
      <c r="E391" s="1">
        <v>2.0</v>
      </c>
      <c r="F391" s="1">
        <v>3.0</v>
      </c>
      <c r="G391" s="1">
        <v>1.0</v>
      </c>
    </row>
    <row r="392">
      <c r="A392" s="1" t="s">
        <v>32</v>
      </c>
      <c r="B392" s="2" t="s">
        <v>48</v>
      </c>
      <c r="C392" s="4">
        <v>44415.0</v>
      </c>
      <c r="D392" s="1">
        <v>3.0</v>
      </c>
      <c r="E392" s="1">
        <v>3.0</v>
      </c>
      <c r="F392" s="1">
        <v>1.0</v>
      </c>
      <c r="H392" s="1">
        <v>2.0</v>
      </c>
    </row>
    <row r="393">
      <c r="A393" s="1" t="s">
        <v>38</v>
      </c>
      <c r="B393" s="2" t="s">
        <v>44</v>
      </c>
      <c r="C393" s="4">
        <v>44415.0</v>
      </c>
      <c r="D393" s="1">
        <v>3.0</v>
      </c>
      <c r="E393" s="1">
        <v>3.0</v>
      </c>
      <c r="F393" s="1">
        <v>2.0</v>
      </c>
      <c r="H393" s="1">
        <v>1.0</v>
      </c>
    </row>
    <row r="394">
      <c r="A394" s="1" t="s">
        <v>28</v>
      </c>
      <c r="B394" s="2" t="s">
        <v>43</v>
      </c>
      <c r="C394" s="4">
        <v>44416.0</v>
      </c>
      <c r="D394" s="1">
        <v>3.0</v>
      </c>
      <c r="E394" s="1">
        <v>3.0</v>
      </c>
      <c r="F394" s="1">
        <v>1.0</v>
      </c>
      <c r="G394" s="1">
        <v>2.0</v>
      </c>
    </row>
    <row r="395">
      <c r="A395" s="1" t="s">
        <v>38</v>
      </c>
      <c r="B395" s="2" t="s">
        <v>44</v>
      </c>
      <c r="C395" s="4">
        <v>44422.0</v>
      </c>
      <c r="D395" s="1">
        <v>4.0</v>
      </c>
      <c r="E395" s="1">
        <v>4.0</v>
      </c>
      <c r="F395" s="1">
        <v>1.0</v>
      </c>
      <c r="K395" s="1">
        <v>2.0</v>
      </c>
      <c r="L395" s="1">
        <v>2.0</v>
      </c>
    </row>
    <row r="396">
      <c r="A396" s="1" t="s">
        <v>28</v>
      </c>
      <c r="B396" s="2" t="s">
        <v>43</v>
      </c>
      <c r="C396" s="4">
        <v>44423.0</v>
      </c>
      <c r="D396" s="1">
        <v>3.0</v>
      </c>
      <c r="E396" s="1">
        <v>2.0</v>
      </c>
      <c r="F396" s="1">
        <v>1.0</v>
      </c>
      <c r="G396" s="1">
        <v>3.0</v>
      </c>
    </row>
    <row r="397">
      <c r="A397" s="1" t="s">
        <v>28</v>
      </c>
      <c r="B397" s="2" t="s">
        <v>43</v>
      </c>
      <c r="C397" s="4">
        <v>44426.0</v>
      </c>
      <c r="D397" s="1">
        <v>3.0</v>
      </c>
      <c r="E397" s="1">
        <v>1.0</v>
      </c>
      <c r="F397" s="1">
        <v>2.0</v>
      </c>
      <c r="G397" s="1">
        <v>3.0</v>
      </c>
    </row>
    <row r="398">
      <c r="A398" s="1" t="s">
        <v>32</v>
      </c>
      <c r="B398" s="2" t="s">
        <v>52</v>
      </c>
      <c r="C398" s="4">
        <v>44429.0</v>
      </c>
      <c r="D398" s="1">
        <v>3.0</v>
      </c>
      <c r="E398" s="1">
        <v>3.0</v>
      </c>
      <c r="F398" s="1">
        <v>1.0</v>
      </c>
      <c r="H398" s="1">
        <v>2.0</v>
      </c>
    </row>
    <row r="399">
      <c r="A399" s="1" t="s">
        <v>23</v>
      </c>
      <c r="B399" s="2" t="s">
        <v>44</v>
      </c>
      <c r="C399" s="4">
        <v>44429.0</v>
      </c>
      <c r="D399" s="1">
        <v>3.0</v>
      </c>
      <c r="E399" s="1">
        <v>1.0</v>
      </c>
      <c r="F399" s="1">
        <v>2.0</v>
      </c>
      <c r="H399" s="1">
        <v>3.0</v>
      </c>
    </row>
    <row r="400">
      <c r="A400" s="1" t="s">
        <v>60</v>
      </c>
      <c r="B400" s="2" t="s">
        <v>44</v>
      </c>
      <c r="C400" s="4">
        <v>44430.0</v>
      </c>
      <c r="D400" s="1">
        <v>3.0</v>
      </c>
      <c r="E400" s="1">
        <v>3.0</v>
      </c>
      <c r="F400" s="1">
        <v>2.0</v>
      </c>
      <c r="H400" s="1">
        <v>1.0</v>
      </c>
    </row>
    <row r="401">
      <c r="A401" s="1" t="s">
        <v>28</v>
      </c>
      <c r="B401" s="2" t="s">
        <v>43</v>
      </c>
      <c r="C401" s="4">
        <v>44430.0</v>
      </c>
      <c r="D401" s="1">
        <v>3.0</v>
      </c>
      <c r="E401" s="1">
        <v>2.0</v>
      </c>
      <c r="F401" s="1">
        <v>3.0</v>
      </c>
      <c r="G401" s="1">
        <v>1.0</v>
      </c>
    </row>
    <row r="402">
      <c r="A402" s="1" t="s">
        <v>23</v>
      </c>
      <c r="B402" s="2" t="s">
        <v>44</v>
      </c>
      <c r="C402" s="4">
        <v>44436.0</v>
      </c>
      <c r="D402" s="1">
        <v>3.0</v>
      </c>
      <c r="E402" s="1">
        <v>3.0</v>
      </c>
      <c r="F402" s="1">
        <v>2.0</v>
      </c>
      <c r="K402" s="1">
        <v>1.0</v>
      </c>
    </row>
    <row r="403">
      <c r="A403" s="1" t="s">
        <v>28</v>
      </c>
      <c r="B403" s="2" t="s">
        <v>43</v>
      </c>
      <c r="C403" s="4">
        <v>44444.0</v>
      </c>
      <c r="D403" s="1">
        <v>3.0</v>
      </c>
      <c r="E403" s="1">
        <v>1.0</v>
      </c>
      <c r="F403" s="1">
        <v>2.0</v>
      </c>
      <c r="G403" s="1">
        <v>3.0</v>
      </c>
    </row>
    <row r="404">
      <c r="A404" s="1" t="s">
        <v>39</v>
      </c>
      <c r="B404" s="2" t="s">
        <v>36</v>
      </c>
      <c r="C404" s="4">
        <v>44444.0</v>
      </c>
      <c r="D404" s="1">
        <v>3.0</v>
      </c>
      <c r="E404" s="1">
        <v>2.0</v>
      </c>
      <c r="F404" s="1">
        <v>1.0</v>
      </c>
      <c r="H404" s="1">
        <v>3.0</v>
      </c>
    </row>
    <row r="405">
      <c r="A405" s="1" t="s">
        <v>32</v>
      </c>
      <c r="B405" s="2" t="s">
        <v>44</v>
      </c>
      <c r="C405" s="4">
        <v>44445.0</v>
      </c>
      <c r="D405" s="1">
        <v>3.0</v>
      </c>
      <c r="E405" s="1">
        <v>3.0</v>
      </c>
      <c r="F405" s="1">
        <v>1.0</v>
      </c>
      <c r="H405" s="1">
        <v>2.0</v>
      </c>
    </row>
    <row r="406">
      <c r="A406" s="1" t="s">
        <v>28</v>
      </c>
      <c r="B406" s="2" t="s">
        <v>43</v>
      </c>
      <c r="C406" s="4">
        <v>44458.0</v>
      </c>
      <c r="D406" s="1">
        <v>3.0</v>
      </c>
      <c r="E406" s="1">
        <v>2.0</v>
      </c>
      <c r="F406" s="1">
        <v>1.0</v>
      </c>
      <c r="G406" s="1">
        <v>3.0</v>
      </c>
    </row>
    <row r="407">
      <c r="A407" s="1" t="s">
        <v>32</v>
      </c>
      <c r="B407" s="2" t="s">
        <v>48</v>
      </c>
      <c r="C407" s="4">
        <v>44471.0</v>
      </c>
      <c r="D407" s="1">
        <v>3.0</v>
      </c>
      <c r="E407" s="1">
        <v>3.0</v>
      </c>
      <c r="F407" s="1">
        <v>1.0</v>
      </c>
      <c r="H407" s="1">
        <v>2.0</v>
      </c>
    </row>
    <row r="408">
      <c r="A408" s="1" t="s">
        <v>38</v>
      </c>
      <c r="B408" s="2" t="s">
        <v>44</v>
      </c>
      <c r="C408" s="4">
        <v>44471.0</v>
      </c>
      <c r="D408" s="1">
        <v>3.0</v>
      </c>
      <c r="E408" s="1">
        <v>1.0</v>
      </c>
      <c r="F408" s="1">
        <v>2.0</v>
      </c>
      <c r="H408" s="1">
        <v>3.0</v>
      </c>
    </row>
    <row r="409">
      <c r="A409" s="1" t="s">
        <v>26</v>
      </c>
      <c r="B409" s="2" t="s">
        <v>44</v>
      </c>
      <c r="C409" s="4">
        <v>44478.0</v>
      </c>
      <c r="D409" s="1">
        <v>3.0</v>
      </c>
      <c r="E409" s="1">
        <v>3.0</v>
      </c>
      <c r="F409" s="1">
        <v>2.0</v>
      </c>
      <c r="H409" s="1">
        <v>1.0</v>
      </c>
    </row>
    <row r="410">
      <c r="A410" s="1" t="s">
        <v>26</v>
      </c>
      <c r="B410" s="2" t="s">
        <v>44</v>
      </c>
      <c r="C410" s="4">
        <v>44478.0</v>
      </c>
      <c r="D410" s="1">
        <v>3.0</v>
      </c>
      <c r="E410" s="1">
        <v>3.0</v>
      </c>
      <c r="F410" s="1">
        <v>2.0</v>
      </c>
      <c r="H410" s="1">
        <v>1.0</v>
      </c>
    </row>
    <row r="411">
      <c r="A411" s="1" t="s">
        <v>26</v>
      </c>
      <c r="B411" s="2" t="s">
        <v>44</v>
      </c>
      <c r="C411" s="4">
        <v>44479.0</v>
      </c>
      <c r="D411" s="1">
        <v>3.0</v>
      </c>
      <c r="E411" s="1">
        <v>3.0</v>
      </c>
      <c r="F411" s="1">
        <v>2.0</v>
      </c>
      <c r="H411" s="1">
        <v>1.0</v>
      </c>
    </row>
    <row r="412">
      <c r="A412" s="1" t="s">
        <v>28</v>
      </c>
      <c r="B412" s="2" t="s">
        <v>43</v>
      </c>
      <c r="C412" s="4">
        <v>44493.0</v>
      </c>
      <c r="D412" s="1">
        <v>3.0</v>
      </c>
      <c r="E412" s="1">
        <v>2.0</v>
      </c>
      <c r="F412" s="1">
        <v>3.0</v>
      </c>
      <c r="G412" s="1">
        <v>1.0</v>
      </c>
    </row>
    <row r="413">
      <c r="A413" s="1" t="s">
        <v>32</v>
      </c>
      <c r="B413" s="2" t="s">
        <v>52</v>
      </c>
      <c r="C413" s="4">
        <v>44500.0</v>
      </c>
      <c r="D413" s="1">
        <v>3.0</v>
      </c>
      <c r="E413" s="1">
        <v>1.0</v>
      </c>
      <c r="F413" s="1">
        <v>3.0</v>
      </c>
      <c r="H413" s="1">
        <v>2.0</v>
      </c>
    </row>
    <row r="414">
      <c r="A414" s="1" t="s">
        <v>28</v>
      </c>
      <c r="B414" s="2" t="s">
        <v>43</v>
      </c>
      <c r="C414" s="4">
        <v>44504.0</v>
      </c>
      <c r="D414" s="1">
        <v>3.0</v>
      </c>
      <c r="E414" s="1">
        <v>2.0</v>
      </c>
      <c r="F414" s="1">
        <v>3.0</v>
      </c>
      <c r="G414" s="1">
        <v>1.0</v>
      </c>
    </row>
    <row r="415">
      <c r="A415" s="1" t="s">
        <v>28</v>
      </c>
      <c r="B415" s="2" t="s">
        <v>43</v>
      </c>
      <c r="C415" s="4">
        <v>44507.0</v>
      </c>
      <c r="D415" s="1">
        <v>3.0</v>
      </c>
      <c r="E415" s="1">
        <v>3.0</v>
      </c>
      <c r="F415" s="1">
        <v>1.0</v>
      </c>
      <c r="G415" s="1">
        <v>2.0</v>
      </c>
    </row>
    <row r="416">
      <c r="A416" s="1" t="s">
        <v>61</v>
      </c>
      <c r="B416" s="2" t="s">
        <v>44</v>
      </c>
      <c r="C416" s="4">
        <v>44519.0</v>
      </c>
      <c r="D416" s="1">
        <v>3.0</v>
      </c>
      <c r="E416" s="1">
        <v>3.0</v>
      </c>
      <c r="F416" s="1">
        <v>1.0</v>
      </c>
      <c r="H416" s="1">
        <v>2.0</v>
      </c>
    </row>
    <row r="417">
      <c r="A417" s="1" t="s">
        <v>62</v>
      </c>
      <c r="B417" s="2" t="s">
        <v>63</v>
      </c>
      <c r="C417" s="4">
        <v>44520.0</v>
      </c>
      <c r="D417" s="1">
        <v>3.0</v>
      </c>
      <c r="E417" s="1">
        <v>2.0</v>
      </c>
      <c r="F417" s="1">
        <v>1.0</v>
      </c>
      <c r="H417" s="1">
        <v>3.0</v>
      </c>
    </row>
    <row r="418">
      <c r="A418" s="1" t="s">
        <v>62</v>
      </c>
      <c r="B418" s="2" t="s">
        <v>64</v>
      </c>
      <c r="C418" s="4">
        <v>44521.0</v>
      </c>
      <c r="D418" s="1">
        <v>3.0</v>
      </c>
      <c r="E418" s="1">
        <v>1.0</v>
      </c>
      <c r="F418" s="1">
        <v>2.0</v>
      </c>
      <c r="G418" s="1">
        <v>3.0</v>
      </c>
    </row>
    <row r="419">
      <c r="A419" s="1" t="s">
        <v>62</v>
      </c>
      <c r="B419" s="2" t="s">
        <v>65</v>
      </c>
      <c r="C419" s="4">
        <v>44525.0</v>
      </c>
      <c r="D419" s="1">
        <v>4.0</v>
      </c>
      <c r="E419" s="1">
        <v>3.0</v>
      </c>
      <c r="F419" s="1">
        <v>2.0</v>
      </c>
      <c r="H419" s="1">
        <v>1.0</v>
      </c>
      <c r="K419" s="1">
        <v>4.0</v>
      </c>
    </row>
    <row r="420">
      <c r="A420" s="1" t="s">
        <v>62</v>
      </c>
      <c r="B420" s="2" t="s">
        <v>66</v>
      </c>
      <c r="C420" s="4">
        <v>44526.0</v>
      </c>
      <c r="D420" s="1">
        <v>3.0</v>
      </c>
      <c r="E420" s="1">
        <v>3.0</v>
      </c>
      <c r="F420" s="1">
        <v>2.0</v>
      </c>
      <c r="H420" s="1">
        <v>1.0</v>
      </c>
    </row>
    <row r="421">
      <c r="A421" s="1" t="s">
        <v>28</v>
      </c>
      <c r="B421" s="2" t="s">
        <v>43</v>
      </c>
      <c r="C421" s="4">
        <v>44528.0</v>
      </c>
      <c r="D421" s="1">
        <v>3.0</v>
      </c>
      <c r="E421" s="1">
        <v>3.0</v>
      </c>
      <c r="F421" s="1">
        <v>2.0</v>
      </c>
      <c r="G421" s="1">
        <v>1.0</v>
      </c>
    </row>
    <row r="422">
      <c r="A422" s="1" t="s">
        <v>32</v>
      </c>
      <c r="B422" s="2" t="s">
        <v>44</v>
      </c>
      <c r="C422" s="4">
        <v>44548.0</v>
      </c>
      <c r="D422" s="1">
        <v>3.0</v>
      </c>
      <c r="E422" s="1">
        <v>1.0</v>
      </c>
      <c r="F422" s="1">
        <v>2.0</v>
      </c>
      <c r="H422" s="1">
        <v>3.0</v>
      </c>
    </row>
    <row r="423">
      <c r="A423" s="1" t="s">
        <v>28</v>
      </c>
      <c r="B423" s="2" t="s">
        <v>43</v>
      </c>
      <c r="C423" s="4">
        <v>44549.0</v>
      </c>
      <c r="D423" s="1">
        <v>3.0</v>
      </c>
      <c r="E423" s="1">
        <v>3.0</v>
      </c>
      <c r="F423" s="1">
        <v>1.0</v>
      </c>
      <c r="G423" s="1">
        <v>2.0</v>
      </c>
    </row>
    <row r="424">
      <c r="A424" s="1" t="s">
        <v>62</v>
      </c>
      <c r="B424" s="2" t="s">
        <v>64</v>
      </c>
      <c r="C424" s="4">
        <v>44554.0</v>
      </c>
      <c r="D424" s="1">
        <v>3.0</v>
      </c>
      <c r="E424" s="1">
        <v>3.0</v>
      </c>
      <c r="F424" s="1">
        <v>1.0</v>
      </c>
      <c r="G424" s="1">
        <v>2.0</v>
      </c>
    </row>
    <row r="425">
      <c r="A425" s="1" t="s">
        <v>62</v>
      </c>
      <c r="B425" s="2" t="s">
        <v>67</v>
      </c>
      <c r="C425" s="4">
        <v>44555.0</v>
      </c>
      <c r="D425" s="1">
        <v>4.0</v>
      </c>
      <c r="E425" s="1">
        <v>4.0</v>
      </c>
      <c r="F425" s="1">
        <v>3.0</v>
      </c>
      <c r="K425" s="1">
        <v>1.0</v>
      </c>
      <c r="L425" s="1">
        <v>2.0</v>
      </c>
    </row>
    <row r="426">
      <c r="A426" s="1" t="s">
        <v>28</v>
      </c>
      <c r="B426" s="2" t="s">
        <v>43</v>
      </c>
      <c r="C426" s="4">
        <v>44556.0</v>
      </c>
      <c r="D426" s="1">
        <v>3.0</v>
      </c>
      <c r="E426" s="1">
        <v>3.0</v>
      </c>
      <c r="F426" s="1">
        <v>1.0</v>
      </c>
      <c r="G426" s="1">
        <v>2.0</v>
      </c>
    </row>
    <row r="427">
      <c r="A427" s="1" t="s">
        <v>62</v>
      </c>
      <c r="B427" s="2" t="s">
        <v>63</v>
      </c>
      <c r="C427" s="4">
        <v>44569.0</v>
      </c>
      <c r="D427" s="1">
        <v>3.0</v>
      </c>
      <c r="E427" s="1">
        <v>1.0</v>
      </c>
      <c r="F427" s="1">
        <v>3.0</v>
      </c>
      <c r="H427" s="1">
        <v>2.0</v>
      </c>
    </row>
    <row r="428">
      <c r="A428" s="1" t="s">
        <v>68</v>
      </c>
      <c r="B428" s="2" t="s">
        <v>44</v>
      </c>
      <c r="C428" s="4">
        <v>44569.0</v>
      </c>
      <c r="D428" s="1">
        <v>3.0</v>
      </c>
      <c r="E428" s="1">
        <v>1.0</v>
      </c>
      <c r="F428" s="1">
        <v>3.0</v>
      </c>
      <c r="H428" s="1">
        <v>2.0</v>
      </c>
    </row>
    <row r="429">
      <c r="A429" s="1" t="s">
        <v>61</v>
      </c>
      <c r="B429" s="2" t="s">
        <v>44</v>
      </c>
      <c r="C429" s="4">
        <v>44569.0</v>
      </c>
      <c r="D429" s="1">
        <v>3.0</v>
      </c>
      <c r="E429" s="1">
        <v>3.0</v>
      </c>
      <c r="F429" s="1">
        <v>1.0</v>
      </c>
      <c r="H429" s="1">
        <v>2.0</v>
      </c>
    </row>
    <row r="430">
      <c r="A430" s="1" t="s">
        <v>68</v>
      </c>
      <c r="B430" s="2" t="s">
        <v>44</v>
      </c>
      <c r="C430" s="4">
        <v>44576.0</v>
      </c>
      <c r="D430" s="1">
        <v>3.0</v>
      </c>
      <c r="E430" s="1">
        <v>3.0</v>
      </c>
      <c r="F430" s="1">
        <v>1.0</v>
      </c>
      <c r="H430" s="1">
        <v>2.0</v>
      </c>
    </row>
    <row r="431">
      <c r="A431" s="1" t="s">
        <v>62</v>
      </c>
      <c r="B431" s="2" t="s">
        <v>64</v>
      </c>
      <c r="C431" s="4">
        <v>44576.0</v>
      </c>
      <c r="D431" s="1">
        <v>3.0</v>
      </c>
      <c r="E431" s="1">
        <v>3.0</v>
      </c>
      <c r="F431" s="1">
        <v>1.0</v>
      </c>
      <c r="H431" s="1">
        <v>2.0</v>
      </c>
    </row>
    <row r="432">
      <c r="A432" s="1" t="s">
        <v>32</v>
      </c>
      <c r="B432" s="2" t="s">
        <v>48</v>
      </c>
      <c r="C432" s="4">
        <v>44583.0</v>
      </c>
      <c r="D432" s="1">
        <v>3.0</v>
      </c>
      <c r="E432" s="1">
        <v>1.0</v>
      </c>
      <c r="F432" s="1">
        <v>2.0</v>
      </c>
      <c r="H432" s="1">
        <v>3.0</v>
      </c>
    </row>
    <row r="433">
      <c r="A433" s="1" t="s">
        <v>62</v>
      </c>
      <c r="B433" s="2" t="s">
        <v>67</v>
      </c>
      <c r="C433" s="4">
        <v>44584.0</v>
      </c>
      <c r="D433" s="1">
        <v>3.0</v>
      </c>
      <c r="E433" s="1">
        <v>1.0</v>
      </c>
      <c r="F433" s="1">
        <v>2.0</v>
      </c>
      <c r="H433" s="1">
        <v>3.0</v>
      </c>
    </row>
    <row r="434">
      <c r="A434" s="1" t="s">
        <v>68</v>
      </c>
      <c r="B434" s="2" t="s">
        <v>44</v>
      </c>
      <c r="C434" s="4">
        <v>44584.0</v>
      </c>
      <c r="D434" s="1">
        <v>3.0</v>
      </c>
      <c r="E434" s="1">
        <v>3.0</v>
      </c>
      <c r="F434" s="1">
        <v>1.0</v>
      </c>
      <c r="H434" s="1">
        <v>2.0</v>
      </c>
    </row>
    <row r="435">
      <c r="A435" s="1" t="s">
        <v>26</v>
      </c>
      <c r="B435" s="2" t="s">
        <v>44</v>
      </c>
      <c r="C435" s="4">
        <v>44590.0</v>
      </c>
      <c r="D435" s="1">
        <v>3.0</v>
      </c>
      <c r="E435" s="1">
        <v>3.0</v>
      </c>
      <c r="F435" s="1">
        <v>1.0</v>
      </c>
      <c r="H435" s="1">
        <v>2.0</v>
      </c>
    </row>
    <row r="436">
      <c r="A436" s="1" t="s">
        <v>62</v>
      </c>
      <c r="B436" s="2" t="s">
        <v>69</v>
      </c>
      <c r="C436" s="4">
        <v>44590.0</v>
      </c>
      <c r="D436" s="1">
        <v>3.0</v>
      </c>
      <c r="E436" s="1">
        <v>1.0</v>
      </c>
      <c r="F436" s="1">
        <v>2.0</v>
      </c>
      <c r="H436" s="1">
        <v>3.0</v>
      </c>
    </row>
    <row r="437">
      <c r="A437" s="1" t="s">
        <v>62</v>
      </c>
      <c r="B437" s="2" t="s">
        <v>64</v>
      </c>
      <c r="C437" s="4">
        <v>44590.0</v>
      </c>
      <c r="D437" s="1">
        <v>3.0</v>
      </c>
      <c r="E437" s="1">
        <v>3.0</v>
      </c>
      <c r="F437" s="1">
        <v>2.0</v>
      </c>
      <c r="H437" s="1">
        <v>1.0</v>
      </c>
    </row>
    <row r="438">
      <c r="A438" s="1" t="s">
        <v>28</v>
      </c>
      <c r="B438" s="2" t="s">
        <v>43</v>
      </c>
      <c r="C438" s="4">
        <v>44591.0</v>
      </c>
      <c r="D438" s="1">
        <v>3.0</v>
      </c>
      <c r="E438" s="1">
        <v>3.0</v>
      </c>
      <c r="F438" s="1">
        <v>1.0</v>
      </c>
      <c r="G438" s="1">
        <v>2.0</v>
      </c>
    </row>
    <row r="439">
      <c r="A439" s="1" t="s">
        <v>62</v>
      </c>
      <c r="B439" s="2" t="s">
        <v>67</v>
      </c>
      <c r="C439" s="4">
        <v>44597.0</v>
      </c>
      <c r="D439" s="1">
        <v>4.0</v>
      </c>
      <c r="E439" s="1">
        <v>3.0</v>
      </c>
      <c r="F439" s="1">
        <v>1.0</v>
      </c>
      <c r="K439" s="1">
        <v>2.0</v>
      </c>
      <c r="L439" s="1">
        <v>4.0</v>
      </c>
    </row>
    <row r="440">
      <c r="A440" s="1" t="s">
        <v>62</v>
      </c>
      <c r="B440" s="2" t="s">
        <v>63</v>
      </c>
      <c r="C440" s="4">
        <v>44610.0</v>
      </c>
      <c r="D440" s="1">
        <v>3.0</v>
      </c>
      <c r="E440" s="1">
        <v>3.0</v>
      </c>
      <c r="F440" s="1">
        <v>1.0</v>
      </c>
      <c r="M440" s="1">
        <v>2.0</v>
      </c>
    </row>
    <row r="441">
      <c r="A441" s="1" t="s">
        <v>62</v>
      </c>
      <c r="B441" s="2" t="s">
        <v>67</v>
      </c>
      <c r="C441" s="4">
        <v>44610.0</v>
      </c>
      <c r="D441" s="1">
        <v>3.0</v>
      </c>
      <c r="E441" s="1">
        <v>1.0</v>
      </c>
      <c r="F441" s="1">
        <v>3.0</v>
      </c>
      <c r="H441" s="1">
        <v>2.0</v>
      </c>
    </row>
    <row r="442">
      <c r="A442" s="1" t="s">
        <v>62</v>
      </c>
      <c r="B442" s="2" t="s">
        <v>64</v>
      </c>
      <c r="C442" s="4">
        <v>44611.0</v>
      </c>
      <c r="D442" s="1">
        <v>3.0</v>
      </c>
      <c r="E442" s="1">
        <v>2.0</v>
      </c>
      <c r="F442" s="1">
        <v>1.0</v>
      </c>
      <c r="M442" s="1">
        <v>3.0</v>
      </c>
    </row>
    <row r="443">
      <c r="A443" s="1" t="s">
        <v>23</v>
      </c>
      <c r="B443" s="2" t="s">
        <v>70</v>
      </c>
      <c r="C443" s="4">
        <v>44611.0</v>
      </c>
      <c r="D443" s="1">
        <v>4.0</v>
      </c>
      <c r="E443" s="1">
        <v>3.0</v>
      </c>
      <c r="F443" s="1">
        <v>4.0</v>
      </c>
      <c r="M443" s="1">
        <v>1.0</v>
      </c>
      <c r="U443" s="1">
        <v>2.0</v>
      </c>
    </row>
    <row r="444">
      <c r="A444" s="1" t="s">
        <v>27</v>
      </c>
      <c r="B444" s="2" t="s">
        <v>44</v>
      </c>
      <c r="C444" s="4">
        <v>44611.0</v>
      </c>
      <c r="D444" s="1">
        <v>3.0</v>
      </c>
      <c r="E444" s="1">
        <v>3.0</v>
      </c>
      <c r="F444" s="1">
        <v>2.0</v>
      </c>
      <c r="M444" s="1">
        <v>1.0</v>
      </c>
    </row>
    <row r="445">
      <c r="A445" s="1" t="s">
        <v>27</v>
      </c>
      <c r="B445" s="2" t="s">
        <v>44</v>
      </c>
      <c r="C445" s="4">
        <v>44611.0</v>
      </c>
      <c r="D445" s="1">
        <v>3.0</v>
      </c>
      <c r="E445" s="1">
        <v>2.0</v>
      </c>
      <c r="F445" s="1">
        <v>1.0</v>
      </c>
      <c r="M445" s="1">
        <v>3.0</v>
      </c>
    </row>
    <row r="446">
      <c r="A446" s="1" t="s">
        <v>27</v>
      </c>
      <c r="B446" s="2" t="s">
        <v>44</v>
      </c>
      <c r="C446" s="4">
        <v>44611.0</v>
      </c>
      <c r="D446" s="1">
        <v>3.0</v>
      </c>
      <c r="E446" s="1">
        <v>2.0</v>
      </c>
      <c r="F446" s="1">
        <v>3.0</v>
      </c>
      <c r="M446" s="1">
        <v>1.0</v>
      </c>
    </row>
    <row r="447">
      <c r="A447" s="1" t="s">
        <v>62</v>
      </c>
      <c r="B447" s="2" t="s">
        <v>63</v>
      </c>
      <c r="C447" s="4">
        <v>44611.0</v>
      </c>
      <c r="D447" s="1">
        <v>3.0</v>
      </c>
      <c r="E447" s="1">
        <v>2.0</v>
      </c>
      <c r="F447" s="1">
        <v>3.0</v>
      </c>
      <c r="M447" s="1">
        <v>1.0</v>
      </c>
    </row>
    <row r="448">
      <c r="A448" s="1" t="s">
        <v>32</v>
      </c>
      <c r="B448" s="2" t="s">
        <v>44</v>
      </c>
      <c r="C448" s="4">
        <v>44612.0</v>
      </c>
      <c r="D448" s="1">
        <v>3.0</v>
      </c>
      <c r="E448" s="1">
        <v>1.0</v>
      </c>
      <c r="F448" s="1">
        <v>2.0</v>
      </c>
      <c r="M448" s="1">
        <v>3.0</v>
      </c>
    </row>
    <row r="449">
      <c r="A449" s="1" t="s">
        <v>71</v>
      </c>
      <c r="B449" s="2" t="s">
        <v>44</v>
      </c>
      <c r="C449" s="4">
        <v>44624.0</v>
      </c>
      <c r="D449" s="1">
        <v>3.0</v>
      </c>
      <c r="E449" s="1">
        <v>1.0</v>
      </c>
      <c r="F449" s="1">
        <v>2.0</v>
      </c>
      <c r="H449" s="1">
        <v>3.0</v>
      </c>
    </row>
    <row r="450">
      <c r="A450" s="1" t="s">
        <v>71</v>
      </c>
      <c r="B450" s="2" t="s">
        <v>44</v>
      </c>
      <c r="C450" s="4">
        <v>44624.0</v>
      </c>
      <c r="D450" s="1">
        <v>3.0</v>
      </c>
      <c r="E450" s="1">
        <v>2.0</v>
      </c>
      <c r="F450" s="1">
        <v>3.0</v>
      </c>
      <c r="H450" s="1">
        <v>2.0</v>
      </c>
    </row>
    <row r="451">
      <c r="A451" s="1" t="s">
        <v>71</v>
      </c>
      <c r="B451" s="2" t="s">
        <v>44</v>
      </c>
      <c r="C451" s="4">
        <v>44625.0</v>
      </c>
      <c r="D451" s="1">
        <v>4.0</v>
      </c>
      <c r="E451" s="1">
        <v>2.0</v>
      </c>
      <c r="F451" s="1">
        <v>1.0</v>
      </c>
      <c r="H451" s="1">
        <v>2.0</v>
      </c>
      <c r="K451" s="1">
        <v>4.0</v>
      </c>
    </row>
    <row r="452">
      <c r="A452" s="1" t="s">
        <v>72</v>
      </c>
      <c r="B452" s="2" t="s">
        <v>44</v>
      </c>
      <c r="C452" s="4">
        <v>44625.0</v>
      </c>
      <c r="D452" s="1">
        <v>4.0</v>
      </c>
      <c r="E452" s="1">
        <v>2.0</v>
      </c>
      <c r="F452" s="1">
        <v>3.0</v>
      </c>
      <c r="H452" s="1">
        <v>4.0</v>
      </c>
      <c r="K452" s="1">
        <v>1.0</v>
      </c>
    </row>
    <row r="453">
      <c r="A453" s="1" t="s">
        <v>28</v>
      </c>
      <c r="B453" s="2" t="s">
        <v>43</v>
      </c>
      <c r="C453" s="4">
        <v>44633.0</v>
      </c>
      <c r="D453" s="1">
        <v>3.0</v>
      </c>
      <c r="E453" s="1">
        <v>1.0</v>
      </c>
      <c r="F453" s="1">
        <v>2.0</v>
      </c>
      <c r="G453" s="1">
        <v>3.0</v>
      </c>
    </row>
    <row r="454">
      <c r="A454" s="1" t="s">
        <v>71</v>
      </c>
      <c r="B454" s="2" t="s">
        <v>44</v>
      </c>
      <c r="C454" s="4">
        <v>44646.0</v>
      </c>
      <c r="D454" s="1">
        <v>4.0</v>
      </c>
      <c r="E454" s="1">
        <v>3.0</v>
      </c>
      <c r="F454" s="1">
        <v>1.0</v>
      </c>
      <c r="H454" s="1">
        <v>2.0</v>
      </c>
      <c r="M454" s="1">
        <v>4.0</v>
      </c>
    </row>
    <row r="455">
      <c r="A455" s="1" t="s">
        <v>62</v>
      </c>
      <c r="B455" s="2" t="s">
        <v>63</v>
      </c>
      <c r="C455" s="4">
        <v>44646.0</v>
      </c>
      <c r="D455" s="1">
        <v>4.0</v>
      </c>
      <c r="E455" s="1">
        <v>3.0</v>
      </c>
      <c r="F455" s="1">
        <v>2.0</v>
      </c>
      <c r="M455" s="1">
        <v>4.0</v>
      </c>
    </row>
    <row r="456">
      <c r="A456" s="1" t="s">
        <v>26</v>
      </c>
      <c r="B456" s="2" t="s">
        <v>44</v>
      </c>
      <c r="C456" s="4">
        <v>44646.0</v>
      </c>
      <c r="D456" s="1">
        <v>4.0</v>
      </c>
      <c r="E456" s="1">
        <v>4.0</v>
      </c>
      <c r="F456" s="1">
        <v>2.0</v>
      </c>
      <c r="H456" s="1">
        <v>1.0</v>
      </c>
      <c r="M456" s="1">
        <v>3.0</v>
      </c>
    </row>
    <row r="457">
      <c r="A457" s="1" t="s">
        <v>71</v>
      </c>
      <c r="B457" s="2" t="s">
        <v>44</v>
      </c>
      <c r="C457" s="4">
        <v>44646.0</v>
      </c>
      <c r="D457" s="1">
        <v>4.0</v>
      </c>
      <c r="E457" s="1">
        <v>1.0</v>
      </c>
      <c r="F457" s="1">
        <v>2.0</v>
      </c>
      <c r="H457" s="1">
        <v>4.0</v>
      </c>
      <c r="M457" s="1">
        <v>3.0</v>
      </c>
    </row>
    <row r="458">
      <c r="A458" s="1" t="s">
        <v>71</v>
      </c>
      <c r="B458" s="2" t="s">
        <v>73</v>
      </c>
      <c r="C458" s="4">
        <v>44654.0</v>
      </c>
      <c r="D458" s="1">
        <v>3.0</v>
      </c>
      <c r="E458" s="1">
        <v>1.0</v>
      </c>
      <c r="F458" s="1">
        <v>3.0</v>
      </c>
      <c r="H458" s="1">
        <v>2.0</v>
      </c>
    </row>
    <row r="459">
      <c r="A459" s="1" t="s">
        <v>28</v>
      </c>
      <c r="B459" s="2" t="s">
        <v>43</v>
      </c>
      <c r="C459" s="4">
        <v>44654.0</v>
      </c>
      <c r="D459" s="1">
        <v>3.0</v>
      </c>
      <c r="E459" s="1">
        <v>1.0</v>
      </c>
      <c r="F459" s="1">
        <v>3.0</v>
      </c>
      <c r="G459" s="1">
        <v>2.0</v>
      </c>
    </row>
    <row r="460">
      <c r="A460" s="1" t="s">
        <v>74</v>
      </c>
      <c r="B460" s="2" t="s">
        <v>44</v>
      </c>
      <c r="C460" s="4">
        <v>44660.0</v>
      </c>
      <c r="D460" s="1">
        <v>3.0</v>
      </c>
      <c r="E460" s="1">
        <v>3.0</v>
      </c>
      <c r="F460" s="1">
        <v>1.0</v>
      </c>
      <c r="H460" s="1">
        <v>2.0</v>
      </c>
    </row>
    <row r="461">
      <c r="A461" s="1" t="s">
        <v>62</v>
      </c>
      <c r="B461" s="2" t="s">
        <v>64</v>
      </c>
      <c r="C461" s="4">
        <v>44660.0</v>
      </c>
      <c r="D461" s="1">
        <v>4.0</v>
      </c>
      <c r="E461" s="1">
        <v>2.0</v>
      </c>
      <c r="F461" s="1">
        <v>1.0</v>
      </c>
      <c r="H461" s="1">
        <v>3.0</v>
      </c>
      <c r="V461" s="1">
        <v>4.0</v>
      </c>
    </row>
    <row r="462">
      <c r="A462" s="1" t="s">
        <v>38</v>
      </c>
      <c r="B462" s="2" t="s">
        <v>44</v>
      </c>
      <c r="C462" s="4">
        <v>44661.0</v>
      </c>
      <c r="D462" s="1">
        <v>4.0</v>
      </c>
      <c r="E462" s="1">
        <v>3.0</v>
      </c>
      <c r="F462" s="1">
        <v>1.0</v>
      </c>
      <c r="H462" s="1">
        <v>2.0</v>
      </c>
      <c r="V462" s="1">
        <v>4.0</v>
      </c>
    </row>
    <row r="463">
      <c r="A463" s="1" t="s">
        <v>68</v>
      </c>
      <c r="B463" s="2" t="s">
        <v>44</v>
      </c>
      <c r="C463" s="4">
        <v>44682.0</v>
      </c>
      <c r="D463" s="1">
        <v>3.0</v>
      </c>
      <c r="E463" s="1">
        <v>3.0</v>
      </c>
      <c r="F463" s="1">
        <v>2.0</v>
      </c>
      <c r="G463" s="1">
        <v>1.0</v>
      </c>
    </row>
    <row r="464">
      <c r="A464" s="1" t="s">
        <v>28</v>
      </c>
      <c r="B464" s="2" t="s">
        <v>43</v>
      </c>
      <c r="C464" s="4">
        <v>44682.0</v>
      </c>
      <c r="D464" s="1">
        <v>3.0</v>
      </c>
      <c r="E464" s="1">
        <v>2.0</v>
      </c>
      <c r="F464" s="1">
        <v>3.0</v>
      </c>
      <c r="G464" s="1">
        <v>1.0</v>
      </c>
    </row>
    <row r="465">
      <c r="A465" s="1" t="s">
        <v>62</v>
      </c>
      <c r="B465" s="2" t="s">
        <v>69</v>
      </c>
      <c r="C465" s="4">
        <v>44688.0</v>
      </c>
      <c r="D465" s="1">
        <v>4.0</v>
      </c>
      <c r="E465" s="1">
        <v>1.0</v>
      </c>
      <c r="F465" s="1">
        <v>3.0</v>
      </c>
      <c r="H465" s="1">
        <v>2.0</v>
      </c>
      <c r="V465" s="1">
        <v>4.0</v>
      </c>
    </row>
    <row r="466">
      <c r="A466" s="1" t="s">
        <v>27</v>
      </c>
      <c r="B466" s="2" t="s">
        <v>75</v>
      </c>
      <c r="C466" s="4">
        <v>44709.0</v>
      </c>
      <c r="D466" s="1">
        <v>3.0</v>
      </c>
      <c r="E466" s="1">
        <v>2.0</v>
      </c>
      <c r="F466" s="1">
        <v>1.0</v>
      </c>
      <c r="H466" s="1">
        <v>3.0</v>
      </c>
    </row>
    <row r="467">
      <c r="A467" s="1" t="s">
        <v>27</v>
      </c>
      <c r="B467" s="2" t="s">
        <v>75</v>
      </c>
      <c r="C467" s="4">
        <v>44709.0</v>
      </c>
      <c r="D467" s="1">
        <v>3.0</v>
      </c>
      <c r="E467" s="1">
        <v>1.0</v>
      </c>
      <c r="F467" s="1">
        <v>2.0</v>
      </c>
      <c r="H467" s="1">
        <v>3.0</v>
      </c>
    </row>
    <row r="468">
      <c r="A468" s="1" t="s">
        <v>71</v>
      </c>
      <c r="B468" s="2" t="s">
        <v>76</v>
      </c>
      <c r="C468" s="4">
        <v>44709.0</v>
      </c>
      <c r="D468" s="1">
        <v>3.0</v>
      </c>
      <c r="E468" s="1">
        <v>2.0</v>
      </c>
      <c r="F468" s="1">
        <v>1.0</v>
      </c>
      <c r="H468" s="1">
        <v>3.0</v>
      </c>
    </row>
    <row r="469">
      <c r="A469" s="1" t="s">
        <v>61</v>
      </c>
      <c r="B469" s="2" t="s">
        <v>44</v>
      </c>
      <c r="C469" s="4">
        <v>44709.0</v>
      </c>
      <c r="D469" s="1">
        <v>3.0</v>
      </c>
      <c r="E469" s="1">
        <v>1.0</v>
      </c>
      <c r="F469" s="1">
        <v>2.0</v>
      </c>
      <c r="H469" s="1">
        <v>3.0</v>
      </c>
    </row>
    <row r="470">
      <c r="A470" s="1" t="s">
        <v>71</v>
      </c>
      <c r="B470" s="2" t="s">
        <v>76</v>
      </c>
      <c r="C470" s="4">
        <v>44751.0</v>
      </c>
      <c r="D470" s="1">
        <v>3.0</v>
      </c>
      <c r="E470" s="1">
        <v>3.0</v>
      </c>
      <c r="F470" s="1">
        <v>1.0</v>
      </c>
      <c r="H470" s="1">
        <v>2.0</v>
      </c>
    </row>
    <row r="471">
      <c r="A471" s="1" t="s">
        <v>26</v>
      </c>
      <c r="B471" s="2" t="s">
        <v>44</v>
      </c>
      <c r="C471" s="4">
        <v>44751.0</v>
      </c>
      <c r="D471" s="1">
        <v>3.0</v>
      </c>
      <c r="E471" s="1">
        <v>2.0</v>
      </c>
      <c r="F471" s="1">
        <v>3.0</v>
      </c>
      <c r="H471" s="1">
        <v>1.0</v>
      </c>
    </row>
    <row r="472">
      <c r="A472" s="1" t="s">
        <v>23</v>
      </c>
      <c r="B472" s="2" t="s">
        <v>44</v>
      </c>
      <c r="C472" s="4">
        <v>44751.0</v>
      </c>
      <c r="D472" s="1">
        <v>3.0</v>
      </c>
      <c r="E472" s="1">
        <v>1.0</v>
      </c>
      <c r="F472" s="1">
        <v>2.0</v>
      </c>
      <c r="H472" s="1">
        <v>3.0</v>
      </c>
    </row>
    <row r="473">
      <c r="A473" s="1" t="s">
        <v>74</v>
      </c>
      <c r="B473" s="2" t="s">
        <v>44</v>
      </c>
      <c r="C473" s="4">
        <v>44758.0</v>
      </c>
      <c r="D473" s="1">
        <v>3.0</v>
      </c>
      <c r="E473" s="1">
        <v>2.0</v>
      </c>
      <c r="F473" s="1">
        <v>1.0</v>
      </c>
      <c r="H473" s="1">
        <v>3.0</v>
      </c>
    </row>
    <row r="474">
      <c r="A474" s="1" t="s">
        <v>32</v>
      </c>
      <c r="B474" s="2" t="s">
        <v>52</v>
      </c>
      <c r="C474" s="4">
        <v>44758.0</v>
      </c>
      <c r="D474" s="1">
        <v>3.0</v>
      </c>
      <c r="E474" s="1">
        <v>1.0</v>
      </c>
      <c r="F474" s="1">
        <v>2.0</v>
      </c>
      <c r="H474" s="1">
        <v>3.0</v>
      </c>
    </row>
    <row r="475">
      <c r="A475" s="1" t="s">
        <v>27</v>
      </c>
      <c r="B475" s="2" t="s">
        <v>75</v>
      </c>
      <c r="C475" s="4">
        <v>44758.0</v>
      </c>
      <c r="D475" s="1">
        <v>3.0</v>
      </c>
      <c r="E475" s="1">
        <v>3.0</v>
      </c>
      <c r="F475" s="1">
        <v>2.0</v>
      </c>
      <c r="H475" s="1">
        <v>1.0</v>
      </c>
    </row>
    <row r="476">
      <c r="A476" s="1" t="s">
        <v>71</v>
      </c>
      <c r="B476" s="2" t="s">
        <v>76</v>
      </c>
      <c r="C476" s="4">
        <v>44758.0</v>
      </c>
      <c r="D476" s="1">
        <v>3.0</v>
      </c>
      <c r="E476" s="1">
        <v>3.0</v>
      </c>
      <c r="F476" s="1">
        <v>1.0</v>
      </c>
      <c r="H476" s="1">
        <v>2.0</v>
      </c>
    </row>
    <row r="477">
      <c r="A477" s="1" t="s">
        <v>62</v>
      </c>
      <c r="B477" s="2" t="s">
        <v>65</v>
      </c>
      <c r="C477" s="4">
        <v>44759.0</v>
      </c>
      <c r="D477" s="1">
        <v>3.0</v>
      </c>
      <c r="E477" s="1">
        <v>2.0</v>
      </c>
      <c r="F477" s="1">
        <v>2.0</v>
      </c>
      <c r="H477" s="1">
        <v>1.0</v>
      </c>
    </row>
    <row r="478">
      <c r="A478" s="1" t="s">
        <v>28</v>
      </c>
      <c r="B478" s="2" t="s">
        <v>43</v>
      </c>
      <c r="C478" s="4">
        <v>44759.0</v>
      </c>
      <c r="D478" s="1">
        <v>3.0</v>
      </c>
      <c r="E478" s="1">
        <v>3.0</v>
      </c>
      <c r="F478" s="1">
        <v>1.0</v>
      </c>
      <c r="G478" s="1">
        <v>2.0</v>
      </c>
    </row>
    <row r="479">
      <c r="A479" s="1" t="s">
        <v>39</v>
      </c>
      <c r="B479" s="2" t="s">
        <v>44</v>
      </c>
      <c r="C479" s="4">
        <v>44765.0</v>
      </c>
      <c r="D479" s="1">
        <v>3.0</v>
      </c>
      <c r="F479" s="1">
        <v>1.0</v>
      </c>
      <c r="G479" s="1">
        <v>2.0</v>
      </c>
      <c r="R479" s="1">
        <v>3.0</v>
      </c>
    </row>
    <row r="480">
      <c r="A480" s="1" t="s">
        <v>71</v>
      </c>
      <c r="B480" s="2" t="s">
        <v>44</v>
      </c>
      <c r="C480" s="4">
        <v>44772.0</v>
      </c>
      <c r="D480" s="1">
        <v>4.0</v>
      </c>
      <c r="E480" s="1">
        <v>4.0</v>
      </c>
      <c r="F480" s="1">
        <v>3.0</v>
      </c>
      <c r="G480" s="1">
        <v>2.0</v>
      </c>
      <c r="H480" s="1">
        <v>1.0</v>
      </c>
    </row>
    <row r="481">
      <c r="A481" s="1" t="s">
        <v>39</v>
      </c>
      <c r="B481" s="2" t="s">
        <v>77</v>
      </c>
      <c r="C481" s="4">
        <v>44814.0</v>
      </c>
      <c r="D481" s="1">
        <v>4.0</v>
      </c>
      <c r="E481" s="1">
        <v>1.0</v>
      </c>
      <c r="F481" s="1">
        <v>2.0</v>
      </c>
      <c r="K481" s="1">
        <v>4.0</v>
      </c>
      <c r="V481" s="1">
        <v>3.0</v>
      </c>
    </row>
    <row r="482">
      <c r="A482" s="1" t="s">
        <v>62</v>
      </c>
      <c r="B482" s="2" t="s">
        <v>63</v>
      </c>
      <c r="C482" s="4">
        <v>44842.0</v>
      </c>
      <c r="D482" s="1">
        <v>4.0</v>
      </c>
      <c r="E482" s="1">
        <v>2.0</v>
      </c>
      <c r="F482" s="1">
        <v>3.0</v>
      </c>
      <c r="H482" s="1">
        <v>1.0</v>
      </c>
      <c r="K482" s="1">
        <v>4.0</v>
      </c>
    </row>
    <row r="483">
      <c r="A483" s="1" t="s">
        <v>28</v>
      </c>
      <c r="B483" s="2" t="s">
        <v>43</v>
      </c>
      <c r="C483" s="4">
        <v>44843.0</v>
      </c>
      <c r="D483" s="1">
        <v>3.0</v>
      </c>
      <c r="E483" s="1">
        <v>2.0</v>
      </c>
      <c r="F483" s="1">
        <v>3.0</v>
      </c>
      <c r="G483" s="1">
        <v>1.0</v>
      </c>
    </row>
    <row r="484">
      <c r="A484" s="1" t="s">
        <v>28</v>
      </c>
      <c r="B484" s="2" t="s">
        <v>43</v>
      </c>
      <c r="C484" s="4">
        <v>44885.0</v>
      </c>
      <c r="D484" s="1">
        <v>3.0</v>
      </c>
      <c r="E484" s="1">
        <v>2.0</v>
      </c>
      <c r="F484" s="1">
        <v>1.0</v>
      </c>
      <c r="G484" s="1">
        <v>3.0</v>
      </c>
    </row>
    <row r="485">
      <c r="A485" s="1" t="s">
        <v>68</v>
      </c>
      <c r="B485" s="2" t="s">
        <v>78</v>
      </c>
      <c r="C485" s="4">
        <v>44905.0</v>
      </c>
      <c r="D485" s="1">
        <v>3.0</v>
      </c>
      <c r="E485" s="1">
        <v>1.0</v>
      </c>
      <c r="F485" s="1">
        <v>3.0</v>
      </c>
      <c r="H485" s="1">
        <v>2.0</v>
      </c>
    </row>
    <row r="486">
      <c r="A486" s="1" t="s">
        <v>28</v>
      </c>
      <c r="B486" s="2" t="s">
        <v>43</v>
      </c>
      <c r="C486" s="4">
        <v>44927.0</v>
      </c>
      <c r="D486" s="1">
        <v>3.0</v>
      </c>
      <c r="E486" s="1">
        <v>1.0</v>
      </c>
      <c r="F486" s="1">
        <v>2.0</v>
      </c>
      <c r="G486" s="1">
        <v>3.0</v>
      </c>
    </row>
    <row r="487">
      <c r="A487" s="1" t="s">
        <v>54</v>
      </c>
      <c r="B487" s="2" t="s">
        <v>44</v>
      </c>
      <c r="C487" s="4">
        <v>44940.0</v>
      </c>
      <c r="D487" s="1">
        <v>3.0</v>
      </c>
      <c r="E487" s="1">
        <v>1.0</v>
      </c>
      <c r="F487" s="1">
        <v>2.0</v>
      </c>
      <c r="K487" s="1">
        <v>3.0</v>
      </c>
    </row>
    <row r="488">
      <c r="A488" s="1" t="s">
        <v>54</v>
      </c>
      <c r="B488" s="2" t="s">
        <v>44</v>
      </c>
      <c r="C488" s="4">
        <v>44940.0</v>
      </c>
      <c r="D488" s="1">
        <v>3.0</v>
      </c>
      <c r="E488" s="1">
        <v>2.0</v>
      </c>
      <c r="F488" s="1">
        <v>1.0</v>
      </c>
      <c r="K488" s="1">
        <v>3.0</v>
      </c>
    </row>
    <row r="489">
      <c r="A489" s="1" t="s">
        <v>71</v>
      </c>
      <c r="B489" s="2" t="s">
        <v>44</v>
      </c>
      <c r="C489" s="4">
        <v>44948.0</v>
      </c>
      <c r="D489" s="1">
        <v>3.0</v>
      </c>
      <c r="E489" s="1">
        <v>3.0</v>
      </c>
      <c r="F489" s="1">
        <v>2.0</v>
      </c>
      <c r="G489" s="1">
        <v>1.0</v>
      </c>
    </row>
    <row r="490">
      <c r="A490" s="1" t="s">
        <v>61</v>
      </c>
      <c r="B490" s="2" t="s">
        <v>44</v>
      </c>
      <c r="C490" s="4">
        <v>44962.0</v>
      </c>
      <c r="D490" s="1">
        <v>4.0</v>
      </c>
      <c r="E490" s="1">
        <v>1.0</v>
      </c>
      <c r="F490" s="1">
        <v>2.0</v>
      </c>
      <c r="G490" s="1">
        <v>3.0</v>
      </c>
      <c r="V490" s="1">
        <v>4.0</v>
      </c>
    </row>
    <row r="491">
      <c r="A491" s="1" t="s">
        <v>62</v>
      </c>
      <c r="B491" s="2" t="s">
        <v>67</v>
      </c>
      <c r="C491" s="4">
        <v>44968.0</v>
      </c>
      <c r="D491" s="1">
        <v>3.0</v>
      </c>
      <c r="E491" s="1">
        <v>3.0</v>
      </c>
      <c r="F491" s="1">
        <v>1.0</v>
      </c>
      <c r="H491" s="1">
        <v>2.0</v>
      </c>
    </row>
    <row r="492">
      <c r="A492" s="1" t="s">
        <v>26</v>
      </c>
      <c r="B492" s="2" t="s">
        <v>44</v>
      </c>
      <c r="C492" s="4">
        <v>44968.0</v>
      </c>
      <c r="D492" s="1">
        <v>3.0</v>
      </c>
      <c r="E492" s="1">
        <v>2.0</v>
      </c>
      <c r="F492" s="1">
        <v>1.0</v>
      </c>
      <c r="H492" s="1">
        <v>3.0</v>
      </c>
    </row>
    <row r="493">
      <c r="A493" s="1" t="s">
        <v>79</v>
      </c>
      <c r="B493" s="2" t="s">
        <v>44</v>
      </c>
      <c r="C493" s="4">
        <v>44968.0</v>
      </c>
      <c r="D493" s="1">
        <v>3.0</v>
      </c>
      <c r="E493" s="1">
        <v>2.0</v>
      </c>
      <c r="F493" s="1">
        <v>1.0</v>
      </c>
      <c r="H493" s="1">
        <v>2.0</v>
      </c>
    </row>
    <row r="494">
      <c r="A494" s="1" t="s">
        <v>61</v>
      </c>
      <c r="B494" s="2" t="s">
        <v>44</v>
      </c>
      <c r="C494" s="4">
        <v>44982.0</v>
      </c>
      <c r="D494" s="1">
        <v>4.0</v>
      </c>
      <c r="E494" s="1">
        <v>1.0</v>
      </c>
      <c r="F494" s="1">
        <v>3.0</v>
      </c>
      <c r="G494" s="1">
        <v>2.0</v>
      </c>
      <c r="H494" s="1">
        <v>4.0</v>
      </c>
    </row>
    <row r="495">
      <c r="A495" s="1" t="s">
        <v>79</v>
      </c>
      <c r="B495" s="2" t="s">
        <v>44</v>
      </c>
      <c r="C495" s="4">
        <v>44982.0</v>
      </c>
      <c r="D495" s="1">
        <v>3.0</v>
      </c>
      <c r="E495" s="1">
        <v>1.0</v>
      </c>
      <c r="F495" s="1">
        <v>3.0</v>
      </c>
      <c r="H495" s="1">
        <v>2.0</v>
      </c>
    </row>
    <row r="496">
      <c r="A496" s="1" t="s">
        <v>74</v>
      </c>
      <c r="B496" s="2" t="s">
        <v>44</v>
      </c>
      <c r="C496" s="4">
        <v>44983.0</v>
      </c>
      <c r="D496" s="1">
        <v>3.0</v>
      </c>
      <c r="E496" s="1">
        <v>2.0</v>
      </c>
      <c r="F496" s="1">
        <v>1.0</v>
      </c>
      <c r="H496" s="1">
        <v>3.0</v>
      </c>
    </row>
    <row r="497">
      <c r="A497" s="1" t="s">
        <v>68</v>
      </c>
      <c r="B497" s="2" t="s">
        <v>78</v>
      </c>
      <c r="C497" s="4">
        <v>44983.0</v>
      </c>
      <c r="D497" s="1">
        <v>3.0</v>
      </c>
      <c r="E497" s="1">
        <v>3.0</v>
      </c>
      <c r="F497" s="1">
        <v>1.0</v>
      </c>
      <c r="H497" s="1">
        <v>2.0</v>
      </c>
    </row>
    <row r="498">
      <c r="A498" s="1" t="s">
        <v>32</v>
      </c>
      <c r="B498" s="2" t="s">
        <v>44</v>
      </c>
      <c r="C498" s="4">
        <v>44983.0</v>
      </c>
      <c r="D498" s="1">
        <v>3.0</v>
      </c>
      <c r="E498" s="1">
        <v>2.0</v>
      </c>
      <c r="F498" s="1">
        <v>3.0</v>
      </c>
      <c r="H498" s="1">
        <v>1.0</v>
      </c>
    </row>
    <row r="499">
      <c r="A499" s="1" t="s">
        <v>61</v>
      </c>
      <c r="B499" s="2" t="s">
        <v>44</v>
      </c>
      <c r="C499" s="4">
        <v>44983.0</v>
      </c>
      <c r="D499" s="1">
        <v>3.0</v>
      </c>
      <c r="E499" s="1">
        <v>2.0</v>
      </c>
      <c r="F499" s="1">
        <v>1.0</v>
      </c>
      <c r="G499" s="1">
        <v>3.0</v>
      </c>
    </row>
    <row r="500">
      <c r="A500" s="1" t="s">
        <v>61</v>
      </c>
      <c r="B500" s="2" t="s">
        <v>44</v>
      </c>
      <c r="C500" s="4">
        <v>44990.0</v>
      </c>
      <c r="D500" s="1">
        <v>3.0</v>
      </c>
      <c r="E500" s="1">
        <v>3.0</v>
      </c>
      <c r="F500" s="1">
        <v>1.0</v>
      </c>
      <c r="G500" s="1">
        <v>2.0</v>
      </c>
    </row>
    <row r="501">
      <c r="A501" s="1" t="s">
        <v>61</v>
      </c>
      <c r="B501" s="2" t="s">
        <v>44</v>
      </c>
      <c r="C501" s="4">
        <v>44990.0</v>
      </c>
      <c r="D501" s="1">
        <v>3.0</v>
      </c>
      <c r="E501" s="1">
        <v>2.0</v>
      </c>
      <c r="F501" s="1">
        <v>1.0</v>
      </c>
      <c r="G501" s="1">
        <v>3.0</v>
      </c>
    </row>
    <row r="502">
      <c r="A502" s="1" t="s">
        <v>23</v>
      </c>
      <c r="B502" s="2" t="s">
        <v>55</v>
      </c>
      <c r="C502" s="4">
        <v>44997.0</v>
      </c>
      <c r="D502" s="1">
        <v>3.0</v>
      </c>
      <c r="E502" s="1">
        <v>2.0</v>
      </c>
      <c r="F502" s="1">
        <v>1.0</v>
      </c>
      <c r="H502" s="1">
        <v>3.0</v>
      </c>
    </row>
    <row r="503">
      <c r="A503" s="1" t="s">
        <v>61</v>
      </c>
      <c r="B503" s="2" t="s">
        <v>44</v>
      </c>
      <c r="C503" s="4">
        <v>44997.0</v>
      </c>
      <c r="D503" s="1">
        <v>5.0</v>
      </c>
      <c r="E503" s="1">
        <v>2.0</v>
      </c>
      <c r="F503" s="1">
        <v>1.0</v>
      </c>
      <c r="G503" s="1">
        <v>4.0</v>
      </c>
      <c r="H503" s="1">
        <v>3.0</v>
      </c>
      <c r="V503" s="1">
        <v>5.0</v>
      </c>
    </row>
    <row r="504">
      <c r="A504" s="1" t="s">
        <v>71</v>
      </c>
      <c r="B504" s="2" t="s">
        <v>76</v>
      </c>
      <c r="C504" s="4">
        <v>45010.0</v>
      </c>
      <c r="D504" s="1">
        <v>3.0</v>
      </c>
      <c r="E504" s="1">
        <v>2.0</v>
      </c>
      <c r="F504" s="1">
        <v>3.0</v>
      </c>
      <c r="H504" s="1">
        <v>1.0</v>
      </c>
    </row>
    <row r="505">
      <c r="A505" s="1" t="s">
        <v>80</v>
      </c>
      <c r="B505" s="2" t="s">
        <v>44</v>
      </c>
      <c r="C505" s="4">
        <v>45010.0</v>
      </c>
      <c r="D505" s="1">
        <v>3.0</v>
      </c>
      <c r="E505" s="1">
        <v>1.0</v>
      </c>
      <c r="F505" s="1">
        <v>3.0</v>
      </c>
      <c r="H505" s="1">
        <v>2.0</v>
      </c>
    </row>
    <row r="506">
      <c r="A506" s="1" t="s">
        <v>79</v>
      </c>
      <c r="B506" s="2" t="s">
        <v>44</v>
      </c>
      <c r="C506" s="4">
        <v>45011.0</v>
      </c>
      <c r="D506" s="1">
        <v>3.0</v>
      </c>
      <c r="E506" s="1">
        <v>3.0</v>
      </c>
      <c r="F506" s="1">
        <v>2.0</v>
      </c>
      <c r="H506" s="1">
        <v>1.0</v>
      </c>
    </row>
    <row r="507">
      <c r="A507" s="1" t="s">
        <v>28</v>
      </c>
      <c r="B507" s="2" t="s">
        <v>43</v>
      </c>
      <c r="C507" s="4">
        <v>45011.0</v>
      </c>
      <c r="D507" s="1">
        <v>3.0</v>
      </c>
      <c r="E507" s="1">
        <v>3.0</v>
      </c>
      <c r="F507" s="1">
        <v>1.0</v>
      </c>
      <c r="G507" s="1">
        <v>2.0</v>
      </c>
    </row>
    <row r="508">
      <c r="A508" s="1" t="s">
        <v>61</v>
      </c>
      <c r="B508" s="2" t="s">
        <v>44</v>
      </c>
      <c r="C508" s="4">
        <v>45018.0</v>
      </c>
      <c r="D508" s="1">
        <v>4.0</v>
      </c>
      <c r="E508" s="1">
        <v>4.0</v>
      </c>
      <c r="F508" s="1">
        <v>3.0</v>
      </c>
      <c r="G508" s="1">
        <v>1.0</v>
      </c>
      <c r="V508" s="1">
        <v>2.0</v>
      </c>
    </row>
    <row r="509">
      <c r="A509" s="1" t="s">
        <v>62</v>
      </c>
      <c r="B509" s="2" t="s">
        <v>81</v>
      </c>
      <c r="C509" s="4">
        <v>45052.0</v>
      </c>
      <c r="D509" s="1">
        <v>3.0</v>
      </c>
      <c r="E509" s="1">
        <v>3.0</v>
      </c>
      <c r="F509" s="1">
        <v>2.0</v>
      </c>
      <c r="H509" s="1">
        <v>1.0</v>
      </c>
    </row>
    <row r="510">
      <c r="A510" s="1" t="s">
        <v>82</v>
      </c>
      <c r="B510" s="2" t="s">
        <v>44</v>
      </c>
      <c r="C510" s="4">
        <v>45052.0</v>
      </c>
      <c r="D510" s="1">
        <v>3.0</v>
      </c>
      <c r="E510" s="1">
        <v>3.0</v>
      </c>
      <c r="F510" s="1">
        <v>1.0</v>
      </c>
      <c r="G510" s="1"/>
      <c r="H510" s="1">
        <v>2.0</v>
      </c>
    </row>
    <row r="511">
      <c r="A511" s="1" t="s">
        <v>80</v>
      </c>
      <c r="B511" s="2" t="s">
        <v>44</v>
      </c>
      <c r="C511" s="4">
        <v>45059.0</v>
      </c>
      <c r="D511" s="1">
        <v>3.0</v>
      </c>
      <c r="E511" s="1">
        <v>1.0</v>
      </c>
      <c r="F511" s="1">
        <v>2.0</v>
      </c>
      <c r="H511" s="1">
        <v>3.0</v>
      </c>
    </row>
    <row r="512">
      <c r="A512" s="1" t="s">
        <v>27</v>
      </c>
      <c r="B512" s="2" t="s">
        <v>83</v>
      </c>
      <c r="C512" s="4">
        <v>45059.0</v>
      </c>
      <c r="D512" s="1">
        <v>3.0</v>
      </c>
      <c r="E512" s="1">
        <v>1.0</v>
      </c>
      <c r="F512" s="1">
        <v>3.0</v>
      </c>
      <c r="H512" s="1">
        <v>2.0</v>
      </c>
    </row>
    <row r="513">
      <c r="A513" s="1" t="s">
        <v>27</v>
      </c>
      <c r="B513" s="2" t="s">
        <v>83</v>
      </c>
      <c r="C513" s="4">
        <v>45059.0</v>
      </c>
      <c r="D513" s="1">
        <v>3.0</v>
      </c>
      <c r="E513" s="1">
        <v>3.0</v>
      </c>
      <c r="F513" s="1">
        <v>1.0</v>
      </c>
      <c r="H513" s="1">
        <v>2.0</v>
      </c>
    </row>
    <row r="514">
      <c r="A514" s="1" t="s">
        <v>82</v>
      </c>
      <c r="B514" s="2" t="s">
        <v>44</v>
      </c>
      <c r="C514" s="4">
        <v>45067.0</v>
      </c>
      <c r="D514" s="1">
        <v>3.0</v>
      </c>
      <c r="E514" s="1">
        <v>3.0</v>
      </c>
      <c r="F514" s="1">
        <v>1.0</v>
      </c>
      <c r="H514" s="1">
        <v>2.0</v>
      </c>
    </row>
    <row r="515">
      <c r="A515" s="1" t="s">
        <v>28</v>
      </c>
      <c r="B515" s="2" t="s">
        <v>84</v>
      </c>
      <c r="C515" s="4">
        <v>45073.0</v>
      </c>
      <c r="D515" s="1">
        <v>3.0</v>
      </c>
      <c r="E515" s="1">
        <v>3.0</v>
      </c>
      <c r="F515" s="1">
        <v>2.0</v>
      </c>
      <c r="G515" s="1">
        <v>1.0</v>
      </c>
    </row>
    <row r="516">
      <c r="A516" s="1" t="s">
        <v>28</v>
      </c>
      <c r="B516" s="2" t="s">
        <v>43</v>
      </c>
      <c r="C516" s="4">
        <v>45081.0</v>
      </c>
      <c r="D516" s="1">
        <v>3.0</v>
      </c>
      <c r="E516" s="1">
        <v>3.0</v>
      </c>
      <c r="F516" s="1">
        <v>1.0</v>
      </c>
      <c r="G516" s="1">
        <v>2.0</v>
      </c>
    </row>
    <row r="517">
      <c r="A517" s="1" t="s">
        <v>26</v>
      </c>
      <c r="B517" s="2" t="s">
        <v>44</v>
      </c>
      <c r="C517" s="4">
        <v>45087.0</v>
      </c>
      <c r="D517" s="1">
        <v>3.0</v>
      </c>
      <c r="E517" s="1">
        <v>2.0</v>
      </c>
      <c r="F517" s="1">
        <v>1.0</v>
      </c>
      <c r="H517" s="1">
        <v>3.0</v>
      </c>
    </row>
    <row r="518">
      <c r="A518" s="1" t="s">
        <v>26</v>
      </c>
      <c r="B518" s="2" t="s">
        <v>44</v>
      </c>
      <c r="C518" s="4">
        <v>45087.0</v>
      </c>
      <c r="D518" s="1">
        <v>3.0</v>
      </c>
      <c r="E518" s="1">
        <v>2.0</v>
      </c>
      <c r="F518" s="1">
        <v>1.0</v>
      </c>
      <c r="H518" s="1">
        <v>3.0</v>
      </c>
    </row>
    <row r="519">
      <c r="A519" s="1" t="s">
        <v>62</v>
      </c>
      <c r="B519" s="2" t="s">
        <v>85</v>
      </c>
      <c r="C519" s="4">
        <v>45087.0</v>
      </c>
      <c r="D519" s="1">
        <v>4.0</v>
      </c>
      <c r="E519" s="1">
        <v>2.0</v>
      </c>
      <c r="F519" s="1">
        <v>1.0</v>
      </c>
      <c r="H519" s="1">
        <v>3.0</v>
      </c>
      <c r="N519" s="1">
        <v>4.0</v>
      </c>
    </row>
    <row r="520">
      <c r="A520" s="1" t="s">
        <v>32</v>
      </c>
      <c r="B520" s="2" t="s">
        <v>48</v>
      </c>
      <c r="C520" s="4">
        <v>45087.0</v>
      </c>
      <c r="D520" s="1">
        <v>3.0</v>
      </c>
      <c r="E520" s="1">
        <v>1.0</v>
      </c>
      <c r="F520" s="1">
        <v>2.0</v>
      </c>
      <c r="H520" s="1">
        <v>3.0</v>
      </c>
    </row>
    <row r="521">
      <c r="A521" s="1" t="s">
        <v>28</v>
      </c>
      <c r="B521" s="2" t="s">
        <v>43</v>
      </c>
      <c r="C521" s="4">
        <v>45088.0</v>
      </c>
      <c r="D521" s="1">
        <v>3.0</v>
      </c>
      <c r="E521" s="1">
        <v>1.0</v>
      </c>
      <c r="F521" s="1">
        <v>2.0</v>
      </c>
      <c r="G521" s="1">
        <v>3.0</v>
      </c>
    </row>
    <row r="522">
      <c r="A522" s="1" t="s">
        <v>82</v>
      </c>
      <c r="B522" s="2" t="s">
        <v>44</v>
      </c>
      <c r="C522" s="4">
        <v>45094.0</v>
      </c>
      <c r="D522" s="1">
        <v>4.0</v>
      </c>
      <c r="E522" s="1">
        <v>3.0</v>
      </c>
      <c r="F522" s="1">
        <v>2.0</v>
      </c>
      <c r="H522" s="1">
        <v>1.0</v>
      </c>
      <c r="V522" s="1">
        <v>4.0</v>
      </c>
    </row>
    <row r="523">
      <c r="A523" s="1" t="s">
        <v>61</v>
      </c>
      <c r="B523" s="2" t="s">
        <v>86</v>
      </c>
      <c r="C523" s="4">
        <v>45094.0</v>
      </c>
      <c r="D523" s="1">
        <v>3.0</v>
      </c>
      <c r="E523" s="1">
        <v>2.0</v>
      </c>
      <c r="F523" s="1">
        <v>3.0</v>
      </c>
      <c r="H523" s="1">
        <v>1.0</v>
      </c>
    </row>
    <row r="524">
      <c r="A524" s="1" t="s">
        <v>61</v>
      </c>
      <c r="B524" s="2" t="s">
        <v>44</v>
      </c>
      <c r="C524" s="4">
        <v>45101.0</v>
      </c>
      <c r="D524" s="1">
        <v>4.0</v>
      </c>
      <c r="E524" s="1">
        <v>4.0</v>
      </c>
      <c r="F524" s="1">
        <v>1.0</v>
      </c>
      <c r="G524" s="1">
        <v>3.0</v>
      </c>
      <c r="H524" s="1">
        <v>2.0</v>
      </c>
    </row>
    <row r="525">
      <c r="A525" s="1" t="s">
        <v>38</v>
      </c>
      <c r="B525" s="2" t="s">
        <v>44</v>
      </c>
      <c r="C525" s="4">
        <v>45101.0</v>
      </c>
      <c r="D525" s="1">
        <v>3.0</v>
      </c>
      <c r="E525" s="1">
        <v>1.0</v>
      </c>
      <c r="F525" s="1">
        <v>2.0</v>
      </c>
      <c r="H525" s="1">
        <v>2.0</v>
      </c>
    </row>
    <row r="526">
      <c r="A526" s="1" t="s">
        <v>28</v>
      </c>
      <c r="B526" s="2" t="s">
        <v>43</v>
      </c>
      <c r="C526" s="4">
        <v>45102.0</v>
      </c>
      <c r="D526" s="1">
        <v>3.0</v>
      </c>
      <c r="E526" s="1">
        <v>1.0</v>
      </c>
      <c r="F526" s="1">
        <v>2.0</v>
      </c>
      <c r="G526" s="1">
        <v>3.0</v>
      </c>
    </row>
    <row r="527">
      <c r="A527" s="1" t="s">
        <v>61</v>
      </c>
      <c r="B527" s="2" t="s">
        <v>44</v>
      </c>
      <c r="C527" s="4">
        <v>45102.0</v>
      </c>
      <c r="D527" s="1">
        <v>3.0</v>
      </c>
      <c r="E527" s="1">
        <v>1.0</v>
      </c>
      <c r="F527" s="1">
        <v>2.0</v>
      </c>
      <c r="G527" s="1">
        <v>3.0</v>
      </c>
    </row>
    <row r="528">
      <c r="A528" s="1" t="s">
        <v>61</v>
      </c>
      <c r="B528" s="2" t="s">
        <v>44</v>
      </c>
      <c r="C528" s="4">
        <v>45102.0</v>
      </c>
      <c r="D528" s="1">
        <v>3.0</v>
      </c>
      <c r="E528" s="1">
        <v>1.0</v>
      </c>
      <c r="F528" s="1">
        <v>3.0</v>
      </c>
      <c r="G528" s="1">
        <v>2.0</v>
      </c>
    </row>
    <row r="529">
      <c r="A529" s="1" t="s">
        <v>28</v>
      </c>
      <c r="B529" s="2" t="s">
        <v>43</v>
      </c>
      <c r="C529" s="4">
        <v>45109.0</v>
      </c>
      <c r="D529" s="1">
        <v>3.0</v>
      </c>
      <c r="E529" s="1">
        <v>2.0</v>
      </c>
      <c r="F529" s="1">
        <v>1.0</v>
      </c>
      <c r="G529" s="1">
        <v>3.0</v>
      </c>
    </row>
    <row r="530">
      <c r="A530" s="1" t="s">
        <v>28</v>
      </c>
      <c r="B530" s="2" t="s">
        <v>43</v>
      </c>
      <c r="C530" s="4">
        <v>45111.0</v>
      </c>
      <c r="D530" s="1">
        <v>3.0</v>
      </c>
      <c r="E530" s="1">
        <v>2.0</v>
      </c>
      <c r="F530" s="1">
        <v>1.0</v>
      </c>
      <c r="G530" s="1">
        <v>3.0</v>
      </c>
    </row>
    <row r="531">
      <c r="A531" s="1" t="s">
        <v>23</v>
      </c>
      <c r="B531" s="2" t="s">
        <v>55</v>
      </c>
      <c r="C531" s="4">
        <v>45115.0</v>
      </c>
      <c r="D531" s="1">
        <v>3.0</v>
      </c>
      <c r="E531" s="1">
        <v>3.0</v>
      </c>
      <c r="F531" s="1">
        <v>2.0</v>
      </c>
      <c r="H531" s="1">
        <v>1.0</v>
      </c>
    </row>
    <row r="532">
      <c r="A532" s="1" t="s">
        <v>28</v>
      </c>
      <c r="B532" s="2" t="s">
        <v>43</v>
      </c>
      <c r="C532" s="4">
        <v>45116.0</v>
      </c>
      <c r="D532" s="1">
        <v>3.0</v>
      </c>
      <c r="E532" s="1">
        <v>1.0</v>
      </c>
      <c r="F532" s="1">
        <v>2.0</v>
      </c>
      <c r="G532" s="1">
        <v>3.0</v>
      </c>
    </row>
    <row r="533">
      <c r="A533" s="1" t="s">
        <v>28</v>
      </c>
      <c r="B533" s="2" t="s">
        <v>43</v>
      </c>
      <c r="C533" s="4">
        <v>45123.0</v>
      </c>
      <c r="D533" s="1">
        <v>3.0</v>
      </c>
      <c r="E533" s="1">
        <v>1.0</v>
      </c>
      <c r="F533" s="1">
        <v>2.0</v>
      </c>
      <c r="G533" s="1">
        <v>3.0</v>
      </c>
    </row>
    <row r="534">
      <c r="A534" s="1" t="s">
        <v>82</v>
      </c>
      <c r="B534" s="2" t="s">
        <v>87</v>
      </c>
      <c r="C534" s="4">
        <v>45129.0</v>
      </c>
      <c r="D534" s="1">
        <v>3.0</v>
      </c>
      <c r="E534" s="1">
        <v>3.0</v>
      </c>
      <c r="F534" s="1">
        <v>1.0</v>
      </c>
      <c r="H534" s="1">
        <v>2.0</v>
      </c>
    </row>
    <row r="535">
      <c r="A535" s="1" t="s">
        <v>68</v>
      </c>
      <c r="B535" s="2" t="s">
        <v>88</v>
      </c>
      <c r="C535" s="4">
        <v>45129.0</v>
      </c>
      <c r="D535" s="1">
        <v>3.0</v>
      </c>
      <c r="E535" s="1">
        <v>2.0</v>
      </c>
      <c r="F535" s="1">
        <v>3.0</v>
      </c>
      <c r="H535" s="1">
        <v>1.0</v>
      </c>
    </row>
    <row r="536">
      <c r="A536" s="1" t="s">
        <v>28</v>
      </c>
      <c r="B536" s="2" t="s">
        <v>43</v>
      </c>
      <c r="C536" s="4">
        <v>45144.0</v>
      </c>
      <c r="D536" s="1">
        <v>3.0</v>
      </c>
      <c r="E536" s="1">
        <v>3.0</v>
      </c>
      <c r="F536" s="1">
        <v>1.0</v>
      </c>
      <c r="G536" s="1">
        <v>2.0</v>
      </c>
    </row>
    <row r="537">
      <c r="A537" s="1" t="s">
        <v>61</v>
      </c>
      <c r="B537" s="2" t="s">
        <v>44</v>
      </c>
      <c r="C537" s="4">
        <v>45165.0</v>
      </c>
      <c r="D537" s="1">
        <v>4.0</v>
      </c>
      <c r="E537" s="1">
        <v>4.0</v>
      </c>
      <c r="F537" s="1">
        <v>1.0</v>
      </c>
      <c r="G537" s="1">
        <v>3.0</v>
      </c>
      <c r="V537" s="1">
        <v>2.0</v>
      </c>
    </row>
    <row r="538">
      <c r="A538" s="1" t="s">
        <v>80</v>
      </c>
      <c r="B538" s="2" t="s">
        <v>44</v>
      </c>
      <c r="C538" s="4">
        <v>45206.0</v>
      </c>
      <c r="D538" s="1">
        <v>3.0</v>
      </c>
      <c r="E538" s="1">
        <v>2.0</v>
      </c>
      <c r="F538" s="1">
        <v>1.0</v>
      </c>
      <c r="H538" s="1">
        <v>3.0</v>
      </c>
    </row>
    <row r="539">
      <c r="A539" s="1" t="s">
        <v>89</v>
      </c>
      <c r="B539" s="2" t="s">
        <v>44</v>
      </c>
      <c r="C539" s="4">
        <v>45206.0</v>
      </c>
      <c r="D539" s="1">
        <v>3.0</v>
      </c>
      <c r="E539" s="1">
        <v>2.0</v>
      </c>
      <c r="F539" s="1">
        <v>3.0</v>
      </c>
      <c r="H539" s="1">
        <v>1.0</v>
      </c>
    </row>
    <row r="540">
      <c r="A540" s="1" t="s">
        <v>74</v>
      </c>
      <c r="B540" s="2" t="s">
        <v>90</v>
      </c>
      <c r="C540" s="4">
        <v>45248.0</v>
      </c>
      <c r="D540" s="1">
        <v>3.0</v>
      </c>
      <c r="E540" s="1">
        <v>3.0</v>
      </c>
      <c r="F540" s="1">
        <v>2.0</v>
      </c>
      <c r="H540" s="1">
        <v>1.0</v>
      </c>
    </row>
    <row r="541">
      <c r="A541" s="1" t="s">
        <v>28</v>
      </c>
      <c r="B541" s="2" t="s">
        <v>43</v>
      </c>
      <c r="C541" s="4">
        <v>45270.0</v>
      </c>
      <c r="D541" s="1">
        <v>3.0</v>
      </c>
      <c r="E541" s="1">
        <v>3.0</v>
      </c>
      <c r="F541" s="1">
        <v>2.0</v>
      </c>
      <c r="G541" s="1">
        <v>1.0</v>
      </c>
    </row>
    <row r="542">
      <c r="A542" s="1" t="s">
        <v>28</v>
      </c>
      <c r="B542" s="2" t="s">
        <v>43</v>
      </c>
      <c r="C542" s="4">
        <v>45277.0</v>
      </c>
      <c r="D542" s="1">
        <v>3.0</v>
      </c>
      <c r="E542" s="1">
        <v>2.0</v>
      </c>
      <c r="F542" s="1">
        <v>3.0</v>
      </c>
      <c r="G542" s="1">
        <v>1.0</v>
      </c>
    </row>
    <row r="543">
      <c r="A543" s="1" t="s">
        <v>62</v>
      </c>
      <c r="B543" s="2" t="s">
        <v>64</v>
      </c>
      <c r="C543" s="4">
        <v>45333.0</v>
      </c>
      <c r="D543" s="1">
        <v>3.0</v>
      </c>
      <c r="E543" s="1">
        <v>3.0</v>
      </c>
      <c r="F543" s="1">
        <v>1.0</v>
      </c>
      <c r="H543" s="1">
        <v>2.0</v>
      </c>
    </row>
    <row r="544">
      <c r="A544" s="1" t="s">
        <v>71</v>
      </c>
      <c r="B544" s="2" t="s">
        <v>76</v>
      </c>
      <c r="C544" s="4">
        <v>45346.0</v>
      </c>
      <c r="D544" s="1">
        <v>3.0</v>
      </c>
      <c r="E544" s="1">
        <v>2.0</v>
      </c>
      <c r="F544" s="1">
        <v>3.0</v>
      </c>
      <c r="H544" s="1">
        <v>1.0</v>
      </c>
    </row>
    <row r="545">
      <c r="A545" s="1" t="s">
        <v>61</v>
      </c>
      <c r="B545" s="2" t="s">
        <v>44</v>
      </c>
      <c r="C545" s="4">
        <v>45382.0</v>
      </c>
      <c r="D545" s="1">
        <v>3.0</v>
      </c>
      <c r="E545" s="1">
        <v>2.0</v>
      </c>
      <c r="F545" s="1">
        <v>1.0</v>
      </c>
      <c r="G545" s="1">
        <v>3.0</v>
      </c>
    </row>
    <row r="546">
      <c r="A546" s="1" t="s">
        <v>80</v>
      </c>
      <c r="B546" s="2" t="s">
        <v>44</v>
      </c>
      <c r="C546" s="4">
        <v>45403.0</v>
      </c>
      <c r="D546" s="1">
        <v>4.0</v>
      </c>
      <c r="E546" s="1">
        <v>2.0</v>
      </c>
      <c r="F546" s="1">
        <v>3.0</v>
      </c>
      <c r="G546" s="1">
        <v>1.0</v>
      </c>
      <c r="V546" s="1">
        <v>4.0</v>
      </c>
    </row>
    <row r="547">
      <c r="A547" s="1" t="s">
        <v>28</v>
      </c>
      <c r="B547" s="2" t="s">
        <v>43</v>
      </c>
      <c r="C547" s="4">
        <v>45431.0</v>
      </c>
      <c r="D547" s="1">
        <v>3.0</v>
      </c>
      <c r="E547" s="1">
        <v>2.0</v>
      </c>
      <c r="F547" s="1">
        <v>1.0</v>
      </c>
      <c r="G547" s="1">
        <v>3.0</v>
      </c>
    </row>
    <row r="548">
      <c r="A548" s="1" t="s">
        <v>28</v>
      </c>
      <c r="B548" s="2" t="s">
        <v>43</v>
      </c>
      <c r="C548" s="4">
        <v>45438.0</v>
      </c>
      <c r="D548" s="1">
        <v>3.0</v>
      </c>
      <c r="E548" s="1">
        <v>2.0</v>
      </c>
      <c r="F548" s="1">
        <v>1.0</v>
      </c>
      <c r="G548" s="1">
        <v>3.0</v>
      </c>
    </row>
    <row r="549">
      <c r="A549" s="1" t="s">
        <v>80</v>
      </c>
      <c r="B549" s="2" t="s">
        <v>44</v>
      </c>
      <c r="C549" s="4">
        <v>45444.0</v>
      </c>
      <c r="D549" s="1">
        <v>5.0</v>
      </c>
      <c r="E549" s="1">
        <v>5.0</v>
      </c>
      <c r="F549" s="1">
        <v>1.0</v>
      </c>
      <c r="K549" s="1">
        <v>2.0</v>
      </c>
      <c r="L549" s="1">
        <v>4.0</v>
      </c>
      <c r="V549" s="1">
        <v>3.0</v>
      </c>
    </row>
    <row r="550">
      <c r="A550" s="1" t="s">
        <v>54</v>
      </c>
      <c r="B550" s="2" t="s">
        <v>44</v>
      </c>
      <c r="C550" s="4">
        <v>45445.0</v>
      </c>
      <c r="D550" s="1">
        <v>3.0</v>
      </c>
      <c r="E550" s="1">
        <v>3.0</v>
      </c>
      <c r="F550" s="1">
        <v>2.0</v>
      </c>
      <c r="K550" s="1">
        <v>1.0</v>
      </c>
    </row>
    <row r="551">
      <c r="A551" s="1" t="s">
        <v>28</v>
      </c>
      <c r="B551" s="2" t="s">
        <v>43</v>
      </c>
      <c r="C551" s="4">
        <v>45477.0</v>
      </c>
      <c r="D551" s="1">
        <v>3.0</v>
      </c>
      <c r="E551" s="1">
        <v>2.0</v>
      </c>
      <c r="F551" s="1">
        <v>1.0</v>
      </c>
      <c r="G551" s="1">
        <v>3.0</v>
      </c>
    </row>
    <row r="552">
      <c r="A552" s="1" t="s">
        <v>28</v>
      </c>
      <c r="B552" s="2" t="s">
        <v>43</v>
      </c>
      <c r="C552" s="4">
        <v>45480.0</v>
      </c>
      <c r="D552" s="1">
        <v>3.0</v>
      </c>
      <c r="E552" s="1">
        <v>1.0</v>
      </c>
      <c r="F552" s="1">
        <v>3.0</v>
      </c>
      <c r="G552" s="1">
        <v>2.0</v>
      </c>
    </row>
    <row r="553">
      <c r="A553" s="1" t="s">
        <v>28</v>
      </c>
      <c r="B553" s="2" t="s">
        <v>43</v>
      </c>
      <c r="C553" s="4">
        <v>45487.0</v>
      </c>
      <c r="D553" s="1">
        <v>3.0</v>
      </c>
      <c r="E553" s="1">
        <v>1.0</v>
      </c>
      <c r="F553" s="1">
        <v>3.0</v>
      </c>
      <c r="G553" s="1">
        <v>2.0</v>
      </c>
    </row>
    <row r="554">
      <c r="A554" s="1" t="s">
        <v>28</v>
      </c>
      <c r="B554" s="2" t="s">
        <v>43</v>
      </c>
      <c r="C554" s="4">
        <v>45494.0</v>
      </c>
      <c r="D554" s="1">
        <v>3.0</v>
      </c>
      <c r="E554" s="1">
        <v>3.0</v>
      </c>
      <c r="F554" s="1">
        <v>2.0</v>
      </c>
      <c r="G554" s="1">
        <v>1.0</v>
      </c>
    </row>
    <row r="555">
      <c r="A555" s="1" t="s">
        <v>28</v>
      </c>
      <c r="B555" s="2" t="s">
        <v>43</v>
      </c>
      <c r="C555" s="4">
        <v>45508.0</v>
      </c>
      <c r="D555" s="1">
        <v>3.0</v>
      </c>
      <c r="E555" s="1">
        <v>2.0</v>
      </c>
      <c r="F555" s="1">
        <v>3.0</v>
      </c>
      <c r="G555" s="1">
        <v>1.0</v>
      </c>
    </row>
    <row r="556">
      <c r="A556" s="1" t="s">
        <v>28</v>
      </c>
      <c r="B556" s="2" t="s">
        <v>43</v>
      </c>
      <c r="C556" s="4">
        <v>45515.0</v>
      </c>
      <c r="D556" s="1">
        <v>3.0</v>
      </c>
      <c r="E556" s="1">
        <v>2.0</v>
      </c>
      <c r="F556" s="1">
        <v>3.0</v>
      </c>
      <c r="G556" s="1">
        <v>1.0</v>
      </c>
    </row>
    <row r="557">
      <c r="A557" s="1" t="s">
        <v>28</v>
      </c>
      <c r="B557" s="2" t="s">
        <v>43</v>
      </c>
      <c r="C557" s="4">
        <v>45522.0</v>
      </c>
      <c r="D557" s="1">
        <v>3.0</v>
      </c>
      <c r="E557" s="1">
        <v>2.0</v>
      </c>
      <c r="F557" s="1">
        <v>1.0</v>
      </c>
      <c r="G557" s="1">
        <v>3.0</v>
      </c>
    </row>
    <row r="558">
      <c r="A558" s="1" t="s">
        <v>28</v>
      </c>
      <c r="B558" s="2" t="s">
        <v>43</v>
      </c>
      <c r="C558" s="4">
        <v>45529.0</v>
      </c>
      <c r="D558" s="1">
        <v>3.0</v>
      </c>
      <c r="E558" s="1">
        <v>1.0</v>
      </c>
      <c r="F558" s="1">
        <v>2.0</v>
      </c>
      <c r="G558" s="1">
        <v>3.0</v>
      </c>
    </row>
    <row r="559">
      <c r="A559" s="1" t="s">
        <v>28</v>
      </c>
      <c r="B559" s="2" t="s">
        <v>43</v>
      </c>
      <c r="C559" s="4">
        <v>45535.0</v>
      </c>
      <c r="D559" s="1">
        <v>3.0</v>
      </c>
      <c r="E559" s="1">
        <v>3.0</v>
      </c>
      <c r="F559" s="1">
        <v>1.0</v>
      </c>
      <c r="G559" s="1">
        <v>2.0</v>
      </c>
    </row>
    <row r="560">
      <c r="A560" s="1" t="s">
        <v>32</v>
      </c>
      <c r="B560" s="2" t="s">
        <v>44</v>
      </c>
      <c r="C560" s="4">
        <v>45536.0</v>
      </c>
      <c r="D560" s="1">
        <v>3.0</v>
      </c>
      <c r="E560" s="1">
        <v>2.0</v>
      </c>
      <c r="F560" s="1">
        <v>1.0</v>
      </c>
      <c r="H560" s="1">
        <v>3.0</v>
      </c>
    </row>
    <row r="561">
      <c r="A561" s="1" t="s">
        <v>28</v>
      </c>
      <c r="B561" s="2" t="s">
        <v>43</v>
      </c>
      <c r="C561" s="4">
        <v>45550.0</v>
      </c>
      <c r="D561" s="1">
        <v>3.0</v>
      </c>
      <c r="E561" s="1">
        <v>1.0</v>
      </c>
      <c r="F561" s="1">
        <v>3.0</v>
      </c>
      <c r="G561" s="1">
        <v>2.0</v>
      </c>
    </row>
    <row r="562">
      <c r="A562" s="1" t="s">
        <v>26</v>
      </c>
      <c r="B562" s="2" t="s">
        <v>44</v>
      </c>
      <c r="C562" s="4">
        <v>45557.0</v>
      </c>
      <c r="D562" s="1">
        <v>3.0</v>
      </c>
      <c r="E562" s="1">
        <v>3.0</v>
      </c>
      <c r="F562" s="1">
        <v>1.0</v>
      </c>
      <c r="H562" s="1">
        <v>2.0</v>
      </c>
    </row>
    <row r="563">
      <c r="A563" s="1" t="s">
        <v>74</v>
      </c>
      <c r="B563" s="2" t="s">
        <v>90</v>
      </c>
      <c r="C563" s="4">
        <v>45591.0</v>
      </c>
      <c r="D563" s="1">
        <v>3.0</v>
      </c>
      <c r="E563" s="1">
        <v>3.0</v>
      </c>
      <c r="F563" s="1">
        <v>1.0</v>
      </c>
      <c r="H563" s="1">
        <v>2.0</v>
      </c>
    </row>
    <row r="564">
      <c r="A564" s="1" t="s">
        <v>80</v>
      </c>
      <c r="B564" s="2" t="s">
        <v>44</v>
      </c>
      <c r="C564" s="4">
        <v>45591.0</v>
      </c>
      <c r="D564" s="1">
        <v>3.0</v>
      </c>
      <c r="E564" s="1">
        <v>2.0</v>
      </c>
      <c r="F564" s="1">
        <v>1.0</v>
      </c>
      <c r="H564" s="1">
        <v>3.0</v>
      </c>
    </row>
    <row r="565">
      <c r="A565" s="1" t="s">
        <v>62</v>
      </c>
      <c r="B565" s="2" t="s">
        <v>69</v>
      </c>
      <c r="C565" s="4">
        <v>45620.0</v>
      </c>
      <c r="D565" s="1">
        <v>3.0</v>
      </c>
      <c r="E565" s="1">
        <v>1.0</v>
      </c>
      <c r="F565" s="1">
        <v>3.0</v>
      </c>
      <c r="H565" s="1">
        <v>2.0</v>
      </c>
    </row>
    <row r="566">
      <c r="A566" s="1" t="s">
        <v>71</v>
      </c>
      <c r="B566" s="2" t="s">
        <v>76</v>
      </c>
      <c r="C566" s="4">
        <v>45648.0</v>
      </c>
      <c r="D566" s="1">
        <v>3.0</v>
      </c>
      <c r="E566" s="1">
        <v>2.0</v>
      </c>
      <c r="F566" s="1">
        <v>1.0</v>
      </c>
      <c r="H566" s="1">
        <v>3.0</v>
      </c>
    </row>
    <row r="567">
      <c r="A567" s="1" t="s">
        <v>28</v>
      </c>
      <c r="B567" s="2" t="s">
        <v>43</v>
      </c>
      <c r="C567" s="4">
        <v>45676.0</v>
      </c>
      <c r="D567" s="1">
        <v>3.0</v>
      </c>
      <c r="E567" s="1">
        <v>3.0</v>
      </c>
      <c r="F567" s="1">
        <v>1.0</v>
      </c>
      <c r="G567" s="1">
        <v>2.0</v>
      </c>
    </row>
    <row r="568">
      <c r="A568" s="1" t="s">
        <v>28</v>
      </c>
      <c r="B568" s="2" t="s">
        <v>43</v>
      </c>
      <c r="C568" s="4">
        <v>45683.0</v>
      </c>
      <c r="D568" s="1">
        <v>3.0</v>
      </c>
      <c r="E568" s="1">
        <v>2.0</v>
      </c>
      <c r="F568" s="1">
        <v>1.0</v>
      </c>
      <c r="G568" s="1">
        <v>3.0</v>
      </c>
    </row>
    <row r="569">
      <c r="A569" s="1" t="s">
        <v>91</v>
      </c>
      <c r="B569" s="2" t="s">
        <v>92</v>
      </c>
      <c r="C569" s="4">
        <v>45717.0</v>
      </c>
      <c r="D569" s="1">
        <v>3.0</v>
      </c>
      <c r="E569" s="1">
        <v>3.0</v>
      </c>
      <c r="H569" s="1">
        <v>2.0</v>
      </c>
      <c r="V569" s="1">
        <v>1.0</v>
      </c>
    </row>
    <row r="570">
      <c r="A570" s="1" t="s">
        <v>61</v>
      </c>
      <c r="B570" s="2" t="s">
        <v>51</v>
      </c>
      <c r="C570" s="4">
        <v>45717.0</v>
      </c>
      <c r="D570" s="1">
        <v>3.0</v>
      </c>
      <c r="E570" s="1">
        <v>2.0</v>
      </c>
      <c r="H570" s="1">
        <v>1.0</v>
      </c>
      <c r="V570" s="1">
        <v>3.0</v>
      </c>
    </row>
    <row r="571">
      <c r="A571" s="1" t="s">
        <v>61</v>
      </c>
      <c r="B571" s="2" t="s">
        <v>44</v>
      </c>
      <c r="C571" s="4">
        <v>45718.0</v>
      </c>
      <c r="D571" s="1">
        <v>3.0</v>
      </c>
      <c r="E571" s="1">
        <v>4.0</v>
      </c>
      <c r="F571" s="1">
        <v>1.0</v>
      </c>
      <c r="G571" s="1">
        <v>2.0</v>
      </c>
      <c r="V571" s="1">
        <v>3.0</v>
      </c>
    </row>
    <row r="572">
      <c r="A572" s="1" t="s">
        <v>28</v>
      </c>
      <c r="B572" s="2" t="s">
        <v>43</v>
      </c>
      <c r="C572" s="4">
        <v>45725.0</v>
      </c>
      <c r="D572" s="1">
        <v>3.0</v>
      </c>
      <c r="E572" s="1">
        <v>3.0</v>
      </c>
      <c r="F572" s="1">
        <v>2.0</v>
      </c>
      <c r="G572" s="1">
        <v>1.0</v>
      </c>
    </row>
    <row r="573">
      <c r="A573" s="1" t="s">
        <v>91</v>
      </c>
      <c r="B573" s="2" t="s">
        <v>44</v>
      </c>
      <c r="C573" s="4">
        <v>45745.0</v>
      </c>
      <c r="D573" s="1">
        <v>4.0</v>
      </c>
      <c r="E573" s="1">
        <v>2.0</v>
      </c>
      <c r="F573" s="1">
        <v>4.0</v>
      </c>
      <c r="H573" s="1">
        <v>1.0</v>
      </c>
      <c r="V573" s="1">
        <v>3.0</v>
      </c>
    </row>
    <row r="574">
      <c r="A574" s="1" t="s">
        <v>80</v>
      </c>
      <c r="B574" s="2" t="s">
        <v>44</v>
      </c>
      <c r="C574" s="4">
        <v>45745.0</v>
      </c>
      <c r="D574" s="1">
        <v>5.0</v>
      </c>
      <c r="E574" s="1">
        <v>4.0</v>
      </c>
      <c r="F574" s="1">
        <v>1.0</v>
      </c>
      <c r="H574" s="1">
        <v>2.0</v>
      </c>
      <c r="N574" s="1">
        <v>5.0</v>
      </c>
      <c r="V574" s="1">
        <v>3.0</v>
      </c>
    </row>
    <row r="575">
      <c r="A575" s="1" t="s">
        <v>28</v>
      </c>
      <c r="B575" s="2" t="s">
        <v>43</v>
      </c>
      <c r="C575" s="4">
        <v>45746.0</v>
      </c>
      <c r="D575" s="1">
        <v>3.0</v>
      </c>
      <c r="E575" s="1">
        <v>1.0</v>
      </c>
      <c r="F575" s="1">
        <v>3.0</v>
      </c>
      <c r="G575" s="1">
        <v>2.0</v>
      </c>
    </row>
    <row r="576">
      <c r="A576" s="1" t="s">
        <v>62</v>
      </c>
      <c r="B576" s="2" t="s">
        <v>63</v>
      </c>
      <c r="C576" s="4">
        <v>45780.0</v>
      </c>
      <c r="D576" s="1">
        <v>4.0</v>
      </c>
      <c r="E576" s="1">
        <v>3.0</v>
      </c>
      <c r="F576" s="1">
        <v>1.0</v>
      </c>
      <c r="H576" s="1">
        <v>2.0</v>
      </c>
      <c r="V576" s="1">
        <v>4.0</v>
      </c>
    </row>
    <row r="577">
      <c r="A577" s="1" t="s">
        <v>32</v>
      </c>
      <c r="B577" s="2" t="s">
        <v>93</v>
      </c>
      <c r="C577" s="4">
        <v>45780.0</v>
      </c>
      <c r="D577" s="1">
        <v>3.0</v>
      </c>
      <c r="E577" s="1">
        <v>1.0</v>
      </c>
      <c r="F577" s="1">
        <v>2.0</v>
      </c>
      <c r="H577" s="1">
        <v>3.0</v>
      </c>
    </row>
    <row r="578">
      <c r="A578" s="1" t="s">
        <v>26</v>
      </c>
      <c r="B578" s="2" t="s">
        <v>44</v>
      </c>
      <c r="C578" s="4">
        <v>45780.0</v>
      </c>
      <c r="D578" s="1">
        <v>4.0</v>
      </c>
      <c r="E578" s="1">
        <v>1.0</v>
      </c>
      <c r="F578" s="1">
        <v>3.0</v>
      </c>
      <c r="H578" s="1">
        <v>4.0</v>
      </c>
      <c r="V578" s="1">
        <v>2.0</v>
      </c>
    </row>
    <row r="579">
      <c r="A579" s="1" t="s">
        <v>71</v>
      </c>
      <c r="B579" s="2" t="s">
        <v>44</v>
      </c>
      <c r="C579" s="4">
        <v>45780.0</v>
      </c>
      <c r="D579" s="1">
        <v>4.0</v>
      </c>
      <c r="E579" s="1">
        <v>4.0</v>
      </c>
      <c r="F579" s="1">
        <v>3.0</v>
      </c>
      <c r="H579" s="1">
        <v>1.0</v>
      </c>
      <c r="V579" s="1">
        <v>2.0</v>
      </c>
    </row>
    <row r="580">
      <c r="A580" s="1" t="s">
        <v>28</v>
      </c>
      <c r="B580" s="2" t="s">
        <v>43</v>
      </c>
      <c r="C580" s="4">
        <v>45809.0</v>
      </c>
      <c r="D580" s="1">
        <v>3.0</v>
      </c>
      <c r="E580" s="1">
        <v>3.0</v>
      </c>
      <c r="F580" s="1">
        <v>2.0</v>
      </c>
      <c r="G580" s="1">
        <v>1.0</v>
      </c>
    </row>
    <row r="581">
      <c r="A581" s="1" t="s">
        <v>71</v>
      </c>
      <c r="B581" s="2" t="s">
        <v>94</v>
      </c>
      <c r="C581" s="4">
        <v>45815.0</v>
      </c>
      <c r="D581" s="1">
        <v>4.0</v>
      </c>
      <c r="E581" s="1">
        <v>3.0</v>
      </c>
      <c r="F581" s="1">
        <v>4.0</v>
      </c>
      <c r="H581" s="1">
        <v>2.0</v>
      </c>
      <c r="V581" s="1">
        <v>1.0</v>
      </c>
    </row>
    <row r="582">
      <c r="A582" s="1" t="s">
        <v>38</v>
      </c>
      <c r="B582" s="2" t="s">
        <v>44</v>
      </c>
      <c r="C582" s="4">
        <v>45815.0</v>
      </c>
      <c r="D582" s="1">
        <v>3.0</v>
      </c>
      <c r="E582" s="1">
        <v>1.0</v>
      </c>
      <c r="F582" s="1">
        <v>3.0</v>
      </c>
      <c r="H582" s="1">
        <v>2.0</v>
      </c>
    </row>
    <row r="583">
      <c r="A583" s="1" t="s">
        <v>68</v>
      </c>
      <c r="B583" s="2" t="s">
        <v>44</v>
      </c>
      <c r="C583" s="4">
        <v>45815.0</v>
      </c>
      <c r="D583" s="1">
        <v>3.0</v>
      </c>
      <c r="E583" s="1">
        <v>3.0</v>
      </c>
      <c r="F583" s="1">
        <v>1.0</v>
      </c>
      <c r="H583" s="1">
        <v>2.0</v>
      </c>
    </row>
    <row r="584">
      <c r="A584" s="1" t="s">
        <v>32</v>
      </c>
      <c r="B584" s="2" t="s">
        <v>95</v>
      </c>
      <c r="C584" s="4">
        <v>45815.0</v>
      </c>
      <c r="D584" s="1">
        <v>3.0</v>
      </c>
      <c r="E584" s="1">
        <v>3.0</v>
      </c>
      <c r="F584" s="1">
        <v>2.0</v>
      </c>
      <c r="H584" s="1">
        <v>1.0</v>
      </c>
    </row>
    <row r="585">
      <c r="A585" s="1" t="s">
        <v>28</v>
      </c>
      <c r="B585" s="2" t="s">
        <v>43</v>
      </c>
      <c r="C585" s="4">
        <v>45816.0</v>
      </c>
      <c r="D585" s="1">
        <v>3.0</v>
      </c>
      <c r="E585" s="1">
        <v>2.0</v>
      </c>
      <c r="F585" s="1">
        <v>1.0</v>
      </c>
      <c r="G585" s="1">
        <v>3.0</v>
      </c>
    </row>
    <row r="586">
      <c r="A586" s="1" t="s">
        <v>28</v>
      </c>
      <c r="B586" s="2" t="s">
        <v>43</v>
      </c>
      <c r="C586" s="4">
        <v>45823.0</v>
      </c>
      <c r="D586" s="1">
        <v>3.0</v>
      </c>
      <c r="E586" s="1">
        <v>2.0</v>
      </c>
      <c r="F586" s="1">
        <v>3.0</v>
      </c>
      <c r="G586" s="1">
        <v>1.0</v>
      </c>
    </row>
    <row r="587">
      <c r="A587" s="1" t="s">
        <v>28</v>
      </c>
      <c r="B587" s="2" t="s">
        <v>43</v>
      </c>
      <c r="C587" s="4">
        <v>45837.0</v>
      </c>
      <c r="D587" s="1">
        <v>3.0</v>
      </c>
      <c r="E587" s="1">
        <v>3.0</v>
      </c>
      <c r="F587" s="1">
        <v>2.0</v>
      </c>
      <c r="G587" s="1">
        <v>1.0</v>
      </c>
    </row>
    <row r="588">
      <c r="A588" s="1" t="s">
        <v>28</v>
      </c>
      <c r="B588" s="2" t="s">
        <v>43</v>
      </c>
      <c r="C588" s="4">
        <v>45844.0</v>
      </c>
      <c r="D588" s="1">
        <v>3.0</v>
      </c>
      <c r="E588" s="1">
        <v>1.0</v>
      </c>
      <c r="F588" s="1">
        <v>3.0</v>
      </c>
      <c r="G588" s="1">
        <v>2.0</v>
      </c>
    </row>
    <row r="589">
      <c r="A589" s="1" t="s">
        <v>28</v>
      </c>
      <c r="B589" s="2" t="s">
        <v>43</v>
      </c>
      <c r="C589" s="4">
        <v>45851.0</v>
      </c>
      <c r="D589" s="1">
        <v>3.0</v>
      </c>
      <c r="E589" s="1">
        <v>2.0</v>
      </c>
      <c r="F589" s="1">
        <v>1.0</v>
      </c>
      <c r="G589" s="1">
        <v>3.0</v>
      </c>
    </row>
    <row r="590">
      <c r="A590" s="1" t="s">
        <v>28</v>
      </c>
      <c r="B590" s="2" t="s">
        <v>43</v>
      </c>
      <c r="C590" s="4">
        <v>45857.0</v>
      </c>
      <c r="D590" s="1">
        <v>3.0</v>
      </c>
      <c r="E590" s="1">
        <v>3.0</v>
      </c>
      <c r="F590" s="1">
        <v>1.0</v>
      </c>
      <c r="G590" s="1">
        <v>2.0</v>
      </c>
    </row>
    <row r="591">
      <c r="A591" s="1" t="s">
        <v>28</v>
      </c>
      <c r="B591" s="2" t="s">
        <v>43</v>
      </c>
      <c r="C591" s="4">
        <v>45857.0</v>
      </c>
      <c r="D591" s="1">
        <v>3.0</v>
      </c>
      <c r="E591" s="1">
        <v>3.0</v>
      </c>
      <c r="F591" s="1">
        <v>2.0</v>
      </c>
      <c r="G591" s="1">
        <v>1.0</v>
      </c>
    </row>
    <row r="592">
      <c r="A592" s="1" t="s">
        <v>71</v>
      </c>
      <c r="B592" s="2" t="s">
        <v>96</v>
      </c>
      <c r="C592" s="4">
        <v>45864.0</v>
      </c>
      <c r="D592" s="1">
        <v>4.0</v>
      </c>
      <c r="E592" s="1">
        <v>3.0</v>
      </c>
      <c r="F592" s="1">
        <v>2.0</v>
      </c>
      <c r="H592" s="1">
        <v>4.0</v>
      </c>
      <c r="V592" s="1">
        <v>1.0</v>
      </c>
    </row>
    <row r="593">
      <c r="A593" s="1" t="s">
        <v>80</v>
      </c>
      <c r="B593" s="2" t="s">
        <v>44</v>
      </c>
      <c r="C593" s="4">
        <v>45871.0</v>
      </c>
      <c r="D593" s="1">
        <v>3.0</v>
      </c>
      <c r="E593" s="1">
        <v>3.0</v>
      </c>
      <c r="H593" s="1">
        <v>1.0</v>
      </c>
      <c r="V593" s="1">
        <v>2.0</v>
      </c>
    </row>
    <row r="594">
      <c r="A594" s="1" t="s">
        <v>28</v>
      </c>
      <c r="B594" s="2" t="s">
        <v>43</v>
      </c>
      <c r="C594" s="4">
        <v>45872.0</v>
      </c>
      <c r="D594" s="1">
        <v>3.0</v>
      </c>
      <c r="E594" s="1">
        <v>1.0</v>
      </c>
      <c r="F594" s="1">
        <v>3.0</v>
      </c>
      <c r="G594" s="1">
        <v>2.0</v>
      </c>
    </row>
    <row r="595">
      <c r="A595" s="1" t="s">
        <v>28</v>
      </c>
      <c r="B595" s="2" t="s">
        <v>43</v>
      </c>
      <c r="C595" s="4">
        <v>45893.0</v>
      </c>
      <c r="D595" s="1">
        <v>3.0</v>
      </c>
      <c r="E595" s="1">
        <v>1.0</v>
      </c>
      <c r="F595" s="1">
        <v>2.0</v>
      </c>
      <c r="G595" s="1">
        <v>3.0</v>
      </c>
    </row>
    <row r="596">
      <c r="A596" s="1" t="s">
        <v>62</v>
      </c>
      <c r="B596" s="2" t="s">
        <v>67</v>
      </c>
      <c r="C596" s="4">
        <v>45899.0</v>
      </c>
      <c r="D596" s="1">
        <v>3.0</v>
      </c>
      <c r="E596" s="1">
        <v>1.0</v>
      </c>
      <c r="F596" s="1">
        <v>3.0</v>
      </c>
      <c r="H596" s="1">
        <v>2.0</v>
      </c>
    </row>
    <row r="597">
      <c r="A597" s="1" t="s">
        <v>80</v>
      </c>
      <c r="B597" s="2" t="s">
        <v>44</v>
      </c>
      <c r="C597" s="4">
        <v>45899.0</v>
      </c>
      <c r="D597" s="1">
        <v>3.0</v>
      </c>
      <c r="E597" s="1">
        <v>1.0</v>
      </c>
      <c r="F597" s="1">
        <v>3.0</v>
      </c>
      <c r="H597" s="1">
        <v>2.0</v>
      </c>
    </row>
    <row r="598">
      <c r="A598" s="1" t="s">
        <v>28</v>
      </c>
      <c r="B598" s="2" t="s">
        <v>43</v>
      </c>
      <c r="C598" s="4">
        <v>45900.0</v>
      </c>
      <c r="D598" s="1">
        <v>3.0</v>
      </c>
      <c r="E598" s="1">
        <v>3.0</v>
      </c>
      <c r="F598" s="1">
        <v>2.0</v>
      </c>
      <c r="G598" s="1">
        <v>1.0</v>
      </c>
    </row>
    <row r="599">
      <c r="A599" s="1" t="s">
        <v>28</v>
      </c>
      <c r="B599" s="2" t="s">
        <v>97</v>
      </c>
      <c r="C599" s="4">
        <v>45906.0</v>
      </c>
      <c r="D599" s="1">
        <v>3.0</v>
      </c>
      <c r="E599" s="1">
        <v>3.0</v>
      </c>
      <c r="F599" s="1">
        <v>2.0</v>
      </c>
      <c r="G599" s="1">
        <v>1.0</v>
      </c>
    </row>
    <row r="600">
      <c r="A600" s="1" t="s">
        <v>28</v>
      </c>
      <c r="B600" s="2" t="s">
        <v>43</v>
      </c>
      <c r="C600" s="4">
        <v>45928.0</v>
      </c>
      <c r="D600" s="1">
        <v>3.0</v>
      </c>
      <c r="E600" s="1">
        <v>3.0</v>
      </c>
      <c r="F600" s="1">
        <v>1.0</v>
      </c>
      <c r="G600" s="1">
        <v>2.0</v>
      </c>
    </row>
    <row r="601">
      <c r="A601" s="1" t="s">
        <v>32</v>
      </c>
      <c r="B601" s="2" t="s">
        <v>98</v>
      </c>
      <c r="C601" s="4">
        <v>45934.0</v>
      </c>
      <c r="D601" s="1">
        <v>3.0</v>
      </c>
      <c r="E601" s="1">
        <v>2.0</v>
      </c>
      <c r="F601" s="1">
        <v>3.0</v>
      </c>
      <c r="H601" s="1">
        <v>1.0</v>
      </c>
    </row>
    <row r="602">
      <c r="A602" s="1" t="s">
        <v>71</v>
      </c>
      <c r="B602" s="2" t="s">
        <v>99</v>
      </c>
      <c r="C602" s="4">
        <v>45934.0</v>
      </c>
      <c r="D602" s="1">
        <v>3.0</v>
      </c>
      <c r="E602" s="1">
        <v>3.0</v>
      </c>
      <c r="F602" s="1">
        <v>1.0</v>
      </c>
      <c r="H602" s="1">
        <v>2.0</v>
      </c>
    </row>
    <row r="603">
      <c r="A603" s="1" t="s">
        <v>28</v>
      </c>
      <c r="B603" s="2" t="s">
        <v>43</v>
      </c>
      <c r="C603" s="4">
        <v>45949.0</v>
      </c>
      <c r="D603" s="1">
        <v>3.0</v>
      </c>
      <c r="E603" s="1">
        <v>1.0</v>
      </c>
      <c r="F603" s="1">
        <v>3.0</v>
      </c>
      <c r="G603" s="1">
        <v>2.0</v>
      </c>
    </row>
    <row r="604">
      <c r="A604" s="1" t="s">
        <v>80</v>
      </c>
      <c r="B604" s="2" t="s">
        <v>44</v>
      </c>
      <c r="C604" s="4">
        <v>45969.0</v>
      </c>
      <c r="D604" s="1">
        <v>4.0</v>
      </c>
      <c r="E604" s="1">
        <v>4.0</v>
      </c>
      <c r="F604" s="1">
        <v>3.0</v>
      </c>
      <c r="H604" s="1">
        <v>1.0</v>
      </c>
      <c r="V604" s="1">
        <v>2.0</v>
      </c>
    </row>
    <row r="605">
      <c r="A605" s="1" t="s">
        <v>38</v>
      </c>
      <c r="B605" s="2" t="s">
        <v>44</v>
      </c>
      <c r="C605" s="4">
        <v>45969.0</v>
      </c>
      <c r="D605" s="1">
        <v>3.0</v>
      </c>
      <c r="E605" s="1">
        <v>2.0</v>
      </c>
      <c r="F605" s="1">
        <v>1.0</v>
      </c>
      <c r="H605" s="1">
        <v>3.0</v>
      </c>
    </row>
    <row r="606">
      <c r="A606" s="1" t="s">
        <v>68</v>
      </c>
      <c r="B606" s="2" t="s">
        <v>100</v>
      </c>
      <c r="C606" s="4">
        <v>46045.0</v>
      </c>
      <c r="D606" s="1">
        <v>3.0</v>
      </c>
      <c r="E606" s="1">
        <v>3.0</v>
      </c>
      <c r="F606" s="1">
        <v>1.0</v>
      </c>
      <c r="H606" s="1">
        <v>2.0</v>
      </c>
    </row>
    <row r="607">
      <c r="A607" s="1" t="s">
        <v>62</v>
      </c>
      <c r="B607" s="2" t="s">
        <v>101</v>
      </c>
      <c r="C607" s="4">
        <v>46073.0</v>
      </c>
      <c r="D607" s="1">
        <v>4.0</v>
      </c>
      <c r="E607" s="1">
        <v>4.0</v>
      </c>
      <c r="F607" s="1">
        <v>3.0</v>
      </c>
      <c r="H607" s="1">
        <v>1.0</v>
      </c>
      <c r="V607" s="1">
        <v>2.0</v>
      </c>
    </row>
    <row r="608">
      <c r="A608" s="1" t="s">
        <v>71</v>
      </c>
      <c r="B608" s="2" t="s">
        <v>44</v>
      </c>
      <c r="C608" s="4">
        <v>46102.0</v>
      </c>
      <c r="D608" s="1">
        <v>4.0</v>
      </c>
      <c r="E608" s="1">
        <v>2.0</v>
      </c>
      <c r="H608" s="1">
        <v>4.0</v>
      </c>
      <c r="V608" s="1">
        <v>1.0</v>
      </c>
      <c r="W608" s="1">
        <v>3.0</v>
      </c>
    </row>
    <row r="609">
      <c r="A609" s="1" t="s">
        <v>28</v>
      </c>
      <c r="B609" s="2" t="s">
        <v>43</v>
      </c>
      <c r="C609" s="4">
        <v>46110.0</v>
      </c>
      <c r="E609" s="1">
        <v>3.0</v>
      </c>
      <c r="F609" s="1">
        <v>1.0</v>
      </c>
      <c r="G609" s="1">
        <v>2.0</v>
      </c>
    </row>
    <row r="610">
      <c r="B610" s="5"/>
      <c r="C610" s="5"/>
    </row>
    <row r="611">
      <c r="B611" s="5"/>
      <c r="C611" s="5"/>
    </row>
    <row r="612">
      <c r="B612" s="5"/>
      <c r="C612" s="5"/>
    </row>
    <row r="613">
      <c r="B613" s="5"/>
      <c r="C613" s="5"/>
    </row>
    <row r="614">
      <c r="B614" s="5"/>
      <c r="C614" s="5"/>
    </row>
    <row r="615">
      <c r="B615" s="5"/>
      <c r="C615" s="5"/>
    </row>
    <row r="616">
      <c r="B616" s="5"/>
      <c r="C616" s="5"/>
    </row>
    <row r="617">
      <c r="B617" s="5"/>
      <c r="C617" s="5"/>
    </row>
    <row r="618">
      <c r="B618" s="5"/>
      <c r="C618" s="5"/>
    </row>
    <row r="619">
      <c r="B619" s="5"/>
      <c r="C619" s="5"/>
    </row>
    <row r="620">
      <c r="B620" s="5"/>
      <c r="C620" s="5"/>
    </row>
    <row r="621">
      <c r="B621" s="5"/>
      <c r="C621" s="5"/>
    </row>
    <row r="622">
      <c r="B622" s="5"/>
      <c r="C622" s="5"/>
    </row>
    <row r="623">
      <c r="B623" s="5"/>
      <c r="C623" s="5"/>
    </row>
    <row r="624">
      <c r="B624" s="5"/>
      <c r="C624" s="5"/>
    </row>
    <row r="625">
      <c r="B625" s="5"/>
      <c r="C625" s="5"/>
    </row>
    <row r="626">
      <c r="B626" s="5"/>
      <c r="C626" s="5"/>
    </row>
    <row r="627">
      <c r="B627" s="5"/>
      <c r="C627" s="5"/>
    </row>
    <row r="628">
      <c r="B628" s="5"/>
      <c r="C628" s="5"/>
    </row>
    <row r="629">
      <c r="B629" s="5"/>
      <c r="C629" s="5"/>
    </row>
    <row r="630">
      <c r="B630" s="5"/>
      <c r="C630" s="5"/>
    </row>
    <row r="631">
      <c r="B631" s="5"/>
      <c r="C631" s="5"/>
    </row>
    <row r="632">
      <c r="B632" s="5"/>
      <c r="C632" s="5"/>
    </row>
    <row r="633">
      <c r="B633" s="5"/>
      <c r="C633" s="5"/>
    </row>
    <row r="634">
      <c r="B634" s="5"/>
      <c r="C634" s="5"/>
    </row>
    <row r="635">
      <c r="B635" s="5"/>
      <c r="C635" s="5"/>
    </row>
    <row r="636">
      <c r="B636" s="5"/>
      <c r="C636" s="5"/>
    </row>
    <row r="637">
      <c r="B637" s="5"/>
      <c r="C637" s="5"/>
    </row>
    <row r="638">
      <c r="B638" s="5"/>
      <c r="C638" s="5"/>
    </row>
    <row r="639">
      <c r="B639" s="5"/>
      <c r="C639" s="5"/>
    </row>
    <row r="640">
      <c r="B640" s="5"/>
      <c r="C640" s="5"/>
    </row>
    <row r="641">
      <c r="B641" s="5"/>
      <c r="C641" s="5"/>
    </row>
    <row r="642">
      <c r="B642" s="5"/>
      <c r="C642" s="5"/>
    </row>
    <row r="643">
      <c r="B643" s="5"/>
      <c r="C643" s="5"/>
    </row>
    <row r="644">
      <c r="B644" s="5"/>
      <c r="C644" s="5"/>
    </row>
    <row r="645">
      <c r="B645" s="5"/>
      <c r="C645" s="5"/>
    </row>
    <row r="646">
      <c r="B646" s="5"/>
      <c r="C646" s="5"/>
    </row>
    <row r="647">
      <c r="B647" s="5"/>
      <c r="C647" s="5"/>
    </row>
    <row r="648">
      <c r="B648" s="5"/>
      <c r="C648" s="5"/>
    </row>
    <row r="649">
      <c r="B649" s="5"/>
      <c r="C649" s="5"/>
    </row>
    <row r="650">
      <c r="B650" s="5"/>
      <c r="C650" s="5"/>
    </row>
    <row r="651">
      <c r="B651" s="5"/>
      <c r="C651" s="5"/>
    </row>
    <row r="652">
      <c r="B652" s="5"/>
      <c r="C652" s="5"/>
    </row>
    <row r="653">
      <c r="B653" s="5"/>
      <c r="C653" s="5"/>
    </row>
    <row r="654">
      <c r="B654" s="5"/>
      <c r="C654" s="5"/>
    </row>
    <row r="655">
      <c r="B655" s="5"/>
      <c r="C655" s="5"/>
    </row>
    <row r="656">
      <c r="B656" s="5"/>
      <c r="C656" s="5"/>
    </row>
    <row r="657">
      <c r="B657" s="5"/>
      <c r="C657" s="5"/>
    </row>
    <row r="658">
      <c r="B658" s="5"/>
      <c r="C658" s="5"/>
    </row>
    <row r="659">
      <c r="B659" s="5"/>
      <c r="C659" s="5"/>
    </row>
    <row r="660">
      <c r="B660" s="5"/>
      <c r="C660" s="5"/>
    </row>
    <row r="661">
      <c r="B661" s="5"/>
      <c r="C661" s="5"/>
    </row>
    <row r="662">
      <c r="B662" s="5"/>
      <c r="C662" s="5"/>
    </row>
    <row r="663">
      <c r="B663" s="5"/>
      <c r="C663" s="5"/>
    </row>
    <row r="664">
      <c r="B664" s="5"/>
      <c r="C664" s="5"/>
    </row>
    <row r="665">
      <c r="B665" s="5"/>
      <c r="C665" s="5"/>
    </row>
    <row r="666">
      <c r="B666" s="5"/>
      <c r="C666" s="5"/>
    </row>
    <row r="667">
      <c r="B667" s="5"/>
      <c r="C667" s="5"/>
    </row>
    <row r="668">
      <c r="B668" s="5"/>
      <c r="C668" s="5"/>
    </row>
    <row r="669">
      <c r="B669" s="5"/>
      <c r="C669" s="5"/>
    </row>
    <row r="670">
      <c r="B670" s="5"/>
      <c r="C670" s="5"/>
    </row>
    <row r="671">
      <c r="B671" s="5"/>
      <c r="C671" s="5"/>
    </row>
    <row r="672">
      <c r="B672" s="5"/>
      <c r="C672" s="5"/>
    </row>
    <row r="673">
      <c r="B673" s="5"/>
      <c r="C673" s="5"/>
    </row>
    <row r="674">
      <c r="B674" s="5"/>
      <c r="C674" s="5"/>
    </row>
    <row r="675">
      <c r="B675" s="5"/>
      <c r="C675" s="5"/>
    </row>
    <row r="676">
      <c r="B676" s="5"/>
      <c r="C676" s="5"/>
    </row>
    <row r="677">
      <c r="B677" s="5"/>
      <c r="C677" s="5"/>
    </row>
    <row r="678">
      <c r="B678" s="5"/>
      <c r="C678" s="5"/>
    </row>
    <row r="679">
      <c r="B679" s="5"/>
      <c r="C679" s="5"/>
    </row>
    <row r="680">
      <c r="B680" s="5"/>
      <c r="C680" s="5"/>
    </row>
    <row r="681">
      <c r="B681" s="5"/>
      <c r="C681" s="5"/>
    </row>
    <row r="682">
      <c r="B682" s="5"/>
      <c r="C682" s="5"/>
    </row>
    <row r="683">
      <c r="B683" s="5"/>
      <c r="C683" s="5"/>
    </row>
    <row r="684">
      <c r="B684" s="5"/>
      <c r="C684" s="5"/>
    </row>
    <row r="685">
      <c r="B685" s="5"/>
      <c r="C685" s="5"/>
    </row>
    <row r="686">
      <c r="B686" s="5"/>
      <c r="C686" s="5"/>
    </row>
    <row r="687">
      <c r="B687" s="5"/>
      <c r="C687" s="5"/>
    </row>
    <row r="688">
      <c r="B688" s="5"/>
      <c r="C688" s="5"/>
    </row>
    <row r="689">
      <c r="B689" s="5"/>
      <c r="C689" s="5"/>
    </row>
    <row r="690">
      <c r="B690" s="5"/>
      <c r="C690" s="5"/>
    </row>
    <row r="691">
      <c r="B691" s="5"/>
      <c r="C691" s="5"/>
    </row>
    <row r="692">
      <c r="B692" s="5"/>
      <c r="C692" s="5"/>
    </row>
    <row r="693">
      <c r="B693" s="5"/>
      <c r="C693" s="5"/>
    </row>
    <row r="694">
      <c r="B694" s="5"/>
      <c r="C694" s="5"/>
    </row>
    <row r="695">
      <c r="B695" s="5"/>
      <c r="C695" s="5"/>
    </row>
    <row r="696">
      <c r="B696" s="5"/>
      <c r="C696" s="5"/>
    </row>
    <row r="697">
      <c r="B697" s="5"/>
      <c r="C697" s="5"/>
    </row>
    <row r="698">
      <c r="B698" s="5"/>
      <c r="C698" s="5"/>
    </row>
    <row r="699">
      <c r="B699" s="5"/>
      <c r="C699" s="5"/>
    </row>
    <row r="700">
      <c r="B700" s="5"/>
      <c r="C700" s="5"/>
    </row>
    <row r="701">
      <c r="B701" s="5"/>
      <c r="C701" s="5"/>
    </row>
    <row r="702">
      <c r="B702" s="5"/>
      <c r="C702" s="5"/>
    </row>
    <row r="703">
      <c r="B703" s="5"/>
      <c r="C703" s="5"/>
    </row>
    <row r="704">
      <c r="B704" s="5"/>
      <c r="C704" s="5"/>
    </row>
    <row r="705">
      <c r="B705" s="5"/>
      <c r="C705" s="5"/>
    </row>
    <row r="706">
      <c r="B706" s="5"/>
      <c r="C706" s="5"/>
    </row>
    <row r="707">
      <c r="B707" s="5"/>
      <c r="C707" s="5"/>
    </row>
    <row r="708">
      <c r="B708" s="5"/>
      <c r="C708" s="5"/>
    </row>
    <row r="709">
      <c r="B709" s="5"/>
      <c r="C709" s="5"/>
    </row>
    <row r="710">
      <c r="B710" s="5"/>
      <c r="C710" s="5"/>
    </row>
    <row r="711">
      <c r="B711" s="5"/>
      <c r="C711" s="5"/>
    </row>
    <row r="712">
      <c r="B712" s="5"/>
      <c r="C712" s="5"/>
    </row>
    <row r="713">
      <c r="B713" s="5"/>
      <c r="C713" s="5"/>
    </row>
    <row r="714">
      <c r="B714" s="5"/>
      <c r="C714" s="5"/>
    </row>
    <row r="715">
      <c r="B715" s="5"/>
      <c r="C715" s="5"/>
    </row>
    <row r="716">
      <c r="B716" s="5"/>
      <c r="C716" s="5"/>
    </row>
    <row r="717">
      <c r="B717" s="5"/>
      <c r="C717" s="5"/>
    </row>
    <row r="718">
      <c r="B718" s="5"/>
      <c r="C718" s="5"/>
    </row>
    <row r="719">
      <c r="B719" s="5"/>
      <c r="C719" s="5"/>
    </row>
    <row r="720">
      <c r="B720" s="5"/>
      <c r="C720" s="5"/>
    </row>
    <row r="721">
      <c r="B721" s="5"/>
      <c r="C721" s="5"/>
    </row>
    <row r="722">
      <c r="B722" s="5"/>
      <c r="C722" s="5"/>
    </row>
    <row r="723">
      <c r="B723" s="5"/>
      <c r="C723" s="5"/>
    </row>
    <row r="724">
      <c r="B724" s="5"/>
      <c r="C724" s="5"/>
    </row>
    <row r="725">
      <c r="B725" s="5"/>
      <c r="C725" s="5"/>
    </row>
    <row r="726">
      <c r="B726" s="5"/>
      <c r="C726" s="5"/>
    </row>
    <row r="727">
      <c r="B727" s="5"/>
      <c r="C727" s="5"/>
    </row>
    <row r="728">
      <c r="B728" s="5"/>
      <c r="C728" s="5"/>
    </row>
    <row r="729">
      <c r="B729" s="5"/>
      <c r="C729" s="5"/>
    </row>
    <row r="730">
      <c r="B730" s="5"/>
      <c r="C730" s="5"/>
    </row>
    <row r="731">
      <c r="B731" s="5"/>
      <c r="C731" s="5"/>
    </row>
    <row r="732">
      <c r="B732" s="5"/>
      <c r="C732" s="5"/>
    </row>
    <row r="733">
      <c r="B733" s="5"/>
      <c r="C733" s="5"/>
    </row>
    <row r="734">
      <c r="B734" s="5"/>
      <c r="C734" s="5"/>
    </row>
    <row r="735">
      <c r="B735" s="5"/>
      <c r="C735" s="5"/>
    </row>
    <row r="736">
      <c r="B736" s="5"/>
      <c r="C736" s="5"/>
    </row>
    <row r="737">
      <c r="B737" s="5"/>
      <c r="C737" s="5"/>
    </row>
    <row r="738">
      <c r="B738" s="5"/>
      <c r="C738" s="5"/>
    </row>
    <row r="739">
      <c r="B739" s="5"/>
      <c r="C739" s="5"/>
    </row>
    <row r="740">
      <c r="B740" s="5"/>
      <c r="C740" s="5"/>
    </row>
    <row r="741">
      <c r="B741" s="5"/>
      <c r="C741" s="5"/>
    </row>
    <row r="742">
      <c r="B742" s="5"/>
      <c r="C742" s="5"/>
    </row>
    <row r="743">
      <c r="B743" s="5"/>
      <c r="C743" s="5"/>
    </row>
    <row r="744">
      <c r="B744" s="5"/>
      <c r="C744" s="5"/>
    </row>
    <row r="745">
      <c r="B745" s="5"/>
      <c r="C745" s="5"/>
    </row>
    <row r="746">
      <c r="B746" s="5"/>
      <c r="C746" s="5"/>
    </row>
    <row r="747">
      <c r="B747" s="5"/>
      <c r="C747" s="5"/>
    </row>
    <row r="748">
      <c r="B748" s="5"/>
      <c r="C748" s="5"/>
    </row>
    <row r="749">
      <c r="B749" s="5"/>
      <c r="C749" s="5"/>
    </row>
    <row r="750">
      <c r="B750" s="5"/>
      <c r="C750" s="5"/>
    </row>
    <row r="751">
      <c r="B751" s="5"/>
      <c r="C751" s="5"/>
    </row>
    <row r="752">
      <c r="B752" s="5"/>
      <c r="C752" s="5"/>
    </row>
    <row r="753">
      <c r="B753" s="5"/>
      <c r="C753" s="5"/>
    </row>
    <row r="754">
      <c r="B754" s="5"/>
      <c r="C754" s="5"/>
    </row>
    <row r="755">
      <c r="B755" s="5"/>
      <c r="C755" s="5"/>
    </row>
    <row r="756">
      <c r="B756" s="5"/>
      <c r="C756" s="5"/>
    </row>
    <row r="757">
      <c r="B757" s="5"/>
      <c r="C757" s="5"/>
    </row>
    <row r="758">
      <c r="B758" s="5"/>
      <c r="C758" s="5"/>
    </row>
    <row r="759">
      <c r="B759" s="5"/>
      <c r="C759" s="5"/>
    </row>
    <row r="760">
      <c r="B760" s="5"/>
      <c r="C760" s="5"/>
    </row>
    <row r="761">
      <c r="B761" s="5"/>
      <c r="C761" s="5"/>
    </row>
    <row r="762">
      <c r="B762" s="5"/>
      <c r="C762" s="5"/>
    </row>
    <row r="763">
      <c r="B763" s="5"/>
      <c r="C763" s="5"/>
    </row>
    <row r="764">
      <c r="B764" s="5"/>
      <c r="C764" s="5"/>
    </row>
    <row r="765">
      <c r="B765" s="5"/>
      <c r="C765" s="5"/>
    </row>
    <row r="766">
      <c r="B766" s="5"/>
      <c r="C766" s="5"/>
    </row>
    <row r="767">
      <c r="B767" s="5"/>
      <c r="C767" s="5"/>
    </row>
    <row r="768">
      <c r="B768" s="5"/>
      <c r="C768" s="5"/>
    </row>
    <row r="769">
      <c r="B769" s="5"/>
      <c r="C769" s="5"/>
    </row>
    <row r="770">
      <c r="B770" s="5"/>
      <c r="C770" s="5"/>
    </row>
    <row r="771">
      <c r="B771" s="5"/>
      <c r="C771" s="5"/>
    </row>
    <row r="772">
      <c r="B772" s="5"/>
      <c r="C772" s="5"/>
    </row>
    <row r="773">
      <c r="B773" s="5"/>
      <c r="C773" s="5"/>
    </row>
    <row r="774">
      <c r="B774" s="5"/>
      <c r="C774" s="5"/>
    </row>
    <row r="775">
      <c r="B775" s="5"/>
      <c r="C775" s="5"/>
    </row>
    <row r="776">
      <c r="B776" s="5"/>
      <c r="C776" s="5"/>
    </row>
    <row r="777">
      <c r="B777" s="5"/>
      <c r="C777" s="5"/>
    </row>
    <row r="778">
      <c r="B778" s="5"/>
      <c r="C778" s="5"/>
    </row>
    <row r="779">
      <c r="B779" s="5"/>
      <c r="C779" s="5"/>
    </row>
    <row r="780">
      <c r="B780" s="5"/>
      <c r="C780" s="5"/>
    </row>
    <row r="781">
      <c r="B781" s="5"/>
      <c r="C781" s="5"/>
    </row>
    <row r="782">
      <c r="B782" s="5"/>
      <c r="C782" s="5"/>
    </row>
    <row r="783">
      <c r="B783" s="5"/>
      <c r="C783" s="5"/>
    </row>
    <row r="784">
      <c r="B784" s="5"/>
      <c r="C784" s="5"/>
    </row>
    <row r="785">
      <c r="B785" s="5"/>
      <c r="C785" s="5"/>
    </row>
    <row r="786">
      <c r="B786" s="5"/>
      <c r="C786" s="5"/>
    </row>
    <row r="787">
      <c r="B787" s="5"/>
      <c r="C787" s="5"/>
    </row>
    <row r="788">
      <c r="B788" s="5"/>
      <c r="C788" s="5"/>
    </row>
    <row r="789">
      <c r="B789" s="5"/>
      <c r="C789" s="5"/>
    </row>
    <row r="790">
      <c r="B790" s="5"/>
      <c r="C790" s="5"/>
    </row>
    <row r="791">
      <c r="B791" s="5"/>
      <c r="C791" s="5"/>
    </row>
    <row r="792">
      <c r="B792" s="5"/>
      <c r="C792" s="5"/>
    </row>
    <row r="793">
      <c r="B793" s="5"/>
      <c r="C793" s="5"/>
    </row>
    <row r="794">
      <c r="B794" s="5"/>
      <c r="C794" s="5"/>
    </row>
    <row r="795">
      <c r="B795" s="5"/>
      <c r="C795" s="5"/>
    </row>
    <row r="796">
      <c r="B796" s="5"/>
      <c r="C796" s="5"/>
    </row>
    <row r="797">
      <c r="B797" s="5"/>
      <c r="C797" s="5"/>
    </row>
    <row r="798">
      <c r="B798" s="5"/>
      <c r="C798" s="5"/>
    </row>
    <row r="799">
      <c r="B799" s="5"/>
      <c r="C799" s="5"/>
    </row>
    <row r="800">
      <c r="B800" s="5"/>
      <c r="C800" s="5"/>
    </row>
    <row r="801">
      <c r="B801" s="5"/>
      <c r="C801" s="5"/>
    </row>
    <row r="802">
      <c r="B802" s="5"/>
      <c r="C802" s="5"/>
    </row>
    <row r="803">
      <c r="B803" s="5"/>
      <c r="C803" s="5"/>
    </row>
    <row r="804">
      <c r="B804" s="5"/>
      <c r="C804" s="5"/>
    </row>
    <row r="805">
      <c r="B805" s="5"/>
      <c r="C805" s="5"/>
    </row>
    <row r="806">
      <c r="B806" s="5"/>
      <c r="C806" s="5"/>
    </row>
    <row r="807">
      <c r="B807" s="5"/>
      <c r="C807" s="5"/>
    </row>
    <row r="808">
      <c r="B808" s="5"/>
      <c r="C808" s="5"/>
    </row>
    <row r="809">
      <c r="B809" s="5"/>
      <c r="C809" s="5"/>
    </row>
    <row r="810">
      <c r="B810" s="5"/>
      <c r="C810" s="5"/>
    </row>
    <row r="811">
      <c r="B811" s="5"/>
      <c r="C811" s="5"/>
    </row>
    <row r="812">
      <c r="B812" s="5"/>
      <c r="C812" s="5"/>
    </row>
    <row r="813">
      <c r="B813" s="5"/>
      <c r="C813" s="5"/>
    </row>
    <row r="814">
      <c r="B814" s="5"/>
      <c r="C814" s="5"/>
    </row>
    <row r="815">
      <c r="B815" s="5"/>
      <c r="C815" s="5"/>
    </row>
    <row r="816">
      <c r="B816" s="5"/>
      <c r="C816" s="5"/>
    </row>
    <row r="817">
      <c r="B817" s="5"/>
      <c r="C817" s="5"/>
    </row>
    <row r="818">
      <c r="B818" s="5"/>
      <c r="C818" s="5"/>
    </row>
    <row r="819">
      <c r="B819" s="5"/>
      <c r="C819" s="5"/>
    </row>
    <row r="820">
      <c r="B820" s="5"/>
      <c r="C820" s="5"/>
    </row>
    <row r="821">
      <c r="B821" s="5"/>
      <c r="C821" s="5"/>
    </row>
    <row r="822">
      <c r="B822" s="5"/>
      <c r="C822" s="5"/>
    </row>
    <row r="823">
      <c r="B823" s="5"/>
      <c r="C823" s="5"/>
    </row>
    <row r="824">
      <c r="B824" s="5"/>
      <c r="C824" s="5"/>
    </row>
    <row r="825">
      <c r="B825" s="5"/>
      <c r="C825" s="5"/>
    </row>
    <row r="826">
      <c r="B826" s="5"/>
      <c r="C826" s="5"/>
    </row>
    <row r="827">
      <c r="B827" s="5"/>
      <c r="C827" s="5"/>
    </row>
    <row r="828">
      <c r="B828" s="5"/>
      <c r="C828" s="5"/>
    </row>
    <row r="829">
      <c r="B829" s="5"/>
      <c r="C829" s="5"/>
    </row>
    <row r="830">
      <c r="B830" s="5"/>
      <c r="C830" s="5"/>
    </row>
    <row r="831">
      <c r="B831" s="5"/>
      <c r="C831" s="5"/>
    </row>
    <row r="832">
      <c r="B832" s="5"/>
      <c r="C832" s="5"/>
    </row>
    <row r="833">
      <c r="B833" s="5"/>
      <c r="C833" s="5"/>
    </row>
    <row r="834">
      <c r="B834" s="5"/>
      <c r="C834" s="5"/>
    </row>
    <row r="835">
      <c r="B835" s="5"/>
      <c r="C835" s="5"/>
    </row>
    <row r="836">
      <c r="B836" s="5"/>
      <c r="C836" s="5"/>
    </row>
    <row r="837">
      <c r="B837" s="5"/>
      <c r="C837" s="5"/>
    </row>
    <row r="838">
      <c r="B838" s="5"/>
      <c r="C838" s="5"/>
    </row>
    <row r="839">
      <c r="B839" s="5"/>
      <c r="C839" s="5"/>
    </row>
    <row r="840">
      <c r="B840" s="5"/>
      <c r="C840" s="5"/>
    </row>
    <row r="841">
      <c r="B841" s="5"/>
      <c r="C841" s="5"/>
    </row>
    <row r="842">
      <c r="B842" s="5"/>
      <c r="C842" s="5"/>
    </row>
    <row r="843">
      <c r="B843" s="5"/>
      <c r="C843" s="5"/>
    </row>
    <row r="844">
      <c r="B844" s="5"/>
      <c r="C844" s="5"/>
    </row>
    <row r="845">
      <c r="B845" s="5"/>
      <c r="C845" s="5"/>
    </row>
    <row r="846">
      <c r="B846" s="5"/>
      <c r="C846" s="5"/>
    </row>
    <row r="847">
      <c r="B847" s="5"/>
      <c r="C847" s="5"/>
    </row>
    <row r="848">
      <c r="B848" s="5"/>
      <c r="C848" s="5"/>
    </row>
    <row r="849">
      <c r="B849" s="5"/>
      <c r="C849" s="5"/>
    </row>
    <row r="850">
      <c r="B850" s="5"/>
      <c r="C850" s="5"/>
    </row>
    <row r="851">
      <c r="B851" s="5"/>
      <c r="C851" s="5"/>
    </row>
    <row r="852">
      <c r="B852" s="5"/>
      <c r="C852" s="5"/>
    </row>
    <row r="853">
      <c r="B853" s="5"/>
      <c r="C853" s="5"/>
    </row>
    <row r="854">
      <c r="B854" s="5"/>
      <c r="C854" s="5"/>
    </row>
    <row r="855">
      <c r="B855" s="5"/>
      <c r="C855" s="5"/>
    </row>
    <row r="856">
      <c r="B856" s="5"/>
      <c r="C856" s="5"/>
    </row>
    <row r="857">
      <c r="B857" s="5"/>
      <c r="C857" s="5"/>
    </row>
    <row r="858">
      <c r="B858" s="5"/>
      <c r="C858" s="5"/>
    </row>
    <row r="859">
      <c r="B859" s="5"/>
      <c r="C859" s="5"/>
    </row>
    <row r="860">
      <c r="B860" s="5"/>
      <c r="C860" s="5"/>
    </row>
    <row r="861">
      <c r="B861" s="5"/>
      <c r="C861" s="5"/>
    </row>
    <row r="862">
      <c r="B862" s="5"/>
      <c r="C862" s="5"/>
    </row>
    <row r="863">
      <c r="B863" s="5"/>
      <c r="C863" s="5"/>
    </row>
    <row r="864">
      <c r="B864" s="5"/>
      <c r="C864" s="5"/>
    </row>
    <row r="865">
      <c r="B865" s="5"/>
      <c r="C865" s="5"/>
    </row>
    <row r="866">
      <c r="B866" s="5"/>
      <c r="C866" s="5"/>
    </row>
    <row r="867">
      <c r="B867" s="5"/>
      <c r="C867" s="5"/>
    </row>
    <row r="868">
      <c r="B868" s="5"/>
      <c r="C868" s="5"/>
    </row>
    <row r="869">
      <c r="B869" s="5"/>
      <c r="C869" s="5"/>
    </row>
    <row r="870">
      <c r="B870" s="5"/>
      <c r="C870" s="5"/>
    </row>
    <row r="871">
      <c r="B871" s="5"/>
      <c r="C871" s="5"/>
    </row>
    <row r="872">
      <c r="B872" s="5"/>
      <c r="C872" s="5"/>
    </row>
    <row r="873">
      <c r="B873" s="5"/>
      <c r="C873" s="5"/>
    </row>
    <row r="874">
      <c r="B874" s="5"/>
      <c r="C874" s="5"/>
    </row>
    <row r="875">
      <c r="B875" s="5"/>
      <c r="C875" s="5"/>
    </row>
    <row r="876">
      <c r="B876" s="5"/>
      <c r="C876" s="5"/>
    </row>
    <row r="877">
      <c r="B877" s="5"/>
      <c r="C877" s="5"/>
    </row>
    <row r="878">
      <c r="B878" s="5"/>
      <c r="C878" s="5"/>
    </row>
    <row r="879">
      <c r="B879" s="5"/>
      <c r="C879" s="5"/>
    </row>
    <row r="880">
      <c r="B880" s="5"/>
      <c r="C880" s="5"/>
    </row>
    <row r="881">
      <c r="B881" s="5"/>
      <c r="C881" s="5"/>
    </row>
    <row r="882">
      <c r="B882" s="5"/>
      <c r="C882" s="5"/>
    </row>
    <row r="883">
      <c r="B883" s="5"/>
      <c r="C883" s="5"/>
    </row>
    <row r="884">
      <c r="B884" s="5"/>
      <c r="C884" s="5"/>
    </row>
    <row r="885">
      <c r="B885" s="5"/>
      <c r="C885" s="5"/>
    </row>
    <row r="886">
      <c r="B886" s="5"/>
      <c r="C886" s="5"/>
    </row>
    <row r="887">
      <c r="B887" s="5"/>
      <c r="C887" s="5"/>
    </row>
    <row r="888">
      <c r="B888" s="5"/>
      <c r="C888" s="5"/>
    </row>
    <row r="889">
      <c r="B889" s="5"/>
      <c r="C889" s="5"/>
    </row>
    <row r="890">
      <c r="B890" s="5"/>
      <c r="C890" s="5"/>
    </row>
    <row r="891">
      <c r="B891" s="5"/>
      <c r="C891" s="5"/>
    </row>
    <row r="892">
      <c r="B892" s="5"/>
      <c r="C892" s="5"/>
    </row>
    <row r="893">
      <c r="B893" s="5"/>
      <c r="C893" s="5"/>
    </row>
    <row r="894">
      <c r="B894" s="5"/>
      <c r="C894" s="5"/>
    </row>
    <row r="895">
      <c r="B895" s="5"/>
      <c r="C895" s="5"/>
    </row>
    <row r="896">
      <c r="B896" s="5"/>
      <c r="C896" s="5"/>
    </row>
    <row r="897">
      <c r="B897" s="5"/>
      <c r="C897" s="5"/>
    </row>
    <row r="898">
      <c r="B898" s="5"/>
      <c r="C898" s="5"/>
    </row>
    <row r="899">
      <c r="B899" s="5"/>
      <c r="C899" s="5"/>
    </row>
    <row r="900">
      <c r="B900" s="5"/>
      <c r="C900" s="5"/>
    </row>
    <row r="901">
      <c r="B901" s="5"/>
      <c r="C901" s="5"/>
    </row>
    <row r="902">
      <c r="B902" s="5"/>
      <c r="C902" s="5"/>
    </row>
    <row r="903">
      <c r="B903" s="5"/>
      <c r="C903" s="5"/>
    </row>
    <row r="904">
      <c r="B904" s="5"/>
      <c r="C904" s="5"/>
    </row>
    <row r="905">
      <c r="B905" s="5"/>
      <c r="C905" s="5"/>
    </row>
    <row r="906">
      <c r="B906" s="5"/>
      <c r="C906" s="5"/>
    </row>
    <row r="907">
      <c r="B907" s="5"/>
      <c r="C907" s="5"/>
    </row>
    <row r="908">
      <c r="B908" s="5"/>
      <c r="C908" s="5"/>
    </row>
    <row r="909">
      <c r="B909" s="5"/>
      <c r="C909" s="5"/>
    </row>
    <row r="910">
      <c r="B910" s="5"/>
      <c r="C910" s="5"/>
    </row>
    <row r="911">
      <c r="B911" s="5"/>
      <c r="C911" s="5"/>
    </row>
    <row r="912">
      <c r="B912" s="5"/>
      <c r="C912" s="5"/>
    </row>
    <row r="913">
      <c r="B913" s="5"/>
      <c r="C913" s="5"/>
    </row>
    <row r="914">
      <c r="B914" s="5"/>
      <c r="C914" s="5"/>
    </row>
    <row r="915">
      <c r="B915" s="5"/>
      <c r="C915" s="5"/>
    </row>
    <row r="916">
      <c r="B916" s="5"/>
      <c r="C916" s="5"/>
    </row>
    <row r="917">
      <c r="B917" s="5"/>
      <c r="C917" s="5"/>
    </row>
    <row r="918">
      <c r="B918" s="5"/>
      <c r="C918" s="5"/>
    </row>
    <row r="919">
      <c r="B919" s="5"/>
      <c r="C919" s="5"/>
    </row>
    <row r="920">
      <c r="B920" s="5"/>
      <c r="C920" s="5"/>
    </row>
    <row r="921">
      <c r="B921" s="5"/>
      <c r="C921" s="5"/>
    </row>
    <row r="922">
      <c r="B922" s="5"/>
      <c r="C922" s="5"/>
    </row>
    <row r="923">
      <c r="B923" s="5"/>
      <c r="C923" s="5"/>
    </row>
    <row r="924">
      <c r="B924" s="5"/>
      <c r="C924" s="5"/>
    </row>
    <row r="925">
      <c r="B925" s="5"/>
      <c r="C925" s="5"/>
    </row>
    <row r="926">
      <c r="B926" s="5"/>
      <c r="C926" s="5"/>
    </row>
    <row r="927">
      <c r="B927" s="5"/>
      <c r="C927" s="5"/>
    </row>
    <row r="928">
      <c r="B928" s="5"/>
      <c r="C928" s="5"/>
    </row>
    <row r="929">
      <c r="B929" s="5"/>
      <c r="C929" s="5"/>
    </row>
    <row r="930">
      <c r="B930" s="5"/>
      <c r="C930" s="5"/>
    </row>
    <row r="931">
      <c r="B931" s="5"/>
      <c r="C931" s="5"/>
    </row>
    <row r="932">
      <c r="B932" s="5"/>
      <c r="C932" s="5"/>
    </row>
    <row r="933">
      <c r="B933" s="5"/>
      <c r="C933" s="5"/>
    </row>
    <row r="934">
      <c r="B934" s="5"/>
      <c r="C934" s="5"/>
    </row>
    <row r="935">
      <c r="B935" s="5"/>
      <c r="C935" s="5"/>
    </row>
    <row r="936">
      <c r="B936" s="5"/>
      <c r="C936" s="5"/>
    </row>
    <row r="937">
      <c r="B937" s="5"/>
      <c r="C937" s="5"/>
    </row>
    <row r="938">
      <c r="B938" s="5"/>
      <c r="C938" s="5"/>
    </row>
    <row r="939">
      <c r="B939" s="5"/>
      <c r="C939" s="5"/>
    </row>
    <row r="940">
      <c r="B940" s="5"/>
      <c r="C940" s="5"/>
    </row>
    <row r="941">
      <c r="B941" s="5"/>
      <c r="C941" s="5"/>
    </row>
    <row r="942">
      <c r="B942" s="5"/>
      <c r="C942" s="5"/>
    </row>
    <row r="943">
      <c r="B943" s="5"/>
      <c r="C943" s="5"/>
    </row>
    <row r="944">
      <c r="B944" s="5"/>
      <c r="C944" s="5"/>
    </row>
    <row r="945">
      <c r="B945" s="5"/>
      <c r="C945" s="5"/>
    </row>
    <row r="946">
      <c r="B946" s="5"/>
      <c r="C946" s="5"/>
    </row>
    <row r="947">
      <c r="B947" s="5"/>
      <c r="C947" s="5"/>
    </row>
    <row r="948">
      <c r="B948" s="5"/>
      <c r="C948" s="5"/>
    </row>
    <row r="949">
      <c r="B949" s="5"/>
      <c r="C949" s="5"/>
    </row>
    <row r="950">
      <c r="B950" s="5"/>
      <c r="C950" s="5"/>
    </row>
    <row r="951">
      <c r="B951" s="5"/>
      <c r="C951" s="5"/>
    </row>
    <row r="952">
      <c r="B952" s="5"/>
      <c r="C952" s="5"/>
    </row>
    <row r="953">
      <c r="B953" s="5"/>
      <c r="C953" s="5"/>
    </row>
    <row r="954">
      <c r="B954" s="5"/>
      <c r="C954" s="5"/>
    </row>
    <row r="955">
      <c r="B955" s="5"/>
      <c r="C955" s="5"/>
    </row>
    <row r="956">
      <c r="B956" s="5"/>
      <c r="C956" s="5"/>
    </row>
    <row r="957">
      <c r="B957" s="5"/>
      <c r="C957" s="5"/>
    </row>
    <row r="958">
      <c r="B958" s="5"/>
      <c r="C958" s="5"/>
    </row>
    <row r="959">
      <c r="B959" s="5"/>
      <c r="C959" s="5"/>
    </row>
    <row r="960">
      <c r="B960" s="5"/>
      <c r="C960" s="5"/>
    </row>
    <row r="961">
      <c r="B961" s="5"/>
      <c r="C961" s="5"/>
    </row>
    <row r="962">
      <c r="B962" s="5"/>
      <c r="C962" s="5"/>
    </row>
    <row r="963">
      <c r="B963" s="5"/>
      <c r="C963" s="5"/>
    </row>
    <row r="964">
      <c r="B964" s="5"/>
      <c r="C964" s="5"/>
    </row>
    <row r="965">
      <c r="B965" s="5"/>
      <c r="C965" s="5"/>
    </row>
    <row r="966">
      <c r="B966" s="5"/>
      <c r="C966" s="5"/>
    </row>
    <row r="967">
      <c r="B967" s="5"/>
      <c r="C967" s="5"/>
    </row>
    <row r="968">
      <c r="B968" s="5"/>
      <c r="C968" s="5"/>
    </row>
    <row r="969">
      <c r="B969" s="5"/>
      <c r="C969" s="5"/>
    </row>
    <row r="970">
      <c r="B970" s="5"/>
      <c r="C970" s="5"/>
    </row>
    <row r="971">
      <c r="B971" s="5"/>
      <c r="C971" s="5"/>
    </row>
    <row r="972">
      <c r="B972" s="5"/>
      <c r="C972" s="5"/>
    </row>
    <row r="973">
      <c r="B973" s="5"/>
      <c r="C973" s="5"/>
    </row>
    <row r="974">
      <c r="B974" s="5"/>
      <c r="C974" s="5"/>
    </row>
    <row r="975">
      <c r="B975" s="5"/>
      <c r="C975" s="5"/>
    </row>
    <row r="976">
      <c r="B976" s="5"/>
      <c r="C976" s="5"/>
    </row>
    <row r="977">
      <c r="B977" s="5"/>
      <c r="C977" s="5"/>
    </row>
    <row r="978">
      <c r="B978" s="5"/>
      <c r="C978" s="5"/>
    </row>
    <row r="979">
      <c r="B979" s="5"/>
      <c r="C97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102</v>
      </c>
      <c r="C1" s="1" t="s">
        <v>103</v>
      </c>
      <c r="D1" s="1" t="s">
        <v>104</v>
      </c>
    </row>
    <row r="2">
      <c r="A2" s="6">
        <v>44381.0</v>
      </c>
      <c r="B2" s="1" t="s">
        <v>5</v>
      </c>
      <c r="C2" s="1" t="s">
        <v>4</v>
      </c>
      <c r="D2" s="1">
        <v>1.0</v>
      </c>
    </row>
    <row r="3">
      <c r="A3" s="7">
        <v>44381.0</v>
      </c>
      <c r="B3" s="1" t="s">
        <v>5</v>
      </c>
      <c r="C3" s="1" t="s">
        <v>4</v>
      </c>
    </row>
    <row r="4">
      <c r="A4" s="7">
        <v>44381.0</v>
      </c>
      <c r="B4" s="1" t="s">
        <v>5</v>
      </c>
      <c r="C4" s="1" t="s">
        <v>4</v>
      </c>
    </row>
    <row r="5">
      <c r="A5" s="7">
        <v>44381.0</v>
      </c>
      <c r="B5" s="1" t="s">
        <v>4</v>
      </c>
      <c r="C5" s="1" t="s">
        <v>5</v>
      </c>
    </row>
    <row r="6">
      <c r="A6" s="7">
        <v>44381.0</v>
      </c>
      <c r="B6" s="1" t="s">
        <v>4</v>
      </c>
      <c r="C6" s="1" t="s">
        <v>5</v>
      </c>
    </row>
    <row r="7">
      <c r="A7" s="7">
        <v>44395.0</v>
      </c>
      <c r="B7" s="1" t="s">
        <v>5</v>
      </c>
      <c r="C7" s="1" t="s">
        <v>4</v>
      </c>
    </row>
    <row r="8">
      <c r="A8" s="7">
        <v>44395.0</v>
      </c>
      <c r="B8" s="1" t="s">
        <v>4</v>
      </c>
      <c r="C8" s="1" t="s">
        <v>5</v>
      </c>
    </row>
    <row r="9">
      <c r="A9" s="7">
        <v>44395.0</v>
      </c>
      <c r="B9" s="1" t="s">
        <v>5</v>
      </c>
      <c r="C9" s="1" t="s">
        <v>4</v>
      </c>
    </row>
    <row r="10">
      <c r="A10" s="7">
        <v>44407.0</v>
      </c>
      <c r="B10" s="1" t="s">
        <v>5</v>
      </c>
      <c r="C10" s="1" t="s">
        <v>4</v>
      </c>
      <c r="D10" s="1">
        <v>1.0</v>
      </c>
    </row>
    <row r="11">
      <c r="A11" s="7">
        <v>44407.0</v>
      </c>
      <c r="B11" s="1" t="s">
        <v>4</v>
      </c>
      <c r="C11" s="1" t="s">
        <v>5</v>
      </c>
    </row>
    <row r="12">
      <c r="A12" s="7">
        <v>44407.0</v>
      </c>
      <c r="B12" s="1" t="s">
        <v>5</v>
      </c>
      <c r="C12" s="1" t="s">
        <v>4</v>
      </c>
    </row>
    <row r="13">
      <c r="A13" s="7">
        <v>44408.0</v>
      </c>
      <c r="B13" s="1" t="s">
        <v>4</v>
      </c>
      <c r="C13" s="1" t="s">
        <v>5</v>
      </c>
    </row>
    <row r="14">
      <c r="A14" s="7">
        <v>44408.0</v>
      </c>
      <c r="B14" s="1" t="s">
        <v>5</v>
      </c>
      <c r="C14" s="1" t="s">
        <v>4</v>
      </c>
    </row>
    <row r="15">
      <c r="A15" s="7">
        <v>44408.0</v>
      </c>
      <c r="B15" s="1" t="s">
        <v>4</v>
      </c>
      <c r="C15" s="1" t="s">
        <v>5</v>
      </c>
    </row>
    <row r="16">
      <c r="A16" s="7">
        <v>44409.0</v>
      </c>
      <c r="B16" s="1" t="s">
        <v>4</v>
      </c>
      <c r="C16" s="1" t="s">
        <v>5</v>
      </c>
      <c r="D16" s="1">
        <v>1.0</v>
      </c>
    </row>
    <row r="17">
      <c r="A17" s="7">
        <v>44409.0</v>
      </c>
      <c r="B17" s="1" t="s">
        <v>4</v>
      </c>
      <c r="C17" s="1" t="s">
        <v>5</v>
      </c>
    </row>
    <row r="18">
      <c r="A18" s="7">
        <v>44445.0</v>
      </c>
      <c r="B18" s="1" t="s">
        <v>5</v>
      </c>
      <c r="C18" s="1" t="s">
        <v>4</v>
      </c>
    </row>
    <row r="19">
      <c r="A19" s="7">
        <v>44445.0</v>
      </c>
      <c r="B19" s="1" t="s">
        <v>5</v>
      </c>
      <c r="C19" s="1" t="s">
        <v>4</v>
      </c>
    </row>
    <row r="20">
      <c r="A20" s="7">
        <v>44472.0</v>
      </c>
      <c r="B20" s="1" t="s">
        <v>5</v>
      </c>
      <c r="C20" s="1" t="s">
        <v>4</v>
      </c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7.25"/>
    <col customWidth="1" min="3" max="4" width="5.88"/>
    <col customWidth="1" min="5" max="5" width="5.63"/>
    <col customWidth="1" min="6" max="6" width="7.0"/>
    <col customWidth="1" min="7" max="7" width="4.38"/>
    <col customWidth="1" min="8" max="8" width="7.0"/>
    <col customWidth="1" min="9" max="9" width="5.25"/>
    <col customWidth="1" min="10" max="10" width="6.38"/>
    <col customWidth="1" min="11" max="11" width="7.0"/>
    <col customWidth="1" min="12" max="12" width="7.25"/>
    <col customWidth="1" min="13" max="13" width="8.25"/>
    <col customWidth="1" min="14" max="14" width="5.13"/>
    <col customWidth="1" min="15" max="15" width="5.25"/>
    <col customWidth="1" min="16" max="16" width="4.38"/>
    <col customWidth="1" min="17" max="17" width="4.75"/>
    <col customWidth="1" min="18" max="18" width="4.5"/>
  </cols>
  <sheetData>
    <row r="1">
      <c r="A1" s="9">
        <v>5.0</v>
      </c>
      <c r="B1" s="9" t="s">
        <v>105</v>
      </c>
      <c r="C1" t="str">
        <f>Data!E1</f>
        <v>Jeffrey</v>
      </c>
      <c r="D1" t="str">
        <f>Data!F1</f>
        <v>Robert</v>
      </c>
      <c r="E1" t="str">
        <f>Data!G1</f>
        <v>Bobby</v>
      </c>
      <c r="F1" t="str">
        <f>Data!H1</f>
        <v>Stephen</v>
      </c>
      <c r="G1" t="str">
        <f>Data!I1</f>
        <v>Cory</v>
      </c>
      <c r="H1" t="str">
        <f>Data!J1</f>
        <v>Chelsea</v>
      </c>
      <c r="I1" t="str">
        <f>Data!K1</f>
        <v>Robin</v>
      </c>
      <c r="J1" t="str">
        <f>Data!L1</f>
        <v>Marcus</v>
      </c>
      <c r="K1" t="str">
        <f>Data!M1</f>
        <v>Spencer</v>
      </c>
      <c r="L1" t="str">
        <f>Data!N1</f>
        <v>Syvaunti</v>
      </c>
      <c r="M1" t="str">
        <f>Data!O1</f>
        <v>Rob Elrod</v>
      </c>
      <c r="N1" t="str">
        <f>Data!P1</f>
        <v>Cayla</v>
      </c>
      <c r="O1" t="str">
        <f>Data!Q1</f>
        <v>Ethan</v>
      </c>
      <c r="P1" t="str">
        <f>Data!R1</f>
        <v>Ruth</v>
      </c>
      <c r="Q1" t="str">
        <f>Data!S1</f>
        <v>Katie Zackarias</v>
      </c>
      <c r="R1" t="str">
        <f>Data!T1</f>
        <v>John Zackarias</v>
      </c>
      <c r="S1" t="str">
        <f>Data!U1</f>
        <v>Danielle</v>
      </c>
      <c r="T1" t="str">
        <f>Data!V1</f>
        <v>Abby</v>
      </c>
    </row>
    <row r="2">
      <c r="A2" s="1" t="s">
        <v>23</v>
      </c>
      <c r="B2" s="1">
        <f>countif(Data!A:A,"="&amp;A2)</f>
        <v>24</v>
      </c>
      <c r="C2" s="10">
        <f>if(countifs(Data!$A:$A,"="&amp;$A2,Data!E:E,"&gt;0")&gt;=$A$1,AVERAGEIF(Data!$A:$A,"="&amp;$A2,Data!E:E),"")</f>
        <v>2.208333333</v>
      </c>
      <c r="D2" s="10">
        <f>if(countifs(Data!$A:$A,"="&amp;$A2,Data!F:F,"&gt;0")&gt;=$A$1,AVERAGEIF(Data!$A:$A,"="&amp;$A2,Data!F:F),"")</f>
        <v>2.166666667</v>
      </c>
      <c r="E2" s="10">
        <f>if(countifs(Data!$A:$A,"="&amp;$A2,Data!G:G,"&gt;0")&gt;=$A$1,AVERAGEIF(Data!$A:$A,"="&amp;$A2,Data!G:G),"")</f>
        <v>2.142857143</v>
      </c>
      <c r="F2" s="10">
        <f>if(countifs(Data!$A:$A,"="&amp;$A2,Data!H:H,"&gt;0")&gt;=$A$1,AVERAGEIF(Data!$A:$A,"="&amp;$A2,Data!H:H),"")</f>
        <v>2.294117647</v>
      </c>
      <c r="G2" s="10" t="str">
        <f>if(countifs(Data!$A:$A,"="&amp;$A2,Data!I:I,"&gt;0")&gt;=$A$1,AVERAGEIF(Data!$A:$A,"="&amp;$A2,Data!I:I),"")</f>
        <v/>
      </c>
      <c r="H2" s="10" t="str">
        <f>if(countifs(Data!$A:$A,"="&amp;$A2,Data!J:J,"&gt;0")&gt;=$A$1,AVERAGEIF(Data!$A:$A,"="&amp;$A2,Data!J:J),"")</f>
        <v/>
      </c>
      <c r="I2" s="10" t="str">
        <f>if(countifs(Data!$A:$A,"="&amp;$A2,Data!K:K,"&gt;0")&gt;=$A$1,AVERAGEIF(Data!$A:$A,"="&amp;$A2,Data!K:K),"")</f>
        <v/>
      </c>
      <c r="J2" s="10" t="str">
        <f>if(countifs(Data!$A:$A,"="&amp;$A2,Data!L:L,"&gt;0")&gt;=$A$1,AVERAGEIF(Data!$A:$A,"="&amp;$A2,Data!L:L),"")</f>
        <v/>
      </c>
      <c r="K2" s="10" t="str">
        <f>if(countifs(Data!$A:$A,"="&amp;$A2,Data!M:M,"&gt;0")&gt;=$A$1,AVERAGEIF(Data!$A:$A,"="&amp;$A2,Data!M:M),"")</f>
        <v/>
      </c>
      <c r="L2" s="10" t="str">
        <f>if(countifs(Data!$A:$A,"="&amp;$A2,Data!N:N,"&gt;0")&gt;=$A$1,AVERAGEIF(Data!$A:$A,"="&amp;$A2,Data!N:N),"")</f>
        <v/>
      </c>
      <c r="M2" s="10" t="str">
        <f>if(countifs(Data!$A:$A,"="&amp;$A2,Data!O:O,"&gt;0")&gt;=$A$1,AVERAGEIF(Data!$A:$A,"="&amp;$A2,Data!O:O),"")</f>
        <v/>
      </c>
      <c r="N2" s="10" t="str">
        <f>if(countifs(Data!$A:$A,"="&amp;$A2,Data!P:P,"&gt;0")&gt;=$A$1,AVERAGEIF(Data!$A:$A,"="&amp;$A2,Data!P:P),"")</f>
        <v/>
      </c>
      <c r="O2" s="10" t="str">
        <f>if(countifs(Data!$A:$A,"="&amp;$A2,Data!Q:Q,"&gt;0")&gt;=$A$1,AVERAGEIF(Data!$A:$A,"="&amp;$A2,Data!Q:Q),"")</f>
        <v/>
      </c>
      <c r="P2" s="10" t="str">
        <f>if(countifs(Data!$A:$A,"="&amp;$A2,Data!R:R,"&gt;0")&gt;=$A$1,AVERAGEIF(Data!$A:$A,"="&amp;$A2,Data!R:R),"")</f>
        <v/>
      </c>
      <c r="Q2" s="10" t="str">
        <f>if(countifs(Data!$A:$A,"="&amp;$A2,Data!S:S,"&gt;0")&gt;=$A$1,AVERAGEIF(Data!$A:$A,"="&amp;$A2,Data!S:S),"")</f>
        <v/>
      </c>
      <c r="R2" s="10" t="str">
        <f>if(countifs(Data!$A:$A,"="&amp;$A2,Data!T:T,"&gt;0")&gt;=$A$1,AVERAGEIF(Data!$A:$A,"="&amp;$A2,Data!T:T),"")</f>
        <v/>
      </c>
      <c r="S2" s="10" t="str">
        <f>if(countifs(Data!$A:$A,"="&amp;$A2,Data!U:U,"&gt;0")&gt;=$A$1,AVERAGEIF(Data!$A:$A,"="&amp;$A2,Data!U:U),"")</f>
        <v/>
      </c>
      <c r="T2" s="10" t="str">
        <f>if(countifs(Data!$A:$A,"="&amp;$A2,Data!V:V,"&gt;0")&gt;=$A$1,AVERAGEIF(Data!$A:$A,"="&amp;$A2,Data!V:V),"")</f>
        <v/>
      </c>
    </row>
    <row r="3">
      <c r="A3" s="1" t="s">
        <v>25</v>
      </c>
      <c r="B3" s="1">
        <f>countif(Data!A:A,"="&amp;A3)</f>
        <v>3</v>
      </c>
      <c r="C3" s="10" t="str">
        <f>if(countifs(Data!$A:$A,"="&amp;$A3,Data!E:E,"&gt;0")&gt;=$A$1,AVERAGEIF(Data!$A:$A,"="&amp;$A3,Data!E:E),"")</f>
        <v/>
      </c>
      <c r="D3" s="10" t="str">
        <f>if(countifs(Data!$A:$A,"="&amp;$A3,Data!F:F,"&gt;0")&gt;=$A$1,AVERAGEIF(Data!$A:$A,"="&amp;$A3,Data!F:F),"")</f>
        <v/>
      </c>
      <c r="E3" s="10" t="str">
        <f>if(countifs(Data!$A:$A,"="&amp;$A3,Data!G:G,"&gt;0")&gt;=$A$1,AVERAGEIF(Data!$A:$A,"="&amp;$A3,Data!G:G),"")</f>
        <v/>
      </c>
      <c r="F3" s="10" t="str">
        <f>if(countifs(Data!$A:$A,"="&amp;$A3,Data!H:H,"&gt;0")&gt;=$A$1,AVERAGEIF(Data!$A:$A,"="&amp;$A3,Data!H:H),"")</f>
        <v/>
      </c>
      <c r="G3" s="10" t="str">
        <f>if(countifs(Data!$A:$A,"="&amp;$A3,Data!I:I,"&gt;0")&gt;=$A$1,AVERAGEIF(Data!$A:$A,"="&amp;$A3,Data!I:I),"")</f>
        <v/>
      </c>
      <c r="H3" s="10" t="str">
        <f>if(countifs(Data!$A:$A,"="&amp;$A3,Data!J:J,"&gt;0")&gt;=$A$1,AVERAGEIF(Data!$A:$A,"="&amp;$A3,Data!J:J),"")</f>
        <v/>
      </c>
      <c r="I3" s="10" t="str">
        <f>if(countifs(Data!$A:$A,"="&amp;$A3,Data!K:K,"&gt;0")&gt;=$A$1,AVERAGEIF(Data!$A:$A,"="&amp;$A3,Data!K:K),"")</f>
        <v/>
      </c>
      <c r="J3" s="10" t="str">
        <f>if(countifs(Data!$A:$A,"="&amp;$A3,Data!L:L,"&gt;0")&gt;=$A$1,AVERAGEIF(Data!$A:$A,"="&amp;$A3,Data!L:L),"")</f>
        <v/>
      </c>
      <c r="K3" s="10" t="str">
        <f>if(countifs(Data!$A:$A,"="&amp;$A3,Data!M:M,"&gt;0")&gt;=$A$1,AVERAGEIF(Data!$A:$A,"="&amp;$A3,Data!M:M),"")</f>
        <v/>
      </c>
      <c r="L3" s="10" t="str">
        <f>if(countifs(Data!$A:$A,"="&amp;$A3,Data!N:N,"&gt;0")&gt;=$A$1,AVERAGEIF(Data!$A:$A,"="&amp;$A3,Data!N:N),"")</f>
        <v/>
      </c>
      <c r="M3" s="10" t="str">
        <f>if(countifs(Data!$A:$A,"="&amp;$A3,Data!O:O,"&gt;0")&gt;=$A$1,AVERAGEIF(Data!$A:$A,"="&amp;$A3,Data!O:O),"")</f>
        <v/>
      </c>
      <c r="N3" s="10" t="str">
        <f>if(countifs(Data!$A:$A,"="&amp;$A3,Data!P:P,"&gt;0")&gt;=$A$1,AVERAGEIF(Data!$A:$A,"="&amp;$A3,Data!P:P),"")</f>
        <v/>
      </c>
      <c r="O3" s="10" t="str">
        <f>if(countifs(Data!$A:$A,"="&amp;$A3,Data!Q:Q,"&gt;0")&gt;=$A$1,AVERAGEIF(Data!$A:$A,"="&amp;$A3,Data!Q:Q),"")</f>
        <v/>
      </c>
      <c r="P3" s="10" t="str">
        <f>if(countifs(Data!$A:$A,"="&amp;$A3,Data!R:R,"&gt;0")&gt;=$A$1,AVERAGEIF(Data!$A:$A,"="&amp;$A3,Data!R:R),"")</f>
        <v/>
      </c>
      <c r="Q3" s="10" t="str">
        <f>if(countifs(Data!$A:$A,"="&amp;$A3,Data!S:S,"&gt;0")&gt;=$A$1,AVERAGEIF(Data!$A:$A,"="&amp;$A3,Data!S:S),"")</f>
        <v/>
      </c>
      <c r="R3" s="10" t="str">
        <f>if(countifs(Data!$A:$A,"="&amp;$A3,Data!T:T,"&gt;0")&gt;=$A$1,AVERAGEIF(Data!$A:$A,"="&amp;$A3,Data!T:T),"")</f>
        <v/>
      </c>
      <c r="S3" s="10" t="str">
        <f>if(countifs(Data!$A:$A,"="&amp;$A3,Data!U:U,"&gt;0")&gt;=$A$1,AVERAGEIF(Data!$A:$A,"="&amp;$A3,Data!U:U),"")</f>
        <v/>
      </c>
      <c r="T3" s="10" t="str">
        <f>if(countifs(Data!$A:$A,"="&amp;$A3,Data!V:V,"&gt;0")&gt;=$A$1,AVERAGEIF(Data!$A:$A,"="&amp;$A3,Data!V:V),"")</f>
        <v/>
      </c>
    </row>
    <row r="4">
      <c r="A4" s="1" t="s">
        <v>26</v>
      </c>
      <c r="B4" s="1">
        <f>countif(Data!A:A,"="&amp;A4)</f>
        <v>57</v>
      </c>
      <c r="C4" s="10">
        <f>if(countifs(Data!$A:$A,"="&amp;$A4,Data!E:E,"&gt;0")&gt;=$A$1,AVERAGEIF(Data!$A:$A,"="&amp;$A4,Data!E:E),"")</f>
        <v>2.105263158</v>
      </c>
      <c r="D4" s="10">
        <f>if(countifs(Data!$A:$A,"="&amp;$A4,Data!F:F,"&gt;0")&gt;=$A$1,AVERAGEIF(Data!$A:$A,"="&amp;$A4,Data!F:F),"")</f>
        <v>1.946428571</v>
      </c>
      <c r="E4" s="10" t="str">
        <f>if(countifs(Data!$A:$A,"="&amp;$A4,Data!G:G,"&gt;0")&gt;=$A$1,AVERAGEIF(Data!$A:$A,"="&amp;$A4,Data!G:G),"")</f>
        <v/>
      </c>
      <c r="F4" s="10">
        <f>if(countifs(Data!$A:$A,"="&amp;$A4,Data!H:H,"&gt;0")&gt;=$A$1,AVERAGEIF(Data!$A:$A,"="&amp;$A4,Data!H:H),"")</f>
        <v>2.210526316</v>
      </c>
      <c r="G4" s="10">
        <f>if(countifs(Data!$A:$A,"="&amp;$A4,Data!I:I,"&gt;0")&gt;=$A$1,AVERAGEIF(Data!$A:$A,"="&amp;$A4,Data!I:I),"")</f>
        <v>2.2</v>
      </c>
      <c r="H4" s="10" t="str">
        <f>if(countifs(Data!$A:$A,"="&amp;$A4,Data!J:J,"&gt;0")&gt;=$A$1,AVERAGEIF(Data!$A:$A,"="&amp;$A4,Data!J:J),"")</f>
        <v/>
      </c>
      <c r="I4" s="10" t="str">
        <f>if(countifs(Data!$A:$A,"="&amp;$A4,Data!K:K,"&gt;0")&gt;=$A$1,AVERAGEIF(Data!$A:$A,"="&amp;$A4,Data!K:K),"")</f>
        <v/>
      </c>
      <c r="J4" s="10" t="str">
        <f>if(countifs(Data!$A:$A,"="&amp;$A4,Data!L:L,"&gt;0")&gt;=$A$1,AVERAGEIF(Data!$A:$A,"="&amp;$A4,Data!L:L),"")</f>
        <v/>
      </c>
      <c r="K4" s="10" t="str">
        <f>if(countifs(Data!$A:$A,"="&amp;$A4,Data!M:M,"&gt;0")&gt;=$A$1,AVERAGEIF(Data!$A:$A,"="&amp;$A4,Data!M:M),"")</f>
        <v/>
      </c>
      <c r="L4" s="10" t="str">
        <f>if(countifs(Data!$A:$A,"="&amp;$A4,Data!N:N,"&gt;0")&gt;=$A$1,AVERAGEIF(Data!$A:$A,"="&amp;$A4,Data!N:N),"")</f>
        <v/>
      </c>
      <c r="M4" s="10" t="str">
        <f>if(countifs(Data!$A:$A,"="&amp;$A4,Data!O:O,"&gt;0")&gt;=$A$1,AVERAGEIF(Data!$A:$A,"="&amp;$A4,Data!O:O),"")</f>
        <v/>
      </c>
      <c r="N4" s="10" t="str">
        <f>if(countifs(Data!$A:$A,"="&amp;$A4,Data!P:P,"&gt;0")&gt;=$A$1,AVERAGEIF(Data!$A:$A,"="&amp;$A4,Data!P:P),"")</f>
        <v/>
      </c>
      <c r="O4" s="10" t="str">
        <f>if(countifs(Data!$A:$A,"="&amp;$A4,Data!Q:Q,"&gt;0")&gt;=$A$1,AVERAGEIF(Data!$A:$A,"="&amp;$A4,Data!Q:Q),"")</f>
        <v/>
      </c>
      <c r="P4" s="10" t="str">
        <f>if(countifs(Data!$A:$A,"="&amp;$A4,Data!R:R,"&gt;0")&gt;=$A$1,AVERAGEIF(Data!$A:$A,"="&amp;$A4,Data!R:R),"")</f>
        <v/>
      </c>
      <c r="Q4" s="10" t="str">
        <f>if(countifs(Data!$A:$A,"="&amp;$A4,Data!S:S,"&gt;0")&gt;=$A$1,AVERAGEIF(Data!$A:$A,"="&amp;$A4,Data!S:S),"")</f>
        <v/>
      </c>
      <c r="R4" s="10" t="str">
        <f>if(countifs(Data!$A:$A,"="&amp;$A4,Data!T:T,"&gt;0")&gt;=$A$1,AVERAGEIF(Data!$A:$A,"="&amp;$A4,Data!T:T),"")</f>
        <v/>
      </c>
      <c r="S4" s="10" t="str">
        <f>if(countifs(Data!$A:$A,"="&amp;$A4,Data!U:U,"&gt;0")&gt;=$A$1,AVERAGEIF(Data!$A:$A,"="&amp;$A4,Data!U:U),"")</f>
        <v/>
      </c>
      <c r="T4" s="10" t="str">
        <f>if(countifs(Data!$A:$A,"="&amp;$A4,Data!V:V,"&gt;0")&gt;=$A$1,AVERAGEIF(Data!$A:$A,"="&amp;$A4,Data!V:V),"")</f>
        <v/>
      </c>
    </row>
    <row r="5">
      <c r="A5" s="1" t="s">
        <v>27</v>
      </c>
      <c r="B5" s="1">
        <f>countif(Data!A:A,"="&amp;A5)</f>
        <v>17</v>
      </c>
      <c r="C5" s="10">
        <f>if(countifs(Data!$A:$A,"="&amp;$A5,Data!E:E,"&gt;0")&gt;=$A$1,AVERAGEIF(Data!$A:$A,"="&amp;$A5,Data!E:E),"")</f>
        <v>2.117647059</v>
      </c>
      <c r="D5" s="10">
        <f>if(countifs(Data!$A:$A,"="&amp;$A5,Data!F:F,"&gt;0")&gt;=$A$1,AVERAGEIF(Data!$A:$A,"="&amp;$A5,Data!F:F),"")</f>
        <v>2</v>
      </c>
      <c r="E5" s="10" t="str">
        <f>if(countifs(Data!$A:$A,"="&amp;$A5,Data!G:G,"&gt;0")&gt;=$A$1,AVERAGEIF(Data!$A:$A,"="&amp;$A5,Data!G:G),"")</f>
        <v/>
      </c>
      <c r="F5" s="10">
        <f>if(countifs(Data!$A:$A,"="&amp;$A5,Data!H:H,"&gt;0")&gt;=$A$1,AVERAGEIF(Data!$A:$A,"="&amp;$A5,Data!H:H),"")</f>
        <v>1.888888889</v>
      </c>
      <c r="G5" s="10" t="str">
        <f>if(countifs(Data!$A:$A,"="&amp;$A5,Data!I:I,"&gt;0")&gt;=$A$1,AVERAGEIF(Data!$A:$A,"="&amp;$A5,Data!I:I),"")</f>
        <v/>
      </c>
      <c r="H5" s="10" t="str">
        <f>if(countifs(Data!$A:$A,"="&amp;$A5,Data!J:J,"&gt;0")&gt;=$A$1,AVERAGEIF(Data!$A:$A,"="&amp;$A5,Data!J:J),"")</f>
        <v/>
      </c>
      <c r="I5" s="10" t="str">
        <f>if(countifs(Data!$A:$A,"="&amp;$A5,Data!K:K,"&gt;0")&gt;=$A$1,AVERAGEIF(Data!$A:$A,"="&amp;$A5,Data!K:K),"")</f>
        <v/>
      </c>
      <c r="J5" s="10" t="str">
        <f>if(countifs(Data!$A:$A,"="&amp;$A5,Data!L:L,"&gt;0")&gt;=$A$1,AVERAGEIF(Data!$A:$A,"="&amp;$A5,Data!L:L),"")</f>
        <v/>
      </c>
      <c r="K5" s="10">
        <f>if(countifs(Data!$A:$A,"="&amp;$A5,Data!M:M,"&gt;0")&gt;=$A$1,AVERAGEIF(Data!$A:$A,"="&amp;$A5,Data!M:M),"")</f>
        <v>2</v>
      </c>
      <c r="L5" s="10" t="str">
        <f>if(countifs(Data!$A:$A,"="&amp;$A5,Data!N:N,"&gt;0")&gt;=$A$1,AVERAGEIF(Data!$A:$A,"="&amp;$A5,Data!N:N),"")</f>
        <v/>
      </c>
      <c r="M5" s="10" t="str">
        <f>if(countifs(Data!$A:$A,"="&amp;$A5,Data!O:O,"&gt;0")&gt;=$A$1,AVERAGEIF(Data!$A:$A,"="&amp;$A5,Data!O:O),"")</f>
        <v/>
      </c>
      <c r="N5" s="10" t="str">
        <f>if(countifs(Data!$A:$A,"="&amp;$A5,Data!P:P,"&gt;0")&gt;=$A$1,AVERAGEIF(Data!$A:$A,"="&amp;$A5,Data!P:P),"")</f>
        <v/>
      </c>
      <c r="O5" s="10" t="str">
        <f>if(countifs(Data!$A:$A,"="&amp;$A5,Data!Q:Q,"&gt;0")&gt;=$A$1,AVERAGEIF(Data!$A:$A,"="&amp;$A5,Data!Q:Q),"")</f>
        <v/>
      </c>
      <c r="P5" s="10" t="str">
        <f>if(countifs(Data!$A:$A,"="&amp;$A5,Data!R:R,"&gt;0")&gt;=$A$1,AVERAGEIF(Data!$A:$A,"="&amp;$A5,Data!R:R),"")</f>
        <v/>
      </c>
      <c r="Q5" s="10" t="str">
        <f>if(countifs(Data!$A:$A,"="&amp;$A5,Data!S:S,"&gt;0")&gt;=$A$1,AVERAGEIF(Data!$A:$A,"="&amp;$A5,Data!S:S),"")</f>
        <v/>
      </c>
      <c r="R5" s="10" t="str">
        <f>if(countifs(Data!$A:$A,"="&amp;$A5,Data!T:T,"&gt;0")&gt;=$A$1,AVERAGEIF(Data!$A:$A,"="&amp;$A5,Data!T:T),"")</f>
        <v/>
      </c>
      <c r="S5" s="10" t="str">
        <f>if(countifs(Data!$A:$A,"="&amp;$A5,Data!U:U,"&gt;0")&gt;=$A$1,AVERAGEIF(Data!$A:$A,"="&amp;$A5,Data!U:U),"")</f>
        <v/>
      </c>
      <c r="T5" s="10" t="str">
        <f>if(countifs(Data!$A:$A,"="&amp;$A5,Data!V:V,"&gt;0")&gt;=$A$1,AVERAGEIF(Data!$A:$A,"="&amp;$A5,Data!V:V),"")</f>
        <v/>
      </c>
    </row>
    <row r="6">
      <c r="A6" s="1" t="s">
        <v>28</v>
      </c>
      <c r="B6" s="1">
        <f>countif(Data!A:A,"="&amp;A6)</f>
        <v>269</v>
      </c>
      <c r="C6" s="10">
        <f>if(countifs(Data!$A:$A,"="&amp;$A6,Data!E:E,"&gt;0")&gt;=$A$1,AVERAGEIF(Data!$A:$A,"="&amp;$A6,Data!E:E),"")</f>
        <v>2.07063197</v>
      </c>
      <c r="D6" s="10">
        <f>if(countifs(Data!$A:$A,"="&amp;$A6,Data!F:F,"&gt;0")&gt;=$A$1,AVERAGEIF(Data!$A:$A,"="&amp;$A6,Data!F:F),"")</f>
        <v>2.059479554</v>
      </c>
      <c r="E6" s="10">
        <f>if(countifs(Data!$A:$A,"="&amp;$A6,Data!G:G,"&gt;0")&gt;=$A$1,AVERAGEIF(Data!$A:$A,"="&amp;$A6,Data!G:G),"")</f>
        <v>2.063432836</v>
      </c>
      <c r="F6" s="10">
        <f>if(countifs(Data!$A:$A,"="&amp;$A6,Data!H:H,"&gt;0")&gt;=$A$1,AVERAGEIF(Data!$A:$A,"="&amp;$A6,Data!H:H),"")</f>
        <v>3.1</v>
      </c>
      <c r="G6" s="10" t="str">
        <f>if(countifs(Data!$A:$A,"="&amp;$A6,Data!I:I,"&gt;0")&gt;=$A$1,AVERAGEIF(Data!$A:$A,"="&amp;$A6,Data!I:I),"")</f>
        <v/>
      </c>
      <c r="H6" s="10">
        <f>if(countifs(Data!$A:$A,"="&amp;$A6,Data!J:J,"&gt;0")&gt;=$A$1,AVERAGEIF(Data!$A:$A,"="&amp;$A6,Data!J:J),"")</f>
        <v>3</v>
      </c>
      <c r="I6" s="10" t="str">
        <f>if(countifs(Data!$A:$A,"="&amp;$A6,Data!K:K,"&gt;0")&gt;=$A$1,AVERAGEIF(Data!$A:$A,"="&amp;$A6,Data!K:K),"")</f>
        <v/>
      </c>
      <c r="J6" s="10" t="str">
        <f>if(countifs(Data!$A:$A,"="&amp;$A6,Data!L:L,"&gt;0")&gt;=$A$1,AVERAGEIF(Data!$A:$A,"="&amp;$A6,Data!L:L),"")</f>
        <v/>
      </c>
      <c r="K6" s="10" t="str">
        <f>if(countifs(Data!$A:$A,"="&amp;$A6,Data!M:M,"&gt;0")&gt;=$A$1,AVERAGEIF(Data!$A:$A,"="&amp;$A6,Data!M:M),"")</f>
        <v/>
      </c>
      <c r="L6" s="10" t="str">
        <f>if(countifs(Data!$A:$A,"="&amp;$A6,Data!N:N,"&gt;0")&gt;=$A$1,AVERAGEIF(Data!$A:$A,"="&amp;$A6,Data!N:N),"")</f>
        <v/>
      </c>
      <c r="M6" s="10" t="str">
        <f>if(countifs(Data!$A:$A,"="&amp;$A6,Data!O:O,"&gt;0")&gt;=$A$1,AVERAGEIF(Data!$A:$A,"="&amp;$A6,Data!O:O),"")</f>
        <v/>
      </c>
      <c r="N6" s="10" t="str">
        <f>if(countifs(Data!$A:$A,"="&amp;$A6,Data!P:P,"&gt;0")&gt;=$A$1,AVERAGEIF(Data!$A:$A,"="&amp;$A6,Data!P:P),"")</f>
        <v/>
      </c>
      <c r="O6" s="10" t="str">
        <f>if(countifs(Data!$A:$A,"="&amp;$A6,Data!Q:Q,"&gt;0")&gt;=$A$1,AVERAGEIF(Data!$A:$A,"="&amp;$A6,Data!Q:Q),"")</f>
        <v/>
      </c>
      <c r="P6" s="10" t="str">
        <f>if(countifs(Data!$A:$A,"="&amp;$A6,Data!R:R,"&gt;0")&gt;=$A$1,AVERAGEIF(Data!$A:$A,"="&amp;$A6,Data!R:R),"")</f>
        <v/>
      </c>
      <c r="Q6" s="10" t="str">
        <f>if(countifs(Data!$A:$A,"="&amp;$A6,Data!S:S,"&gt;0")&gt;=$A$1,AVERAGEIF(Data!$A:$A,"="&amp;$A6,Data!S:S),"")</f>
        <v/>
      </c>
      <c r="R6" s="10" t="str">
        <f>if(countifs(Data!$A:$A,"="&amp;$A6,Data!T:T,"&gt;0")&gt;=$A$1,AVERAGEIF(Data!$A:$A,"="&amp;$A6,Data!T:T),"")</f>
        <v/>
      </c>
      <c r="S6" s="10" t="str">
        <f>if(countifs(Data!$A:$A,"="&amp;$A6,Data!U:U,"&gt;0")&gt;=$A$1,AVERAGEIF(Data!$A:$A,"="&amp;$A6,Data!U:U),"")</f>
        <v/>
      </c>
      <c r="T6" s="10" t="str">
        <f>if(countifs(Data!$A:$A,"="&amp;$A6,Data!V:V,"&gt;0")&gt;=$A$1,AVERAGEIF(Data!$A:$A,"="&amp;$A6,Data!V:V),"")</f>
        <v/>
      </c>
    </row>
    <row r="7">
      <c r="A7" s="1" t="s">
        <v>30</v>
      </c>
      <c r="B7" s="1">
        <f>countif(Data!A:A,"="&amp;A7)</f>
        <v>7</v>
      </c>
      <c r="C7" s="10">
        <f>if(countifs(Data!$A:$A,"="&amp;$A7,Data!E:E,"&gt;0")&gt;=$A$1,AVERAGEIF(Data!$A:$A,"="&amp;$A7,Data!E:E),"")</f>
        <v>2.142857143</v>
      </c>
      <c r="D7" s="10">
        <f>if(countifs(Data!$A:$A,"="&amp;$A7,Data!F:F,"&gt;0")&gt;=$A$1,AVERAGEIF(Data!$A:$A,"="&amp;$A7,Data!F:F),"")</f>
        <v>2.166666667</v>
      </c>
      <c r="E7" s="10" t="str">
        <f>if(countifs(Data!$A:$A,"="&amp;$A7,Data!G:G,"&gt;0")&gt;=$A$1,AVERAGEIF(Data!$A:$A,"="&amp;$A7,Data!G:G),"")</f>
        <v/>
      </c>
      <c r="F7" s="10">
        <f>if(countifs(Data!$A:$A,"="&amp;$A7,Data!H:H,"&gt;0")&gt;=$A$1,AVERAGEIF(Data!$A:$A,"="&amp;$A7,Data!H:H),"")</f>
        <v>2.5</v>
      </c>
      <c r="G7" s="10" t="str">
        <f>if(countifs(Data!$A:$A,"="&amp;$A7,Data!I:I,"&gt;0")&gt;=$A$1,AVERAGEIF(Data!$A:$A,"="&amp;$A7,Data!I:I),"")</f>
        <v/>
      </c>
      <c r="H7" s="10" t="str">
        <f>if(countifs(Data!$A:$A,"="&amp;$A7,Data!J:J,"&gt;0")&gt;=$A$1,AVERAGEIF(Data!$A:$A,"="&amp;$A7,Data!J:J),"")</f>
        <v/>
      </c>
      <c r="I7" s="10" t="str">
        <f>if(countifs(Data!$A:$A,"="&amp;$A7,Data!K:K,"&gt;0")&gt;=$A$1,AVERAGEIF(Data!$A:$A,"="&amp;$A7,Data!K:K),"")</f>
        <v/>
      </c>
      <c r="J7" s="10" t="str">
        <f>if(countifs(Data!$A:$A,"="&amp;$A7,Data!L:L,"&gt;0")&gt;=$A$1,AVERAGEIF(Data!$A:$A,"="&amp;$A7,Data!L:L),"")</f>
        <v/>
      </c>
      <c r="K7" s="10" t="str">
        <f>if(countifs(Data!$A:$A,"="&amp;$A7,Data!M:M,"&gt;0")&gt;=$A$1,AVERAGEIF(Data!$A:$A,"="&amp;$A7,Data!M:M),"")</f>
        <v/>
      </c>
      <c r="L7" s="10" t="str">
        <f>if(countifs(Data!$A:$A,"="&amp;$A7,Data!N:N,"&gt;0")&gt;=$A$1,AVERAGEIF(Data!$A:$A,"="&amp;$A7,Data!N:N),"")</f>
        <v/>
      </c>
      <c r="M7" s="10" t="str">
        <f>if(countifs(Data!$A:$A,"="&amp;$A7,Data!O:O,"&gt;0")&gt;=$A$1,AVERAGEIF(Data!$A:$A,"="&amp;$A7,Data!O:O),"")</f>
        <v/>
      </c>
      <c r="N7" s="10" t="str">
        <f>if(countifs(Data!$A:$A,"="&amp;$A7,Data!P:P,"&gt;0")&gt;=$A$1,AVERAGEIF(Data!$A:$A,"="&amp;$A7,Data!P:P),"")</f>
        <v/>
      </c>
      <c r="O7" s="10" t="str">
        <f>if(countifs(Data!$A:$A,"="&amp;$A7,Data!Q:Q,"&gt;0")&gt;=$A$1,AVERAGEIF(Data!$A:$A,"="&amp;$A7,Data!Q:Q),"")</f>
        <v/>
      </c>
      <c r="P7" s="10" t="str">
        <f>if(countifs(Data!$A:$A,"="&amp;$A7,Data!R:R,"&gt;0")&gt;=$A$1,AVERAGEIF(Data!$A:$A,"="&amp;$A7,Data!R:R),"")</f>
        <v/>
      </c>
      <c r="Q7" s="10" t="str">
        <f>if(countifs(Data!$A:$A,"="&amp;$A7,Data!S:S,"&gt;0")&gt;=$A$1,AVERAGEIF(Data!$A:$A,"="&amp;$A7,Data!S:S),"")</f>
        <v/>
      </c>
      <c r="R7" s="10" t="str">
        <f>if(countifs(Data!$A:$A,"="&amp;$A7,Data!T:T,"&gt;0")&gt;=$A$1,AVERAGEIF(Data!$A:$A,"="&amp;$A7,Data!T:T),"")</f>
        <v/>
      </c>
      <c r="S7" s="10" t="str">
        <f>if(countifs(Data!$A:$A,"="&amp;$A7,Data!U:U,"&gt;0")&gt;=$A$1,AVERAGEIF(Data!$A:$A,"="&amp;$A7,Data!U:U),"")</f>
        <v/>
      </c>
      <c r="T7" s="10" t="str">
        <f>if(countifs(Data!$A:$A,"="&amp;$A7,Data!V:V,"&gt;0")&gt;=$A$1,AVERAGEIF(Data!$A:$A,"="&amp;$A7,Data!V:V),"")</f>
        <v/>
      </c>
    </row>
    <row r="8">
      <c r="A8" s="1" t="s">
        <v>31</v>
      </c>
      <c r="B8" s="1">
        <f>countif(Data!A:A,"="&amp;A8)</f>
        <v>1</v>
      </c>
      <c r="C8" s="10" t="str">
        <f>if(countifs(Data!$A:$A,"="&amp;$A8,Data!E:E,"&gt;0")&gt;=$A$1,AVERAGEIF(Data!$A:$A,"="&amp;$A8,Data!E:E),"")</f>
        <v/>
      </c>
      <c r="D8" s="10" t="str">
        <f>if(countifs(Data!$A:$A,"="&amp;$A8,Data!F:F,"&gt;0")&gt;=$A$1,AVERAGEIF(Data!$A:$A,"="&amp;$A8,Data!F:F),"")</f>
        <v/>
      </c>
      <c r="E8" s="10" t="str">
        <f>if(countifs(Data!$A:$A,"="&amp;$A8,Data!G:G,"&gt;0")&gt;=$A$1,AVERAGEIF(Data!$A:$A,"="&amp;$A8,Data!G:G),"")</f>
        <v/>
      </c>
      <c r="F8" s="10" t="str">
        <f>if(countifs(Data!$A:$A,"="&amp;$A8,Data!H:H,"&gt;0")&gt;=$A$1,AVERAGEIF(Data!$A:$A,"="&amp;$A8,Data!H:H),"")</f>
        <v/>
      </c>
      <c r="G8" s="10" t="str">
        <f>if(countifs(Data!$A:$A,"="&amp;$A8,Data!I:I,"&gt;0")&gt;=$A$1,AVERAGEIF(Data!$A:$A,"="&amp;$A8,Data!I:I),"")</f>
        <v/>
      </c>
      <c r="H8" s="10" t="str">
        <f>if(countifs(Data!$A:$A,"="&amp;$A8,Data!J:J,"&gt;0")&gt;=$A$1,AVERAGEIF(Data!$A:$A,"="&amp;$A8,Data!J:J),"")</f>
        <v/>
      </c>
      <c r="I8" s="10" t="str">
        <f>if(countifs(Data!$A:$A,"="&amp;$A8,Data!K:K,"&gt;0")&gt;=$A$1,AVERAGEIF(Data!$A:$A,"="&amp;$A8,Data!K:K),"")</f>
        <v/>
      </c>
      <c r="J8" s="10" t="str">
        <f>if(countifs(Data!$A:$A,"="&amp;$A8,Data!L:L,"&gt;0")&gt;=$A$1,AVERAGEIF(Data!$A:$A,"="&amp;$A8,Data!L:L),"")</f>
        <v/>
      </c>
      <c r="K8" s="10" t="str">
        <f>if(countifs(Data!$A:$A,"="&amp;$A8,Data!M:M,"&gt;0")&gt;=$A$1,AVERAGEIF(Data!$A:$A,"="&amp;$A8,Data!M:M),"")</f>
        <v/>
      </c>
      <c r="L8" s="10" t="str">
        <f>if(countifs(Data!$A:$A,"="&amp;$A8,Data!N:N,"&gt;0")&gt;=$A$1,AVERAGEIF(Data!$A:$A,"="&amp;$A8,Data!N:N),"")</f>
        <v/>
      </c>
      <c r="M8" s="10" t="str">
        <f>if(countifs(Data!$A:$A,"="&amp;$A8,Data!O:O,"&gt;0")&gt;=$A$1,AVERAGEIF(Data!$A:$A,"="&amp;$A8,Data!O:O),"")</f>
        <v/>
      </c>
      <c r="N8" s="10" t="str">
        <f>if(countifs(Data!$A:$A,"="&amp;$A8,Data!P:P,"&gt;0")&gt;=$A$1,AVERAGEIF(Data!$A:$A,"="&amp;$A8,Data!P:P),"")</f>
        <v/>
      </c>
      <c r="O8" s="10" t="str">
        <f>if(countifs(Data!$A:$A,"="&amp;$A8,Data!Q:Q,"&gt;0")&gt;=$A$1,AVERAGEIF(Data!$A:$A,"="&amp;$A8,Data!Q:Q),"")</f>
        <v/>
      </c>
      <c r="P8" s="10" t="str">
        <f>if(countifs(Data!$A:$A,"="&amp;$A8,Data!R:R,"&gt;0")&gt;=$A$1,AVERAGEIF(Data!$A:$A,"="&amp;$A8,Data!R:R),"")</f>
        <v/>
      </c>
      <c r="Q8" s="10" t="str">
        <f>if(countifs(Data!$A:$A,"="&amp;$A8,Data!S:S,"&gt;0")&gt;=$A$1,AVERAGEIF(Data!$A:$A,"="&amp;$A8,Data!S:S),"")</f>
        <v/>
      </c>
      <c r="R8" s="10" t="str">
        <f>if(countifs(Data!$A:$A,"="&amp;$A8,Data!T:T,"&gt;0")&gt;=$A$1,AVERAGEIF(Data!$A:$A,"="&amp;$A8,Data!T:T),"")</f>
        <v/>
      </c>
      <c r="S8" s="10" t="str">
        <f>if(countifs(Data!$A:$A,"="&amp;$A8,Data!U:U,"&gt;0")&gt;=$A$1,AVERAGEIF(Data!$A:$A,"="&amp;$A8,Data!U:U),"")</f>
        <v/>
      </c>
      <c r="T8" s="10" t="str">
        <f>if(countifs(Data!$A:$A,"="&amp;$A8,Data!V:V,"&gt;0")&gt;=$A$1,AVERAGEIF(Data!$A:$A,"="&amp;$A8,Data!V:V),"")</f>
        <v/>
      </c>
    </row>
    <row r="9">
      <c r="A9" s="1" t="s">
        <v>32</v>
      </c>
      <c r="B9" s="1">
        <f>countif(Data!A:A,"="&amp;A9)</f>
        <v>60</v>
      </c>
      <c r="C9" s="10">
        <f>if(countifs(Data!$A:$A,"="&amp;$A9,Data!E:E,"&gt;0")&gt;=$A$1,AVERAGEIF(Data!$A:$A,"="&amp;$A9,Data!E:E),"")</f>
        <v>1.916666667</v>
      </c>
      <c r="D9" s="10">
        <f>if(countifs(Data!$A:$A,"="&amp;$A9,Data!F:F,"&gt;0")&gt;=$A$1,AVERAGEIF(Data!$A:$A,"="&amp;$A9,Data!F:F),"")</f>
        <v>1.655172414</v>
      </c>
      <c r="E9" s="10" t="str">
        <f>if(countifs(Data!$A:$A,"="&amp;$A9,Data!G:G,"&gt;0")&gt;=$A$1,AVERAGEIF(Data!$A:$A,"="&amp;$A9,Data!G:G),"")</f>
        <v/>
      </c>
      <c r="F9" s="10">
        <f>if(countifs(Data!$A:$A,"="&amp;$A9,Data!H:H,"&gt;0")&gt;=$A$1,AVERAGEIF(Data!$A:$A,"="&amp;$A9,Data!H:H),"")</f>
        <v>2.379310345</v>
      </c>
      <c r="G9" s="10">
        <f>if(countifs(Data!$A:$A,"="&amp;$A9,Data!I:I,"&gt;0")&gt;=$A$1,AVERAGEIF(Data!$A:$A,"="&amp;$A9,Data!I:I),"")</f>
        <v>2.833333333</v>
      </c>
      <c r="H9" s="10" t="str">
        <f>if(countifs(Data!$A:$A,"="&amp;$A9,Data!J:J,"&gt;0")&gt;=$A$1,AVERAGEIF(Data!$A:$A,"="&amp;$A9,Data!J:J),"")</f>
        <v/>
      </c>
      <c r="I9" s="10" t="str">
        <f>if(countifs(Data!$A:$A,"="&amp;$A9,Data!K:K,"&gt;0")&gt;=$A$1,AVERAGEIF(Data!$A:$A,"="&amp;$A9,Data!K:K),"")</f>
        <v/>
      </c>
      <c r="J9" s="10" t="str">
        <f>if(countifs(Data!$A:$A,"="&amp;$A9,Data!L:L,"&gt;0")&gt;=$A$1,AVERAGEIF(Data!$A:$A,"="&amp;$A9,Data!L:L),"")</f>
        <v/>
      </c>
      <c r="K9" s="10" t="str">
        <f>if(countifs(Data!$A:$A,"="&amp;$A9,Data!M:M,"&gt;0")&gt;=$A$1,AVERAGEIF(Data!$A:$A,"="&amp;$A9,Data!M:M),"")</f>
        <v/>
      </c>
      <c r="L9" s="10" t="str">
        <f>if(countifs(Data!$A:$A,"="&amp;$A9,Data!N:N,"&gt;0")&gt;=$A$1,AVERAGEIF(Data!$A:$A,"="&amp;$A9,Data!N:N),"")</f>
        <v/>
      </c>
      <c r="M9" s="10" t="str">
        <f>if(countifs(Data!$A:$A,"="&amp;$A9,Data!O:O,"&gt;0")&gt;=$A$1,AVERAGEIF(Data!$A:$A,"="&amp;$A9,Data!O:O),"")</f>
        <v/>
      </c>
      <c r="N9" s="10" t="str">
        <f>if(countifs(Data!$A:$A,"="&amp;$A9,Data!P:P,"&gt;0")&gt;=$A$1,AVERAGEIF(Data!$A:$A,"="&amp;$A9,Data!P:P),"")</f>
        <v/>
      </c>
      <c r="O9" s="10" t="str">
        <f>if(countifs(Data!$A:$A,"="&amp;$A9,Data!Q:Q,"&gt;0")&gt;=$A$1,AVERAGEIF(Data!$A:$A,"="&amp;$A9,Data!Q:Q),"")</f>
        <v/>
      </c>
      <c r="P9" s="10" t="str">
        <f>if(countifs(Data!$A:$A,"="&amp;$A9,Data!R:R,"&gt;0")&gt;=$A$1,AVERAGEIF(Data!$A:$A,"="&amp;$A9,Data!R:R),"")</f>
        <v/>
      </c>
      <c r="Q9" s="10" t="str">
        <f>if(countifs(Data!$A:$A,"="&amp;$A9,Data!S:S,"&gt;0")&gt;=$A$1,AVERAGEIF(Data!$A:$A,"="&amp;$A9,Data!S:S),"")</f>
        <v/>
      </c>
      <c r="R9" s="10" t="str">
        <f>if(countifs(Data!$A:$A,"="&amp;$A9,Data!T:T,"&gt;0")&gt;=$A$1,AVERAGEIF(Data!$A:$A,"="&amp;$A9,Data!T:T),"")</f>
        <v/>
      </c>
      <c r="S9" s="10" t="str">
        <f>if(countifs(Data!$A:$A,"="&amp;$A9,Data!U:U,"&gt;0")&gt;=$A$1,AVERAGEIF(Data!$A:$A,"="&amp;$A9,Data!U:U),"")</f>
        <v/>
      </c>
      <c r="T9" s="10" t="str">
        <f>if(countifs(Data!$A:$A,"="&amp;$A9,Data!V:V,"&gt;0")&gt;=$A$1,AVERAGEIF(Data!$A:$A,"="&amp;$A9,Data!V:V),"")</f>
        <v/>
      </c>
    </row>
    <row r="10">
      <c r="A10" s="1" t="s">
        <v>33</v>
      </c>
      <c r="B10" s="1">
        <f>countif(Data!A:A,"="&amp;A10)</f>
        <v>14</v>
      </c>
      <c r="C10" s="10">
        <f>if(countifs(Data!$A:$A,"="&amp;$A10,Data!E:E,"&gt;0")&gt;=$A$1,AVERAGEIF(Data!$A:$A,"="&amp;$A10,Data!E:E),"")</f>
        <v>1.538461538</v>
      </c>
      <c r="D10" s="10">
        <f>if(countifs(Data!$A:$A,"="&amp;$A10,Data!F:F,"&gt;0")&gt;=$A$1,AVERAGEIF(Data!$A:$A,"="&amp;$A10,Data!F:F),"")</f>
        <v>2.214285714</v>
      </c>
      <c r="E10" s="10">
        <f>if(countifs(Data!$A:$A,"="&amp;$A10,Data!G:G,"&gt;0")&gt;=$A$1,AVERAGEIF(Data!$A:$A,"="&amp;$A10,Data!G:G),"")</f>
        <v>1.888888889</v>
      </c>
      <c r="F10" s="10">
        <f>if(countifs(Data!$A:$A,"="&amp;$A10,Data!H:H,"&gt;0")&gt;=$A$1,AVERAGEIF(Data!$A:$A,"="&amp;$A10,Data!H:H),"")</f>
        <v>3.2</v>
      </c>
      <c r="G10" s="10" t="str">
        <f>if(countifs(Data!$A:$A,"="&amp;$A10,Data!I:I,"&gt;0")&gt;=$A$1,AVERAGEIF(Data!$A:$A,"="&amp;$A10,Data!I:I),"")</f>
        <v/>
      </c>
      <c r="H10" s="10" t="str">
        <f>if(countifs(Data!$A:$A,"="&amp;$A10,Data!J:J,"&gt;0")&gt;=$A$1,AVERAGEIF(Data!$A:$A,"="&amp;$A10,Data!J:J),"")</f>
        <v/>
      </c>
      <c r="I10" s="10" t="str">
        <f>if(countifs(Data!$A:$A,"="&amp;$A10,Data!K:K,"&gt;0")&gt;=$A$1,AVERAGEIF(Data!$A:$A,"="&amp;$A10,Data!K:K),"")</f>
        <v/>
      </c>
      <c r="J10" s="10" t="str">
        <f>if(countifs(Data!$A:$A,"="&amp;$A10,Data!L:L,"&gt;0")&gt;=$A$1,AVERAGEIF(Data!$A:$A,"="&amp;$A10,Data!L:L),"")</f>
        <v/>
      </c>
      <c r="K10" s="10" t="str">
        <f>if(countifs(Data!$A:$A,"="&amp;$A10,Data!M:M,"&gt;0")&gt;=$A$1,AVERAGEIF(Data!$A:$A,"="&amp;$A10,Data!M:M),"")</f>
        <v/>
      </c>
      <c r="L10" s="10" t="str">
        <f>if(countifs(Data!$A:$A,"="&amp;$A10,Data!N:N,"&gt;0")&gt;=$A$1,AVERAGEIF(Data!$A:$A,"="&amp;$A10,Data!N:N),"")</f>
        <v/>
      </c>
      <c r="M10" s="10" t="str">
        <f>if(countifs(Data!$A:$A,"="&amp;$A10,Data!O:O,"&gt;0")&gt;=$A$1,AVERAGEIF(Data!$A:$A,"="&amp;$A10,Data!O:O),"")</f>
        <v/>
      </c>
      <c r="N10" s="10" t="str">
        <f>if(countifs(Data!$A:$A,"="&amp;$A10,Data!P:P,"&gt;0")&gt;=$A$1,AVERAGEIF(Data!$A:$A,"="&amp;$A10,Data!P:P),"")</f>
        <v/>
      </c>
      <c r="O10" s="10" t="str">
        <f>if(countifs(Data!$A:$A,"="&amp;$A10,Data!Q:Q,"&gt;0")&gt;=$A$1,AVERAGEIF(Data!$A:$A,"="&amp;$A10,Data!Q:Q),"")</f>
        <v/>
      </c>
      <c r="P10" s="10" t="str">
        <f>if(countifs(Data!$A:$A,"="&amp;$A10,Data!R:R,"&gt;0")&gt;=$A$1,AVERAGEIF(Data!$A:$A,"="&amp;$A10,Data!R:R),"")</f>
        <v/>
      </c>
      <c r="Q10" s="10" t="str">
        <f>if(countifs(Data!$A:$A,"="&amp;$A10,Data!S:S,"&gt;0")&gt;=$A$1,AVERAGEIF(Data!$A:$A,"="&amp;$A10,Data!S:S),"")</f>
        <v/>
      </c>
      <c r="R10" s="10" t="str">
        <f>if(countifs(Data!$A:$A,"="&amp;$A10,Data!T:T,"&gt;0")&gt;=$A$1,AVERAGEIF(Data!$A:$A,"="&amp;$A10,Data!T:T),"")</f>
        <v/>
      </c>
      <c r="S10" s="10" t="str">
        <f>if(countifs(Data!$A:$A,"="&amp;$A10,Data!U:U,"&gt;0")&gt;=$A$1,AVERAGEIF(Data!$A:$A,"="&amp;$A10,Data!U:U),"")</f>
        <v/>
      </c>
      <c r="T10" s="10" t="str">
        <f>if(countifs(Data!$A:$A,"="&amp;$A10,Data!V:V,"&gt;0")&gt;=$A$1,AVERAGEIF(Data!$A:$A,"="&amp;$A10,Data!V:V),"")</f>
        <v/>
      </c>
    </row>
    <row r="11">
      <c r="A11" s="1" t="s">
        <v>35</v>
      </c>
      <c r="B11" s="1">
        <f>countif(Data!A:A,"="&amp;A11)</f>
        <v>12</v>
      </c>
      <c r="C11" s="10">
        <f>if(countifs(Data!$A:$A,"="&amp;$A11,Data!E:E,"&gt;0")&gt;=$A$1,AVERAGEIF(Data!$A:$A,"="&amp;$A11,Data!E:E),"")</f>
        <v>1.916666667</v>
      </c>
      <c r="D11" s="10">
        <f>if(countifs(Data!$A:$A,"="&amp;$A11,Data!F:F,"&gt;0")&gt;=$A$1,AVERAGEIF(Data!$A:$A,"="&amp;$A11,Data!F:F),"")</f>
        <v>2.272727273</v>
      </c>
      <c r="E11" s="10">
        <f>if(countifs(Data!$A:$A,"="&amp;$A11,Data!G:G,"&gt;0")&gt;=$A$1,AVERAGEIF(Data!$A:$A,"="&amp;$A11,Data!G:G),"")</f>
        <v>2.5</v>
      </c>
      <c r="F11" s="10">
        <f>if(countifs(Data!$A:$A,"="&amp;$A11,Data!H:H,"&gt;0")&gt;=$A$1,AVERAGEIF(Data!$A:$A,"="&amp;$A11,Data!H:H),"")</f>
        <v>2.571428571</v>
      </c>
      <c r="G11" s="10" t="str">
        <f>if(countifs(Data!$A:$A,"="&amp;$A11,Data!I:I,"&gt;0")&gt;=$A$1,AVERAGEIF(Data!$A:$A,"="&amp;$A11,Data!I:I),"")</f>
        <v/>
      </c>
      <c r="H11" s="10" t="str">
        <f>if(countifs(Data!$A:$A,"="&amp;$A11,Data!J:J,"&gt;0")&gt;=$A$1,AVERAGEIF(Data!$A:$A,"="&amp;$A11,Data!J:J),"")</f>
        <v/>
      </c>
      <c r="I11" s="10" t="str">
        <f>if(countifs(Data!$A:$A,"="&amp;$A11,Data!K:K,"&gt;0")&gt;=$A$1,AVERAGEIF(Data!$A:$A,"="&amp;$A11,Data!K:K),"")</f>
        <v/>
      </c>
      <c r="J11" s="10" t="str">
        <f>if(countifs(Data!$A:$A,"="&amp;$A11,Data!L:L,"&gt;0")&gt;=$A$1,AVERAGEIF(Data!$A:$A,"="&amp;$A11,Data!L:L),"")</f>
        <v/>
      </c>
      <c r="K11" s="10" t="str">
        <f>if(countifs(Data!$A:$A,"="&amp;$A11,Data!M:M,"&gt;0")&gt;=$A$1,AVERAGEIF(Data!$A:$A,"="&amp;$A11,Data!M:M),"")</f>
        <v/>
      </c>
      <c r="L11" s="10" t="str">
        <f>if(countifs(Data!$A:$A,"="&amp;$A11,Data!N:N,"&gt;0")&gt;=$A$1,AVERAGEIF(Data!$A:$A,"="&amp;$A11,Data!N:N),"")</f>
        <v/>
      </c>
      <c r="M11" s="10" t="str">
        <f>if(countifs(Data!$A:$A,"="&amp;$A11,Data!O:O,"&gt;0")&gt;=$A$1,AVERAGEIF(Data!$A:$A,"="&amp;$A11,Data!O:O),"")</f>
        <v/>
      </c>
      <c r="N11" s="10" t="str">
        <f>if(countifs(Data!$A:$A,"="&amp;$A11,Data!P:P,"&gt;0")&gt;=$A$1,AVERAGEIF(Data!$A:$A,"="&amp;$A11,Data!P:P),"")</f>
        <v/>
      </c>
      <c r="O11" s="10" t="str">
        <f>if(countifs(Data!$A:$A,"="&amp;$A11,Data!Q:Q,"&gt;0")&gt;=$A$1,AVERAGEIF(Data!$A:$A,"="&amp;$A11,Data!Q:Q),"")</f>
        <v/>
      </c>
      <c r="P11" s="10" t="str">
        <f>if(countifs(Data!$A:$A,"="&amp;$A11,Data!R:R,"&gt;0")&gt;=$A$1,AVERAGEIF(Data!$A:$A,"="&amp;$A11,Data!R:R),"")</f>
        <v/>
      </c>
      <c r="Q11" s="10" t="str">
        <f>if(countifs(Data!$A:$A,"="&amp;$A11,Data!S:S,"&gt;0")&gt;=$A$1,AVERAGEIF(Data!$A:$A,"="&amp;$A11,Data!S:S),"")</f>
        <v/>
      </c>
      <c r="R11" s="10" t="str">
        <f>if(countifs(Data!$A:$A,"="&amp;$A11,Data!T:T,"&gt;0")&gt;=$A$1,AVERAGEIF(Data!$A:$A,"="&amp;$A11,Data!T:T),"")</f>
        <v/>
      </c>
      <c r="S11" s="10" t="str">
        <f>if(countifs(Data!$A:$A,"="&amp;$A11,Data!U:U,"&gt;0")&gt;=$A$1,AVERAGEIF(Data!$A:$A,"="&amp;$A11,Data!U:U),"")</f>
        <v/>
      </c>
      <c r="T11" s="10" t="str">
        <f>if(countifs(Data!$A:$A,"="&amp;$A11,Data!V:V,"&gt;0")&gt;=$A$1,AVERAGEIF(Data!$A:$A,"="&amp;$A11,Data!V:V),"")</f>
        <v/>
      </c>
    </row>
    <row r="12">
      <c r="A12" s="1" t="s">
        <v>37</v>
      </c>
      <c r="B12" s="1">
        <f>countif(Data!A:A,"="&amp;A12)</f>
        <v>4</v>
      </c>
      <c r="C12" s="10" t="str">
        <f>if(countifs(Data!$A:$A,"="&amp;$A12,Data!E:E,"&gt;0")&gt;=$A$1,AVERAGEIF(Data!$A:$A,"="&amp;$A12,Data!E:E),"")</f>
        <v/>
      </c>
      <c r="D12" s="10" t="str">
        <f>if(countifs(Data!$A:$A,"="&amp;$A12,Data!F:F,"&gt;0")&gt;=$A$1,AVERAGEIF(Data!$A:$A,"="&amp;$A12,Data!F:F),"")</f>
        <v/>
      </c>
      <c r="E12" s="10" t="str">
        <f>if(countifs(Data!$A:$A,"="&amp;$A12,Data!G:G,"&gt;0")&gt;=$A$1,AVERAGEIF(Data!$A:$A,"="&amp;$A12,Data!G:G),"")</f>
        <v/>
      </c>
      <c r="F12" s="10" t="str">
        <f>if(countifs(Data!$A:$A,"="&amp;$A12,Data!H:H,"&gt;0")&gt;=$A$1,AVERAGEIF(Data!$A:$A,"="&amp;$A12,Data!H:H),"")</f>
        <v/>
      </c>
      <c r="G12" s="10" t="str">
        <f>if(countifs(Data!$A:$A,"="&amp;$A12,Data!I:I,"&gt;0")&gt;=$A$1,AVERAGEIF(Data!$A:$A,"="&amp;$A12,Data!I:I),"")</f>
        <v/>
      </c>
      <c r="H12" s="10" t="str">
        <f>if(countifs(Data!$A:$A,"="&amp;$A12,Data!J:J,"&gt;0")&gt;=$A$1,AVERAGEIF(Data!$A:$A,"="&amp;$A12,Data!J:J),"")</f>
        <v/>
      </c>
      <c r="I12" s="10" t="str">
        <f>if(countifs(Data!$A:$A,"="&amp;$A12,Data!K:K,"&gt;0")&gt;=$A$1,AVERAGEIF(Data!$A:$A,"="&amp;$A12,Data!K:K),"")</f>
        <v/>
      </c>
      <c r="J12" s="10" t="str">
        <f>if(countifs(Data!$A:$A,"="&amp;$A12,Data!L:L,"&gt;0")&gt;=$A$1,AVERAGEIF(Data!$A:$A,"="&amp;$A12,Data!L:L),"")</f>
        <v/>
      </c>
      <c r="K12" s="10" t="str">
        <f>if(countifs(Data!$A:$A,"="&amp;$A12,Data!M:M,"&gt;0")&gt;=$A$1,AVERAGEIF(Data!$A:$A,"="&amp;$A12,Data!M:M),"")</f>
        <v/>
      </c>
      <c r="L12" s="10" t="str">
        <f>if(countifs(Data!$A:$A,"="&amp;$A12,Data!N:N,"&gt;0")&gt;=$A$1,AVERAGEIF(Data!$A:$A,"="&amp;$A12,Data!N:N),"")</f>
        <v/>
      </c>
      <c r="M12" s="10" t="str">
        <f>if(countifs(Data!$A:$A,"="&amp;$A12,Data!O:O,"&gt;0")&gt;=$A$1,AVERAGEIF(Data!$A:$A,"="&amp;$A12,Data!O:O),"")</f>
        <v/>
      </c>
      <c r="N12" s="10" t="str">
        <f>if(countifs(Data!$A:$A,"="&amp;$A12,Data!P:P,"&gt;0")&gt;=$A$1,AVERAGEIF(Data!$A:$A,"="&amp;$A12,Data!P:P),"")</f>
        <v/>
      </c>
      <c r="O12" s="10" t="str">
        <f>if(countifs(Data!$A:$A,"="&amp;$A12,Data!Q:Q,"&gt;0")&gt;=$A$1,AVERAGEIF(Data!$A:$A,"="&amp;$A12,Data!Q:Q),"")</f>
        <v/>
      </c>
      <c r="P12" s="10" t="str">
        <f>if(countifs(Data!$A:$A,"="&amp;$A12,Data!R:R,"&gt;0")&gt;=$A$1,AVERAGEIF(Data!$A:$A,"="&amp;$A12,Data!R:R),"")</f>
        <v/>
      </c>
      <c r="Q12" s="10" t="str">
        <f>if(countifs(Data!$A:$A,"="&amp;$A12,Data!S:S,"&gt;0")&gt;=$A$1,AVERAGEIF(Data!$A:$A,"="&amp;$A12,Data!S:S),"")</f>
        <v/>
      </c>
      <c r="R12" s="10" t="str">
        <f>if(countifs(Data!$A:$A,"="&amp;$A12,Data!T:T,"&gt;0")&gt;=$A$1,AVERAGEIF(Data!$A:$A,"="&amp;$A12,Data!T:T),"")</f>
        <v/>
      </c>
      <c r="S12" s="10" t="str">
        <f>if(countifs(Data!$A:$A,"="&amp;$A12,Data!U:U,"&gt;0")&gt;=$A$1,AVERAGEIF(Data!$A:$A,"="&amp;$A12,Data!U:U),"")</f>
        <v/>
      </c>
      <c r="T12" s="10" t="str">
        <f>if(countifs(Data!$A:$A,"="&amp;$A12,Data!V:V,"&gt;0")&gt;=$A$1,AVERAGEIF(Data!$A:$A,"="&amp;$A12,Data!V:V),"")</f>
        <v/>
      </c>
    </row>
    <row r="13">
      <c r="A13" s="1" t="s">
        <v>38</v>
      </c>
      <c r="B13" s="1">
        <f>countif(Data!A:A,"="&amp;A13)</f>
        <v>24</v>
      </c>
      <c r="C13" s="10">
        <f>if(countifs(Data!$A:$A,"="&amp;$A13,Data!E:E,"&gt;0")&gt;=$A$1,AVERAGEIF(Data!$A:$A,"="&amp;$A13,Data!E:E),"")</f>
        <v>2.166666667</v>
      </c>
      <c r="D13" s="10">
        <f>if(countifs(Data!$A:$A,"="&amp;$A13,Data!F:F,"&gt;0")&gt;=$A$1,AVERAGEIF(Data!$A:$A,"="&amp;$A13,Data!F:F),"")</f>
        <v>1.869565217</v>
      </c>
      <c r="E13" s="10" t="str">
        <f>if(countifs(Data!$A:$A,"="&amp;$A13,Data!G:G,"&gt;0")&gt;=$A$1,AVERAGEIF(Data!$A:$A,"="&amp;$A13,Data!G:G),"")</f>
        <v/>
      </c>
      <c r="F13" s="10">
        <f>if(countifs(Data!$A:$A,"="&amp;$A13,Data!H:H,"&gt;0")&gt;=$A$1,AVERAGEIF(Data!$A:$A,"="&amp;$A13,Data!H:H),"")</f>
        <v>1.772727273</v>
      </c>
      <c r="G13" s="10" t="str">
        <f>if(countifs(Data!$A:$A,"="&amp;$A13,Data!I:I,"&gt;0")&gt;=$A$1,AVERAGEIF(Data!$A:$A,"="&amp;$A13,Data!I:I),"")</f>
        <v/>
      </c>
      <c r="H13" s="10" t="str">
        <f>if(countifs(Data!$A:$A,"="&amp;$A13,Data!J:J,"&gt;0")&gt;=$A$1,AVERAGEIF(Data!$A:$A,"="&amp;$A13,Data!J:J),"")</f>
        <v/>
      </c>
      <c r="I13" s="10" t="str">
        <f>if(countifs(Data!$A:$A,"="&amp;$A13,Data!K:K,"&gt;0")&gt;=$A$1,AVERAGEIF(Data!$A:$A,"="&amp;$A13,Data!K:K),"")</f>
        <v/>
      </c>
      <c r="J13" s="10" t="str">
        <f>if(countifs(Data!$A:$A,"="&amp;$A13,Data!L:L,"&gt;0")&gt;=$A$1,AVERAGEIF(Data!$A:$A,"="&amp;$A13,Data!L:L),"")</f>
        <v/>
      </c>
      <c r="K13" s="10" t="str">
        <f>if(countifs(Data!$A:$A,"="&amp;$A13,Data!M:M,"&gt;0")&gt;=$A$1,AVERAGEIF(Data!$A:$A,"="&amp;$A13,Data!M:M),"")</f>
        <v/>
      </c>
      <c r="L13" s="10" t="str">
        <f>if(countifs(Data!$A:$A,"="&amp;$A13,Data!N:N,"&gt;0")&gt;=$A$1,AVERAGEIF(Data!$A:$A,"="&amp;$A13,Data!N:N),"")</f>
        <v/>
      </c>
      <c r="M13" s="10" t="str">
        <f>if(countifs(Data!$A:$A,"="&amp;$A13,Data!O:O,"&gt;0")&gt;=$A$1,AVERAGEIF(Data!$A:$A,"="&amp;$A13,Data!O:O),"")</f>
        <v/>
      </c>
      <c r="N13" s="10" t="str">
        <f>if(countifs(Data!$A:$A,"="&amp;$A13,Data!P:P,"&gt;0")&gt;=$A$1,AVERAGEIF(Data!$A:$A,"="&amp;$A13,Data!P:P),"")</f>
        <v/>
      </c>
      <c r="O13" s="10" t="str">
        <f>if(countifs(Data!$A:$A,"="&amp;$A13,Data!Q:Q,"&gt;0")&gt;=$A$1,AVERAGEIF(Data!$A:$A,"="&amp;$A13,Data!Q:Q),"")</f>
        <v/>
      </c>
      <c r="P13" s="10" t="str">
        <f>if(countifs(Data!$A:$A,"="&amp;$A13,Data!R:R,"&gt;0")&gt;=$A$1,AVERAGEIF(Data!$A:$A,"="&amp;$A13,Data!R:R),"")</f>
        <v/>
      </c>
      <c r="Q13" s="10" t="str">
        <f>if(countifs(Data!$A:$A,"="&amp;$A13,Data!S:S,"&gt;0")&gt;=$A$1,AVERAGEIF(Data!$A:$A,"="&amp;$A13,Data!S:S),"")</f>
        <v/>
      </c>
      <c r="R13" s="10" t="str">
        <f>if(countifs(Data!$A:$A,"="&amp;$A13,Data!T:T,"&gt;0")&gt;=$A$1,AVERAGEIF(Data!$A:$A,"="&amp;$A13,Data!T:T),"")</f>
        <v/>
      </c>
      <c r="S13" s="10" t="str">
        <f>if(countifs(Data!$A:$A,"="&amp;$A13,Data!U:U,"&gt;0")&gt;=$A$1,AVERAGEIF(Data!$A:$A,"="&amp;$A13,Data!U:U),"")</f>
        <v/>
      </c>
      <c r="T13" s="10" t="str">
        <f>if(countifs(Data!$A:$A,"="&amp;$A13,Data!V:V,"&gt;0")&gt;=$A$1,AVERAGEIF(Data!$A:$A,"="&amp;$A13,Data!V:V),"")</f>
        <v/>
      </c>
    </row>
    <row r="14">
      <c r="A14" s="1" t="s">
        <v>53</v>
      </c>
      <c r="B14" s="1">
        <f>countif(Data!A:A,"="&amp;A14)</f>
        <v>1</v>
      </c>
      <c r="C14" s="10" t="str">
        <f>if(countifs(Data!$A:$A,"="&amp;$A14,Data!E:E,"&gt;0")&gt;=$A$1,AVERAGEIF(Data!$A:$A,"="&amp;$A14,Data!E:E),"")</f>
        <v/>
      </c>
      <c r="D14" s="10" t="str">
        <f>if(countifs(Data!$A:$A,"="&amp;$A14,Data!F:F,"&gt;0")&gt;=$A$1,AVERAGEIF(Data!$A:$A,"="&amp;$A14,Data!F:F),"")</f>
        <v/>
      </c>
      <c r="E14" s="10" t="str">
        <f>if(countifs(Data!$A:$A,"="&amp;$A14,Data!G:G,"&gt;0")&gt;=$A$1,AVERAGEIF(Data!$A:$A,"="&amp;$A14,Data!G:G),"")</f>
        <v/>
      </c>
      <c r="F14" s="10" t="str">
        <f>if(countifs(Data!$A:$A,"="&amp;$A14,Data!H:H,"&gt;0")&gt;=$A$1,AVERAGEIF(Data!$A:$A,"="&amp;$A14,Data!H:H),"")</f>
        <v/>
      </c>
      <c r="G14" s="10" t="str">
        <f>if(countifs(Data!$A:$A,"="&amp;$A14,Data!I:I,"&gt;0")&gt;=$A$1,AVERAGEIF(Data!$A:$A,"="&amp;$A14,Data!I:I),"")</f>
        <v/>
      </c>
      <c r="H14" s="10" t="str">
        <f>if(countifs(Data!$A:$A,"="&amp;$A14,Data!J:J,"&gt;0")&gt;=$A$1,AVERAGEIF(Data!$A:$A,"="&amp;$A14,Data!J:J),"")</f>
        <v/>
      </c>
      <c r="I14" s="10" t="str">
        <f>if(countifs(Data!$A:$A,"="&amp;$A14,Data!K:K,"&gt;0")&gt;=$A$1,AVERAGEIF(Data!$A:$A,"="&amp;$A14,Data!K:K),"")</f>
        <v/>
      </c>
      <c r="J14" s="10" t="str">
        <f>if(countifs(Data!$A:$A,"="&amp;$A14,Data!L:L,"&gt;0")&gt;=$A$1,AVERAGEIF(Data!$A:$A,"="&amp;$A14,Data!L:L),"")</f>
        <v/>
      </c>
      <c r="K14" s="10" t="str">
        <f>if(countifs(Data!$A:$A,"="&amp;$A14,Data!M:M,"&gt;0")&gt;=$A$1,AVERAGEIF(Data!$A:$A,"="&amp;$A14,Data!M:M),"")</f>
        <v/>
      </c>
      <c r="L14" s="10" t="str">
        <f>if(countifs(Data!$A:$A,"="&amp;$A14,Data!N:N,"&gt;0")&gt;=$A$1,AVERAGEIF(Data!$A:$A,"="&amp;$A14,Data!N:N),"")</f>
        <v/>
      </c>
      <c r="M14" s="10" t="str">
        <f>if(countifs(Data!$A:$A,"="&amp;$A14,Data!O:O,"&gt;0")&gt;=$A$1,AVERAGEIF(Data!$A:$A,"="&amp;$A14,Data!O:O),"")</f>
        <v/>
      </c>
      <c r="N14" s="10" t="str">
        <f>if(countifs(Data!$A:$A,"="&amp;$A14,Data!P:P,"&gt;0")&gt;=$A$1,AVERAGEIF(Data!$A:$A,"="&amp;$A14,Data!P:P),"")</f>
        <v/>
      </c>
      <c r="O14" s="10" t="str">
        <f>if(countifs(Data!$A:$A,"="&amp;$A14,Data!Q:Q,"&gt;0")&gt;=$A$1,AVERAGEIF(Data!$A:$A,"="&amp;$A14,Data!Q:Q),"")</f>
        <v/>
      </c>
      <c r="P14" s="10" t="str">
        <f>if(countifs(Data!$A:$A,"="&amp;$A14,Data!R:R,"&gt;0")&gt;=$A$1,AVERAGEIF(Data!$A:$A,"="&amp;$A14,Data!R:R),"")</f>
        <v/>
      </c>
      <c r="Q14" s="10" t="str">
        <f>if(countifs(Data!$A:$A,"="&amp;$A14,Data!S:S,"&gt;0")&gt;=$A$1,AVERAGEIF(Data!$A:$A,"="&amp;$A14,Data!S:S),"")</f>
        <v/>
      </c>
      <c r="R14" s="10" t="str">
        <f>if(countifs(Data!$A:$A,"="&amp;$A14,Data!T:T,"&gt;0")&gt;=$A$1,AVERAGEIF(Data!$A:$A,"="&amp;$A14,Data!T:T),"")</f>
        <v/>
      </c>
      <c r="S14" s="10" t="str">
        <f>if(countifs(Data!$A:$A,"="&amp;$A14,Data!U:U,"&gt;0")&gt;=$A$1,AVERAGEIF(Data!$A:$A,"="&amp;$A14,Data!U:U),"")</f>
        <v/>
      </c>
      <c r="T14" s="10" t="str">
        <f>if(countifs(Data!$A:$A,"="&amp;$A14,Data!V:V,"&gt;0")&gt;=$A$1,AVERAGEIF(Data!$A:$A,"="&amp;$A14,Data!V:V),"")</f>
        <v/>
      </c>
    </row>
    <row r="15">
      <c r="A15" s="1" t="s">
        <v>54</v>
      </c>
      <c r="B15" s="1">
        <f>countif(Data!A:A,"="&amp;A15)</f>
        <v>5</v>
      </c>
      <c r="C15" s="10">
        <f>if(countifs(Data!$A:$A,"="&amp;$A15,Data!E:E,"&gt;0")&gt;=$A$1,AVERAGEIF(Data!$A:$A,"="&amp;$A15,Data!E:E),"")</f>
        <v>2</v>
      </c>
      <c r="D15" s="10">
        <f>if(countifs(Data!$A:$A,"="&amp;$A15,Data!F:F,"&gt;0")&gt;=$A$1,AVERAGEIF(Data!$A:$A,"="&amp;$A15,Data!F:F),"")</f>
        <v>1.6</v>
      </c>
      <c r="E15" s="10" t="str">
        <f>if(countifs(Data!$A:$A,"="&amp;$A15,Data!G:G,"&gt;0")&gt;=$A$1,AVERAGEIF(Data!$A:$A,"="&amp;$A15,Data!G:G),"")</f>
        <v/>
      </c>
      <c r="F15" s="10" t="str">
        <f>if(countifs(Data!$A:$A,"="&amp;$A15,Data!H:H,"&gt;0")&gt;=$A$1,AVERAGEIF(Data!$A:$A,"="&amp;$A15,Data!H:H),"")</f>
        <v/>
      </c>
      <c r="G15" s="10" t="str">
        <f>if(countifs(Data!$A:$A,"="&amp;$A15,Data!I:I,"&gt;0")&gt;=$A$1,AVERAGEIF(Data!$A:$A,"="&amp;$A15,Data!I:I),"")</f>
        <v/>
      </c>
      <c r="H15" s="10" t="str">
        <f>if(countifs(Data!$A:$A,"="&amp;$A15,Data!J:J,"&gt;0")&gt;=$A$1,AVERAGEIF(Data!$A:$A,"="&amp;$A15,Data!J:J),"")</f>
        <v/>
      </c>
      <c r="I15" s="10">
        <f>if(countifs(Data!$A:$A,"="&amp;$A15,Data!K:K,"&gt;0")&gt;=$A$1,AVERAGEIF(Data!$A:$A,"="&amp;$A15,Data!K:K),"")</f>
        <v>2.4</v>
      </c>
      <c r="J15" s="10" t="str">
        <f>if(countifs(Data!$A:$A,"="&amp;$A15,Data!L:L,"&gt;0")&gt;=$A$1,AVERAGEIF(Data!$A:$A,"="&amp;$A15,Data!L:L),"")</f>
        <v/>
      </c>
      <c r="K15" s="10" t="str">
        <f>if(countifs(Data!$A:$A,"="&amp;$A15,Data!M:M,"&gt;0")&gt;=$A$1,AVERAGEIF(Data!$A:$A,"="&amp;$A15,Data!M:M),"")</f>
        <v/>
      </c>
      <c r="L15" s="10" t="str">
        <f>if(countifs(Data!$A:$A,"="&amp;$A15,Data!N:N,"&gt;0")&gt;=$A$1,AVERAGEIF(Data!$A:$A,"="&amp;$A15,Data!N:N),"")</f>
        <v/>
      </c>
      <c r="M15" s="10" t="str">
        <f>if(countifs(Data!$A:$A,"="&amp;$A15,Data!O:O,"&gt;0")&gt;=$A$1,AVERAGEIF(Data!$A:$A,"="&amp;$A15,Data!O:O),"")</f>
        <v/>
      </c>
      <c r="N15" s="10" t="str">
        <f>if(countifs(Data!$A:$A,"="&amp;$A15,Data!P:P,"&gt;0")&gt;=$A$1,AVERAGEIF(Data!$A:$A,"="&amp;$A15,Data!P:P),"")</f>
        <v/>
      </c>
      <c r="O15" s="10" t="str">
        <f>if(countifs(Data!$A:$A,"="&amp;$A15,Data!Q:Q,"&gt;0")&gt;=$A$1,AVERAGEIF(Data!$A:$A,"="&amp;$A15,Data!Q:Q),"")</f>
        <v/>
      </c>
      <c r="P15" s="10" t="str">
        <f>if(countifs(Data!$A:$A,"="&amp;$A15,Data!R:R,"&gt;0")&gt;=$A$1,AVERAGEIF(Data!$A:$A,"="&amp;$A15,Data!R:R),"")</f>
        <v/>
      </c>
      <c r="Q15" s="10" t="str">
        <f>if(countifs(Data!$A:$A,"="&amp;$A15,Data!S:S,"&gt;0")&gt;=$A$1,AVERAGEIF(Data!$A:$A,"="&amp;$A15,Data!S:S),"")</f>
        <v/>
      </c>
      <c r="R15" s="10" t="str">
        <f>if(countifs(Data!$A:$A,"="&amp;$A15,Data!T:T,"&gt;0")&gt;=$A$1,AVERAGEIF(Data!$A:$A,"="&amp;$A15,Data!T:T),"")</f>
        <v/>
      </c>
      <c r="S15" s="10" t="str">
        <f>if(countifs(Data!$A:$A,"="&amp;$A15,Data!U:U,"&gt;0")&gt;=$A$1,AVERAGEIF(Data!$A:$A,"="&amp;$A15,Data!U:U),"")</f>
        <v/>
      </c>
      <c r="T15" s="10" t="str">
        <f>if(countifs(Data!$A:$A,"="&amp;$A15,Data!V:V,"&gt;0")&gt;=$A$1,AVERAGEIF(Data!$A:$A,"="&amp;$A15,Data!V:V),"")</f>
        <v/>
      </c>
    </row>
    <row r="16">
      <c r="A16" s="1" t="s">
        <v>61</v>
      </c>
      <c r="B16" s="1">
        <f>countif(Data!A:A,"="&amp;A16)</f>
        <v>18</v>
      </c>
      <c r="C16" s="10">
        <f>if(countifs(Data!$A:$A,"="&amp;$A16,Data!E:E,"&gt;0")&gt;=$A$1,AVERAGEIF(Data!$A:$A,"="&amp;$A16,Data!E:E),"")</f>
        <v>2.333333333</v>
      </c>
      <c r="D16" s="10">
        <f>if(countifs(Data!$A:$A,"="&amp;$A16,Data!F:F,"&gt;0")&gt;=$A$1,AVERAGEIF(Data!$A:$A,"="&amp;$A16,Data!F:F),"")</f>
        <v>1.647058824</v>
      </c>
      <c r="E16" s="10">
        <f>if(countifs(Data!$A:$A,"="&amp;$A16,Data!G:G,"&gt;0")&gt;=$A$1,AVERAGEIF(Data!$A:$A,"="&amp;$A16,Data!G:G),"")</f>
        <v>2.615384615</v>
      </c>
      <c r="F16" s="10">
        <f>if(countifs(Data!$A:$A,"="&amp;$A16,Data!H:H,"&gt;0")&gt;=$A$1,AVERAGEIF(Data!$A:$A,"="&amp;$A16,Data!H:H),"")</f>
        <v>2.25</v>
      </c>
      <c r="G16" s="10" t="str">
        <f>if(countifs(Data!$A:$A,"="&amp;$A16,Data!I:I,"&gt;0")&gt;=$A$1,AVERAGEIF(Data!$A:$A,"="&amp;$A16,Data!I:I),"")</f>
        <v/>
      </c>
      <c r="H16" s="10" t="str">
        <f>if(countifs(Data!$A:$A,"="&amp;$A16,Data!J:J,"&gt;0")&gt;=$A$1,AVERAGEIF(Data!$A:$A,"="&amp;$A16,Data!J:J),"")</f>
        <v/>
      </c>
      <c r="I16" s="10" t="str">
        <f>if(countifs(Data!$A:$A,"="&amp;$A16,Data!K:K,"&gt;0")&gt;=$A$1,AVERAGEIF(Data!$A:$A,"="&amp;$A16,Data!K:K),"")</f>
        <v/>
      </c>
      <c r="J16" s="10" t="str">
        <f>if(countifs(Data!$A:$A,"="&amp;$A16,Data!L:L,"&gt;0")&gt;=$A$1,AVERAGEIF(Data!$A:$A,"="&amp;$A16,Data!L:L),"")</f>
        <v/>
      </c>
      <c r="K16" s="10" t="str">
        <f>if(countifs(Data!$A:$A,"="&amp;$A16,Data!M:M,"&gt;0")&gt;=$A$1,AVERAGEIF(Data!$A:$A,"="&amp;$A16,Data!M:M),"")</f>
        <v/>
      </c>
      <c r="L16" s="10" t="str">
        <f>if(countifs(Data!$A:$A,"="&amp;$A16,Data!N:N,"&gt;0")&gt;=$A$1,AVERAGEIF(Data!$A:$A,"="&amp;$A16,Data!N:N),"")</f>
        <v/>
      </c>
      <c r="M16" s="10" t="str">
        <f>if(countifs(Data!$A:$A,"="&amp;$A16,Data!O:O,"&gt;0")&gt;=$A$1,AVERAGEIF(Data!$A:$A,"="&amp;$A16,Data!O:O),"")</f>
        <v/>
      </c>
      <c r="N16" s="10" t="str">
        <f>if(countifs(Data!$A:$A,"="&amp;$A16,Data!P:P,"&gt;0")&gt;=$A$1,AVERAGEIF(Data!$A:$A,"="&amp;$A16,Data!P:P),"")</f>
        <v/>
      </c>
      <c r="O16" s="10" t="str">
        <f>if(countifs(Data!$A:$A,"="&amp;$A16,Data!Q:Q,"&gt;0")&gt;=$A$1,AVERAGEIF(Data!$A:$A,"="&amp;$A16,Data!Q:Q),"")</f>
        <v/>
      </c>
      <c r="P16" s="10" t="str">
        <f>if(countifs(Data!$A:$A,"="&amp;$A16,Data!R:R,"&gt;0")&gt;=$A$1,AVERAGEIF(Data!$A:$A,"="&amp;$A16,Data!R:R),"")</f>
        <v/>
      </c>
      <c r="Q16" s="10" t="str">
        <f>if(countifs(Data!$A:$A,"="&amp;$A16,Data!S:S,"&gt;0")&gt;=$A$1,AVERAGEIF(Data!$A:$A,"="&amp;$A16,Data!S:S),"")</f>
        <v/>
      </c>
      <c r="R16" s="10" t="str">
        <f>if(countifs(Data!$A:$A,"="&amp;$A16,Data!T:T,"&gt;0")&gt;=$A$1,AVERAGEIF(Data!$A:$A,"="&amp;$A16,Data!T:T),"")</f>
        <v/>
      </c>
      <c r="S16" s="10" t="str">
        <f>if(countifs(Data!$A:$A,"="&amp;$A16,Data!U:U,"&gt;0")&gt;=$A$1,AVERAGEIF(Data!$A:$A,"="&amp;$A16,Data!U:U),"")</f>
        <v/>
      </c>
      <c r="T16" s="10">
        <f>if(countifs(Data!$A:$A,"="&amp;$A16,Data!V:V,"&gt;0")&gt;=$A$1,AVERAGEIF(Data!$A:$A,"="&amp;$A16,Data!V:V),"")</f>
        <v>3.166666667</v>
      </c>
    </row>
    <row r="17">
      <c r="A17" s="1" t="s">
        <v>62</v>
      </c>
      <c r="B17" s="1">
        <f>countif(Data!A:A,"="&amp;A17)</f>
        <v>29</v>
      </c>
      <c r="C17" s="10">
        <f>if(countifs(Data!$A:$A,"="&amp;$A17,Data!E:E,"&gt;0")&gt;=$A$1,AVERAGEIF(Data!$A:$A,"="&amp;$A17,Data!E:E),"")</f>
        <v>2.275862069</v>
      </c>
      <c r="D17" s="10">
        <f>if(countifs(Data!$A:$A,"="&amp;$A17,Data!F:F,"&gt;0")&gt;=$A$1,AVERAGEIF(Data!$A:$A,"="&amp;$A17,Data!F:F),"")</f>
        <v>1.931034483</v>
      </c>
      <c r="E17" s="10" t="str">
        <f>if(countifs(Data!$A:$A,"="&amp;$A17,Data!G:G,"&gt;0")&gt;=$A$1,AVERAGEIF(Data!$A:$A,"="&amp;$A17,Data!G:G),"")</f>
        <v/>
      </c>
      <c r="F17" s="10">
        <f>if(countifs(Data!$A:$A,"="&amp;$A17,Data!H:H,"&gt;0")&gt;=$A$1,AVERAGEIF(Data!$A:$A,"="&amp;$A17,Data!H:H),"")</f>
        <v>1.904761905</v>
      </c>
      <c r="G17" s="10" t="str">
        <f>if(countifs(Data!$A:$A,"="&amp;$A17,Data!I:I,"&gt;0")&gt;=$A$1,AVERAGEIF(Data!$A:$A,"="&amp;$A17,Data!I:I),"")</f>
        <v/>
      </c>
      <c r="H17" s="10" t="str">
        <f>if(countifs(Data!$A:$A,"="&amp;$A17,Data!J:J,"&gt;0")&gt;=$A$1,AVERAGEIF(Data!$A:$A,"="&amp;$A17,Data!J:J),"")</f>
        <v/>
      </c>
      <c r="I17" s="10" t="str">
        <f>if(countifs(Data!$A:$A,"="&amp;$A17,Data!K:K,"&gt;0")&gt;=$A$1,AVERAGEIF(Data!$A:$A,"="&amp;$A17,Data!K:K),"")</f>
        <v/>
      </c>
      <c r="J17" s="10" t="str">
        <f>if(countifs(Data!$A:$A,"="&amp;$A17,Data!L:L,"&gt;0")&gt;=$A$1,AVERAGEIF(Data!$A:$A,"="&amp;$A17,Data!L:L),"")</f>
        <v/>
      </c>
      <c r="K17" s="10" t="str">
        <f>if(countifs(Data!$A:$A,"="&amp;$A17,Data!M:M,"&gt;0")&gt;=$A$1,AVERAGEIF(Data!$A:$A,"="&amp;$A17,Data!M:M),"")</f>
        <v/>
      </c>
      <c r="L17" s="10" t="str">
        <f>if(countifs(Data!$A:$A,"="&amp;$A17,Data!N:N,"&gt;0")&gt;=$A$1,AVERAGEIF(Data!$A:$A,"="&amp;$A17,Data!N:N),"")</f>
        <v/>
      </c>
      <c r="M17" s="10" t="str">
        <f>if(countifs(Data!$A:$A,"="&amp;$A17,Data!O:O,"&gt;0")&gt;=$A$1,AVERAGEIF(Data!$A:$A,"="&amp;$A17,Data!O:O),"")</f>
        <v/>
      </c>
      <c r="N17" s="10" t="str">
        <f>if(countifs(Data!$A:$A,"="&amp;$A17,Data!P:P,"&gt;0")&gt;=$A$1,AVERAGEIF(Data!$A:$A,"="&amp;$A17,Data!P:P),"")</f>
        <v/>
      </c>
      <c r="O17" s="10" t="str">
        <f>if(countifs(Data!$A:$A,"="&amp;$A17,Data!Q:Q,"&gt;0")&gt;=$A$1,AVERAGEIF(Data!$A:$A,"="&amp;$A17,Data!Q:Q),"")</f>
        <v/>
      </c>
      <c r="P17" s="10" t="str">
        <f>if(countifs(Data!$A:$A,"="&amp;$A17,Data!R:R,"&gt;0")&gt;=$A$1,AVERAGEIF(Data!$A:$A,"="&amp;$A17,Data!R:R),"")</f>
        <v/>
      </c>
      <c r="Q17" s="10" t="str">
        <f>if(countifs(Data!$A:$A,"="&amp;$A17,Data!S:S,"&gt;0")&gt;=$A$1,AVERAGEIF(Data!$A:$A,"="&amp;$A17,Data!S:S),"")</f>
        <v/>
      </c>
      <c r="R17" s="10" t="str">
        <f>if(countifs(Data!$A:$A,"="&amp;$A17,Data!T:T,"&gt;0")&gt;=$A$1,AVERAGEIF(Data!$A:$A,"="&amp;$A17,Data!T:T),"")</f>
        <v/>
      </c>
      <c r="S17" s="10" t="str">
        <f>if(countifs(Data!$A:$A,"="&amp;$A17,Data!U:U,"&gt;0")&gt;=$A$1,AVERAGEIF(Data!$A:$A,"="&amp;$A17,Data!U:U),"")</f>
        <v/>
      </c>
      <c r="T17" s="10" t="str">
        <f>if(countifs(Data!$A:$A,"="&amp;$A17,Data!V:V,"&gt;0")&gt;=$A$1,AVERAGEIF(Data!$A:$A,"="&amp;$A17,Data!V:V),"")</f>
        <v/>
      </c>
    </row>
    <row r="18">
      <c r="A18" s="1" t="s">
        <v>68</v>
      </c>
      <c r="B18" s="1">
        <f>countif(Data!A:A,"="&amp;A18)</f>
        <v>9</v>
      </c>
      <c r="C18" s="10">
        <f>if(countifs(Data!$A:$A,"="&amp;$A18,Data!E:E,"&gt;0")&gt;=$A$1,AVERAGEIF(Data!$A:$A,"="&amp;$A18,Data!E:E),"")</f>
        <v>2.444444444</v>
      </c>
      <c r="D18" s="10">
        <f>if(countifs(Data!$A:$A,"="&amp;$A18,Data!F:F,"&gt;0")&gt;=$A$1,AVERAGEIF(Data!$A:$A,"="&amp;$A18,Data!F:F),"")</f>
        <v>1.777777778</v>
      </c>
      <c r="E18" s="10" t="str">
        <f>if(countifs(Data!$A:$A,"="&amp;$A18,Data!G:G,"&gt;0")&gt;=$A$1,AVERAGEIF(Data!$A:$A,"="&amp;$A18,Data!G:G),"")</f>
        <v/>
      </c>
      <c r="F18" s="10">
        <f>if(countifs(Data!$A:$A,"="&amp;$A18,Data!H:H,"&gt;0")&gt;=$A$1,AVERAGEIF(Data!$A:$A,"="&amp;$A18,Data!H:H),"")</f>
        <v>1.875</v>
      </c>
      <c r="G18" s="10" t="str">
        <f>if(countifs(Data!$A:$A,"="&amp;$A18,Data!I:I,"&gt;0")&gt;=$A$1,AVERAGEIF(Data!$A:$A,"="&amp;$A18,Data!I:I),"")</f>
        <v/>
      </c>
      <c r="H18" s="10" t="str">
        <f>if(countifs(Data!$A:$A,"="&amp;$A18,Data!J:J,"&gt;0")&gt;=$A$1,AVERAGEIF(Data!$A:$A,"="&amp;$A18,Data!J:J),"")</f>
        <v/>
      </c>
      <c r="I18" s="10" t="str">
        <f>if(countifs(Data!$A:$A,"="&amp;$A18,Data!K:K,"&gt;0")&gt;=$A$1,AVERAGEIF(Data!$A:$A,"="&amp;$A18,Data!K:K),"")</f>
        <v/>
      </c>
      <c r="J18" s="10" t="str">
        <f>if(countifs(Data!$A:$A,"="&amp;$A18,Data!L:L,"&gt;0")&gt;=$A$1,AVERAGEIF(Data!$A:$A,"="&amp;$A18,Data!L:L),"")</f>
        <v/>
      </c>
      <c r="K18" s="10" t="str">
        <f>if(countifs(Data!$A:$A,"="&amp;$A18,Data!M:M,"&gt;0")&gt;=$A$1,AVERAGEIF(Data!$A:$A,"="&amp;$A18,Data!M:M),"")</f>
        <v/>
      </c>
      <c r="L18" s="10" t="str">
        <f>if(countifs(Data!$A:$A,"="&amp;$A18,Data!N:N,"&gt;0")&gt;=$A$1,AVERAGEIF(Data!$A:$A,"="&amp;$A18,Data!N:N),"")</f>
        <v/>
      </c>
      <c r="M18" s="10" t="str">
        <f>if(countifs(Data!$A:$A,"="&amp;$A18,Data!O:O,"&gt;0")&gt;=$A$1,AVERAGEIF(Data!$A:$A,"="&amp;$A18,Data!O:O),"")</f>
        <v/>
      </c>
      <c r="N18" s="10" t="str">
        <f>if(countifs(Data!$A:$A,"="&amp;$A18,Data!P:P,"&gt;0")&gt;=$A$1,AVERAGEIF(Data!$A:$A,"="&amp;$A18,Data!P:P),"")</f>
        <v/>
      </c>
      <c r="O18" s="10" t="str">
        <f>if(countifs(Data!$A:$A,"="&amp;$A18,Data!Q:Q,"&gt;0")&gt;=$A$1,AVERAGEIF(Data!$A:$A,"="&amp;$A18,Data!Q:Q),"")</f>
        <v/>
      </c>
      <c r="P18" s="10" t="str">
        <f>if(countifs(Data!$A:$A,"="&amp;$A18,Data!R:R,"&gt;0")&gt;=$A$1,AVERAGEIF(Data!$A:$A,"="&amp;$A18,Data!R:R),"")</f>
        <v/>
      </c>
      <c r="Q18" s="10" t="str">
        <f>if(countifs(Data!$A:$A,"="&amp;$A18,Data!S:S,"&gt;0")&gt;=$A$1,AVERAGEIF(Data!$A:$A,"="&amp;$A18,Data!S:S),"")</f>
        <v/>
      </c>
      <c r="R18" s="10" t="str">
        <f>if(countifs(Data!$A:$A,"="&amp;$A18,Data!T:T,"&gt;0")&gt;=$A$1,AVERAGEIF(Data!$A:$A,"="&amp;$A18,Data!T:T),"")</f>
        <v/>
      </c>
      <c r="S18" s="10" t="str">
        <f>if(countifs(Data!$A:$A,"="&amp;$A18,Data!U:U,"&gt;0")&gt;=$A$1,AVERAGEIF(Data!$A:$A,"="&amp;$A18,Data!U:U),"")</f>
        <v/>
      </c>
      <c r="T18" s="10" t="str">
        <f>if(countifs(Data!$A:$A,"="&amp;$A18,Data!V:V,"&gt;0")&gt;=$A$1,AVERAGEIF(Data!$A:$A,"="&amp;$A18,Data!V:V),"")</f>
        <v/>
      </c>
    </row>
    <row r="19">
      <c r="A19" s="1" t="s">
        <v>71</v>
      </c>
      <c r="B19" s="1">
        <f>countif(Data!A:A,"="&amp;A19)</f>
        <v>19</v>
      </c>
      <c r="C19" s="10">
        <f>if(countifs(Data!$A:$A,"="&amp;$A19,Data!E:E,"&gt;0")&gt;=$A$1,AVERAGEIF(Data!$A:$A,"="&amp;$A19,Data!E:E),"")</f>
        <v>2.421052632</v>
      </c>
      <c r="D19" s="10">
        <f>if(countifs(Data!$A:$A,"="&amp;$A19,Data!F:F,"&gt;0")&gt;=$A$1,AVERAGEIF(Data!$A:$A,"="&amp;$A19,Data!F:F),"")</f>
        <v>2.055555556</v>
      </c>
      <c r="E19" s="10" t="str">
        <f>if(countifs(Data!$A:$A,"="&amp;$A19,Data!G:G,"&gt;0")&gt;=$A$1,AVERAGEIF(Data!$A:$A,"="&amp;$A19,Data!G:G),"")</f>
        <v/>
      </c>
      <c r="F19" s="10">
        <f>if(countifs(Data!$A:$A,"="&amp;$A19,Data!H:H,"&gt;0")&gt;=$A$1,AVERAGEIF(Data!$A:$A,"="&amp;$A19,Data!H:H),"")</f>
        <v>2.277777778</v>
      </c>
      <c r="G19" s="10" t="str">
        <f>if(countifs(Data!$A:$A,"="&amp;$A19,Data!I:I,"&gt;0")&gt;=$A$1,AVERAGEIF(Data!$A:$A,"="&amp;$A19,Data!I:I),"")</f>
        <v/>
      </c>
      <c r="H19" s="10" t="str">
        <f>if(countifs(Data!$A:$A,"="&amp;$A19,Data!J:J,"&gt;0")&gt;=$A$1,AVERAGEIF(Data!$A:$A,"="&amp;$A19,Data!J:J),"")</f>
        <v/>
      </c>
      <c r="I19" s="10" t="str">
        <f>if(countifs(Data!$A:$A,"="&amp;$A19,Data!K:K,"&gt;0")&gt;=$A$1,AVERAGEIF(Data!$A:$A,"="&amp;$A19,Data!K:K),"")</f>
        <v/>
      </c>
      <c r="J19" s="10" t="str">
        <f>if(countifs(Data!$A:$A,"="&amp;$A19,Data!L:L,"&gt;0")&gt;=$A$1,AVERAGEIF(Data!$A:$A,"="&amp;$A19,Data!L:L),"")</f>
        <v/>
      </c>
      <c r="K19" s="10" t="str">
        <f>if(countifs(Data!$A:$A,"="&amp;$A19,Data!M:M,"&gt;0")&gt;=$A$1,AVERAGEIF(Data!$A:$A,"="&amp;$A19,Data!M:M),"")</f>
        <v/>
      </c>
      <c r="L19" s="10" t="str">
        <f>if(countifs(Data!$A:$A,"="&amp;$A19,Data!N:N,"&gt;0")&gt;=$A$1,AVERAGEIF(Data!$A:$A,"="&amp;$A19,Data!N:N),"")</f>
        <v/>
      </c>
      <c r="M19" s="10" t="str">
        <f>if(countifs(Data!$A:$A,"="&amp;$A19,Data!O:O,"&gt;0")&gt;=$A$1,AVERAGEIF(Data!$A:$A,"="&amp;$A19,Data!O:O),"")</f>
        <v/>
      </c>
      <c r="N19" s="10" t="str">
        <f>if(countifs(Data!$A:$A,"="&amp;$A19,Data!P:P,"&gt;0")&gt;=$A$1,AVERAGEIF(Data!$A:$A,"="&amp;$A19,Data!P:P),"")</f>
        <v/>
      </c>
      <c r="O19" s="10" t="str">
        <f>if(countifs(Data!$A:$A,"="&amp;$A19,Data!Q:Q,"&gt;0")&gt;=$A$1,AVERAGEIF(Data!$A:$A,"="&amp;$A19,Data!Q:Q),"")</f>
        <v/>
      </c>
      <c r="P19" s="10" t="str">
        <f>if(countifs(Data!$A:$A,"="&amp;$A19,Data!R:R,"&gt;0")&gt;=$A$1,AVERAGEIF(Data!$A:$A,"="&amp;$A19,Data!R:R),"")</f>
        <v/>
      </c>
      <c r="Q19" s="10" t="str">
        <f>if(countifs(Data!$A:$A,"="&amp;$A19,Data!S:S,"&gt;0")&gt;=$A$1,AVERAGEIF(Data!$A:$A,"="&amp;$A19,Data!S:S),"")</f>
        <v/>
      </c>
      <c r="R19" s="10" t="str">
        <f>if(countifs(Data!$A:$A,"="&amp;$A19,Data!T:T,"&gt;0")&gt;=$A$1,AVERAGEIF(Data!$A:$A,"="&amp;$A19,Data!T:T),"")</f>
        <v/>
      </c>
      <c r="S19" s="10" t="str">
        <f>if(countifs(Data!$A:$A,"="&amp;$A19,Data!U:U,"&gt;0")&gt;=$A$1,AVERAGEIF(Data!$A:$A,"="&amp;$A19,Data!U:U),"")</f>
        <v/>
      </c>
      <c r="T19" s="10" t="str">
        <f>if(countifs(Data!$A:$A,"="&amp;$A19,Data!V:V,"&gt;0")&gt;=$A$1,AVERAGEIF(Data!$A:$A,"="&amp;$A19,Data!V:V),"")</f>
        <v/>
      </c>
    </row>
    <row r="20">
      <c r="A20" s="1" t="s">
        <v>72</v>
      </c>
      <c r="B20" s="1">
        <f>countif(Data!A:A,"="&amp;A20)</f>
        <v>1</v>
      </c>
      <c r="C20" s="10" t="str">
        <f>if(countifs(Data!$A:$A,"="&amp;$A20,Data!E:E,"&gt;0")&gt;=$A$1,AVERAGEIF(Data!$A:$A,"="&amp;$A20,Data!E:E),"")</f>
        <v/>
      </c>
      <c r="D20" s="10" t="str">
        <f>if(countifs(Data!$A:$A,"="&amp;$A20,Data!F:F,"&gt;0")&gt;=$A$1,AVERAGEIF(Data!$A:$A,"="&amp;$A20,Data!F:F),"")</f>
        <v/>
      </c>
      <c r="E20" s="10" t="str">
        <f>if(countifs(Data!$A:$A,"="&amp;$A20,Data!G:G,"&gt;0")&gt;=$A$1,AVERAGEIF(Data!$A:$A,"="&amp;$A20,Data!G:G),"")</f>
        <v/>
      </c>
      <c r="F20" s="10" t="str">
        <f>if(countifs(Data!$A:$A,"="&amp;$A20,Data!H:H,"&gt;0")&gt;=$A$1,AVERAGEIF(Data!$A:$A,"="&amp;$A20,Data!H:H),"")</f>
        <v/>
      </c>
      <c r="G20" s="10" t="str">
        <f>if(countifs(Data!$A:$A,"="&amp;$A20,Data!I:I,"&gt;0")&gt;=$A$1,AVERAGEIF(Data!$A:$A,"="&amp;$A20,Data!I:I),"")</f>
        <v/>
      </c>
      <c r="H20" s="10" t="str">
        <f>if(countifs(Data!$A:$A,"="&amp;$A20,Data!J:J,"&gt;0")&gt;=$A$1,AVERAGEIF(Data!$A:$A,"="&amp;$A20,Data!J:J),"")</f>
        <v/>
      </c>
      <c r="I20" s="10" t="str">
        <f>if(countifs(Data!$A:$A,"="&amp;$A20,Data!K:K,"&gt;0")&gt;=$A$1,AVERAGEIF(Data!$A:$A,"="&amp;$A20,Data!K:K),"")</f>
        <v/>
      </c>
      <c r="J20" s="10" t="str">
        <f>if(countifs(Data!$A:$A,"="&amp;$A20,Data!L:L,"&gt;0")&gt;=$A$1,AVERAGEIF(Data!$A:$A,"="&amp;$A20,Data!L:L),"")</f>
        <v/>
      </c>
      <c r="K20" s="10" t="str">
        <f>if(countifs(Data!$A:$A,"="&amp;$A20,Data!M:M,"&gt;0")&gt;=$A$1,AVERAGEIF(Data!$A:$A,"="&amp;$A20,Data!M:M),"")</f>
        <v/>
      </c>
      <c r="L20" s="10" t="str">
        <f>if(countifs(Data!$A:$A,"="&amp;$A20,Data!N:N,"&gt;0")&gt;=$A$1,AVERAGEIF(Data!$A:$A,"="&amp;$A20,Data!N:N),"")</f>
        <v/>
      </c>
      <c r="M20" s="10" t="str">
        <f>if(countifs(Data!$A:$A,"="&amp;$A20,Data!O:O,"&gt;0")&gt;=$A$1,AVERAGEIF(Data!$A:$A,"="&amp;$A20,Data!O:O),"")</f>
        <v/>
      </c>
      <c r="N20" s="10" t="str">
        <f>if(countifs(Data!$A:$A,"="&amp;$A20,Data!P:P,"&gt;0")&gt;=$A$1,AVERAGEIF(Data!$A:$A,"="&amp;$A20,Data!P:P),"")</f>
        <v/>
      </c>
      <c r="O20" s="10" t="str">
        <f>if(countifs(Data!$A:$A,"="&amp;$A20,Data!Q:Q,"&gt;0")&gt;=$A$1,AVERAGEIF(Data!$A:$A,"="&amp;$A20,Data!Q:Q),"")</f>
        <v/>
      </c>
      <c r="P20" s="10" t="str">
        <f>if(countifs(Data!$A:$A,"="&amp;$A20,Data!R:R,"&gt;0")&gt;=$A$1,AVERAGEIF(Data!$A:$A,"="&amp;$A20,Data!R:R),"")</f>
        <v/>
      </c>
      <c r="Q20" s="10" t="str">
        <f>if(countifs(Data!$A:$A,"="&amp;$A20,Data!S:S,"&gt;0")&gt;=$A$1,AVERAGEIF(Data!$A:$A,"="&amp;$A20,Data!S:S),"")</f>
        <v/>
      </c>
      <c r="R20" s="10" t="str">
        <f>if(countifs(Data!$A:$A,"="&amp;$A20,Data!T:T,"&gt;0")&gt;=$A$1,AVERAGEIF(Data!$A:$A,"="&amp;$A20,Data!T:T),"")</f>
        <v/>
      </c>
      <c r="S20" s="10" t="str">
        <f>if(countifs(Data!$A:$A,"="&amp;$A20,Data!U:U,"&gt;0")&gt;=$A$1,AVERAGEIF(Data!$A:$A,"="&amp;$A20,Data!U:U),"")</f>
        <v/>
      </c>
      <c r="T20" s="10" t="str">
        <f>if(countifs(Data!$A:$A,"="&amp;$A20,Data!V:V,"&gt;0")&gt;=$A$1,AVERAGEIF(Data!$A:$A,"="&amp;$A20,Data!V:V),"")</f>
        <v/>
      </c>
    </row>
    <row r="21">
      <c r="A21" s="1" t="s">
        <v>80</v>
      </c>
      <c r="B21" s="1">
        <f>countif(Data!A:A,"="&amp;A21)</f>
        <v>10</v>
      </c>
      <c r="C21" s="10">
        <f>if(countifs(Data!$A:$A,"="&amp;$A21,Data!E:E,"&gt;0")&gt;=$A$1,AVERAGEIF(Data!$A:$A,"="&amp;$A21,Data!E:E),"")</f>
        <v>2.5</v>
      </c>
      <c r="D21" s="10">
        <f>if(countifs(Data!$A:$A,"="&amp;$A21,Data!F:F,"&gt;0")&gt;=$A$1,AVERAGEIF(Data!$A:$A,"="&amp;$A21,Data!F:F),"")</f>
        <v>2</v>
      </c>
      <c r="E21" s="10" t="str">
        <f>if(countifs(Data!$A:$A,"="&amp;$A21,Data!G:G,"&gt;0")&gt;=$A$1,AVERAGEIF(Data!$A:$A,"="&amp;$A21,Data!G:G),"")</f>
        <v/>
      </c>
      <c r="F21" s="10">
        <f>if(countifs(Data!$A:$A,"="&amp;$A21,Data!H:H,"&gt;0")&gt;=$A$1,AVERAGEIF(Data!$A:$A,"="&amp;$A21,Data!H:H),"")</f>
        <v>2.125</v>
      </c>
      <c r="G21" s="10" t="str">
        <f>if(countifs(Data!$A:$A,"="&amp;$A21,Data!I:I,"&gt;0")&gt;=$A$1,AVERAGEIF(Data!$A:$A,"="&amp;$A21,Data!I:I),"")</f>
        <v/>
      </c>
      <c r="H21" s="10" t="str">
        <f>if(countifs(Data!$A:$A,"="&amp;$A21,Data!J:J,"&gt;0")&gt;=$A$1,AVERAGEIF(Data!$A:$A,"="&amp;$A21,Data!J:J),"")</f>
        <v/>
      </c>
      <c r="I21" s="10" t="str">
        <f>if(countifs(Data!$A:$A,"="&amp;$A21,Data!K:K,"&gt;0")&gt;=$A$1,AVERAGEIF(Data!$A:$A,"="&amp;$A21,Data!K:K),"")</f>
        <v/>
      </c>
      <c r="J21" s="10" t="str">
        <f>if(countifs(Data!$A:$A,"="&amp;$A21,Data!L:L,"&gt;0")&gt;=$A$1,AVERAGEIF(Data!$A:$A,"="&amp;$A21,Data!L:L),"")</f>
        <v/>
      </c>
      <c r="K21" s="10" t="str">
        <f>if(countifs(Data!$A:$A,"="&amp;$A21,Data!M:M,"&gt;0")&gt;=$A$1,AVERAGEIF(Data!$A:$A,"="&amp;$A21,Data!M:M),"")</f>
        <v/>
      </c>
      <c r="L21" s="10" t="str">
        <f>if(countifs(Data!$A:$A,"="&amp;$A21,Data!N:N,"&gt;0")&gt;=$A$1,AVERAGEIF(Data!$A:$A,"="&amp;$A21,Data!N:N),"")</f>
        <v/>
      </c>
      <c r="M21" s="10" t="str">
        <f>if(countifs(Data!$A:$A,"="&amp;$A21,Data!O:O,"&gt;0")&gt;=$A$1,AVERAGEIF(Data!$A:$A,"="&amp;$A21,Data!O:O),"")</f>
        <v/>
      </c>
      <c r="N21" s="10" t="str">
        <f>if(countifs(Data!$A:$A,"="&amp;$A21,Data!P:P,"&gt;0")&gt;=$A$1,AVERAGEIF(Data!$A:$A,"="&amp;$A21,Data!P:P),"")</f>
        <v/>
      </c>
      <c r="O21" s="10" t="str">
        <f>if(countifs(Data!$A:$A,"="&amp;$A21,Data!Q:Q,"&gt;0")&gt;=$A$1,AVERAGEIF(Data!$A:$A,"="&amp;$A21,Data!Q:Q),"")</f>
        <v/>
      </c>
      <c r="P21" s="10" t="str">
        <f>if(countifs(Data!$A:$A,"="&amp;$A21,Data!R:R,"&gt;0")&gt;=$A$1,AVERAGEIF(Data!$A:$A,"="&amp;$A21,Data!R:R),"")</f>
        <v/>
      </c>
      <c r="Q21" s="10" t="str">
        <f>if(countifs(Data!$A:$A,"="&amp;$A21,Data!S:S,"&gt;0")&gt;=$A$1,AVERAGEIF(Data!$A:$A,"="&amp;$A21,Data!S:S),"")</f>
        <v/>
      </c>
      <c r="R21" s="10" t="str">
        <f>if(countifs(Data!$A:$A,"="&amp;$A21,Data!T:T,"&gt;0")&gt;=$A$1,AVERAGEIF(Data!$A:$A,"="&amp;$A21,Data!T:T),"")</f>
        <v/>
      </c>
      <c r="S21" s="10" t="str">
        <f>if(countifs(Data!$A:$A,"="&amp;$A21,Data!U:U,"&gt;0")&gt;=$A$1,AVERAGEIF(Data!$A:$A,"="&amp;$A21,Data!U:U),"")</f>
        <v/>
      </c>
      <c r="T21" s="10">
        <f>if(countifs(Data!$A:$A,"="&amp;$A21,Data!V:V,"&gt;0")&gt;=$A$1,AVERAGEIF(Data!$A:$A,"="&amp;$A21,Data!V:V),"")</f>
        <v>2.8</v>
      </c>
    </row>
    <row r="22">
      <c r="A22" s="1" t="s">
        <v>74</v>
      </c>
      <c r="B22" s="1">
        <f>countif(Data!A:A,"="&amp;A22)</f>
        <v>5</v>
      </c>
      <c r="C22" s="10">
        <f>if(countifs(Data!$A:$A,"="&amp;$A22,Data!E:E,"&gt;0")&gt;=$A$1,AVERAGEIF(Data!$A:$A,"="&amp;$A22,Data!E:E),"")</f>
        <v>2.6</v>
      </c>
      <c r="D22" s="10">
        <f>if(countifs(Data!$A:$A,"="&amp;$A22,Data!F:F,"&gt;0")&gt;=$A$1,AVERAGEIF(Data!$A:$A,"="&amp;$A22,Data!F:F),"")</f>
        <v>1.2</v>
      </c>
      <c r="E22" s="10" t="str">
        <f>if(countifs(Data!$A:$A,"="&amp;$A22,Data!G:G,"&gt;0")&gt;=$A$1,AVERAGEIF(Data!$A:$A,"="&amp;$A22,Data!G:G),"")</f>
        <v/>
      </c>
      <c r="F22" s="10">
        <f>if(countifs(Data!$A:$A,"="&amp;$A22,Data!H:H,"&gt;0")&gt;=$A$1,AVERAGEIF(Data!$A:$A,"="&amp;$A22,Data!H:H),"")</f>
        <v>2.2</v>
      </c>
      <c r="G22" s="10" t="str">
        <f>if(countifs(Data!$A:$A,"="&amp;$A22,Data!I:I,"&gt;0")&gt;=$A$1,AVERAGEIF(Data!$A:$A,"="&amp;$A22,Data!I:I),"")</f>
        <v/>
      </c>
      <c r="H22" s="10" t="str">
        <f>if(countifs(Data!$A:$A,"="&amp;$A22,Data!J:J,"&gt;0")&gt;=$A$1,AVERAGEIF(Data!$A:$A,"="&amp;$A22,Data!J:J),"")</f>
        <v/>
      </c>
      <c r="I22" s="10" t="str">
        <f>if(countifs(Data!$A:$A,"="&amp;$A22,Data!K:K,"&gt;0")&gt;=$A$1,AVERAGEIF(Data!$A:$A,"="&amp;$A22,Data!K:K),"")</f>
        <v/>
      </c>
      <c r="J22" s="10" t="str">
        <f>if(countifs(Data!$A:$A,"="&amp;$A22,Data!L:L,"&gt;0")&gt;=$A$1,AVERAGEIF(Data!$A:$A,"="&amp;$A22,Data!L:L),"")</f>
        <v/>
      </c>
      <c r="K22" s="10" t="str">
        <f>if(countifs(Data!$A:$A,"="&amp;$A22,Data!M:M,"&gt;0")&gt;=$A$1,AVERAGEIF(Data!$A:$A,"="&amp;$A22,Data!M:M),"")</f>
        <v/>
      </c>
      <c r="L22" s="10" t="str">
        <f>if(countifs(Data!$A:$A,"="&amp;$A22,Data!N:N,"&gt;0")&gt;=$A$1,AVERAGEIF(Data!$A:$A,"="&amp;$A22,Data!N:N),"")</f>
        <v/>
      </c>
      <c r="M22" s="10" t="str">
        <f>if(countifs(Data!$A:$A,"="&amp;$A22,Data!O:O,"&gt;0")&gt;=$A$1,AVERAGEIF(Data!$A:$A,"="&amp;$A22,Data!O:O),"")</f>
        <v/>
      </c>
      <c r="N22" s="10" t="str">
        <f>if(countifs(Data!$A:$A,"="&amp;$A22,Data!P:P,"&gt;0")&gt;=$A$1,AVERAGEIF(Data!$A:$A,"="&amp;$A22,Data!P:P),"")</f>
        <v/>
      </c>
      <c r="O22" s="10" t="str">
        <f>if(countifs(Data!$A:$A,"="&amp;$A22,Data!Q:Q,"&gt;0")&gt;=$A$1,AVERAGEIF(Data!$A:$A,"="&amp;$A22,Data!Q:Q),"")</f>
        <v/>
      </c>
      <c r="P22" s="10" t="str">
        <f>if(countifs(Data!$A:$A,"="&amp;$A22,Data!R:R,"&gt;0")&gt;=$A$1,AVERAGEIF(Data!$A:$A,"="&amp;$A22,Data!R:R),"")</f>
        <v/>
      </c>
      <c r="Q22" s="10" t="str">
        <f>if(countifs(Data!$A:$A,"="&amp;$A22,Data!S:S,"&gt;0")&gt;=$A$1,AVERAGEIF(Data!$A:$A,"="&amp;$A22,Data!S:S),"")</f>
        <v/>
      </c>
      <c r="R22" s="10" t="str">
        <f>if(countifs(Data!$A:$A,"="&amp;$A22,Data!T:T,"&gt;0")&gt;=$A$1,AVERAGEIF(Data!$A:$A,"="&amp;$A22,Data!T:T),"")</f>
        <v/>
      </c>
      <c r="S22" s="10" t="str">
        <f>if(countifs(Data!$A:$A,"="&amp;$A22,Data!U:U,"&gt;0")&gt;=$A$1,AVERAGEIF(Data!$A:$A,"="&amp;$A22,Data!U:U),"")</f>
        <v/>
      </c>
      <c r="T22" s="10" t="str">
        <f>if(countifs(Data!$A:$A,"="&amp;$A22,Data!V:V,"&gt;0")&gt;=$A$1,AVERAGEIF(Data!$A:$A,"="&amp;$A22,Data!V:V),"")</f>
        <v/>
      </c>
    </row>
    <row r="23">
      <c r="C23">
        <f>AVERAGE(Data!E:E)</f>
        <v>2.10708402</v>
      </c>
      <c r="D23">
        <f>AVERAGE(Data!F:F)</f>
        <v>1.97993311</v>
      </c>
      <c r="E23">
        <f>AVERAGE(Data!G:G)</f>
        <v>2.097791798</v>
      </c>
      <c r="F23">
        <f>AVERAGE(Data!H:H)</f>
        <v>2.22614841</v>
      </c>
      <c r="G23">
        <f>AVERAGE(Data!I:I)</f>
        <v>2.833333333</v>
      </c>
      <c r="H23">
        <f>AVERAGE(Data!J:J)</f>
        <v>3</v>
      </c>
      <c r="I23">
        <f>AVERAGE(Data!K:K)</f>
        <v>2.37037037</v>
      </c>
      <c r="J23">
        <f>AVERAGE(Data!L:L)</f>
        <v>2.888888889</v>
      </c>
      <c r="K23">
        <f>AVERAGE(Data!M:M)</f>
        <v>2.333333333</v>
      </c>
      <c r="L23">
        <f>AVERAGE(Data!N:N)</f>
        <v>3.25</v>
      </c>
      <c r="M23">
        <f>AVERAGE(Data!O:O)</f>
        <v>4</v>
      </c>
      <c r="N23">
        <f>AVERAGE(Data!P:P)</f>
        <v>1</v>
      </c>
      <c r="O23">
        <f>AVERAGE(Data!Q:Q)</f>
        <v>2</v>
      </c>
      <c r="P23">
        <f>AVERAGE(Data!R:R)</f>
        <v>2.666666667</v>
      </c>
      <c r="Q23">
        <f>AVERAGE(Data!S:S)</f>
        <v>3.666666667</v>
      </c>
      <c r="R23">
        <f>AVERAGE(Data!T:T)</f>
        <v>4</v>
      </c>
      <c r="S23">
        <f>AVERAGE(Data!U:U)</f>
        <v>2</v>
      </c>
      <c r="T23">
        <f>AVERAGE(Data!V:V)</f>
        <v>2.76</v>
      </c>
    </row>
    <row r="25">
      <c r="A25" s="11" t="s">
        <v>106</v>
      </c>
      <c r="C25" s="12">
        <f>(sumifs(Data!$D:$D,Data!E:E,"&lt;&gt;")-SUMIFS(Data!E:E,Data!E:E,"&lt;&gt;"))/(SUMIFS(Data!$D:$D,Data!E:E,"&lt;&gt;")-COUNTIFS(Data!E:E,"&gt;0"))</f>
        <v>0.4977578475</v>
      </c>
      <c r="D25" s="12">
        <f>(sumifs(Data!$D:$D,Data!F:F,"&lt;&gt;")-SUMIFS(Data!F:F,Data!F:F,"&lt;&gt;"))/(SUMIFS(Data!$D:$D,Data!F:F,"&lt;&gt;")-COUNTIFS(Data!F:F,"&gt;0"))</f>
        <v>0.5557240334</v>
      </c>
      <c r="E25" s="12">
        <f>(sumifs(Data!$D:$D,Data!G:G,"&lt;&gt;")-SUMIFS(Data!G:G,Data!G:G,"&lt;&gt;"))/(SUMIFS(Data!$D:$D,Data!G:G,"&lt;&gt;")-COUNTIFS(Data!G:G,"&gt;0"))</f>
        <v>0.5021459227</v>
      </c>
      <c r="F25" s="12">
        <f>(sumifs(Data!$D:$D,Data!H:H,"&lt;&gt;")-SUMIFS(Data!H:H,Data!H:H,"&lt;&gt;"))/(SUMIFS(Data!$D:$D,Data!H:H,"&lt;&gt;")-COUNTIFS(Data!H:H,"&gt;0"))</f>
        <v>0.4569640063</v>
      </c>
      <c r="G25" s="12">
        <f>(sumifs(Data!$D:$D,Data!I:I,"&lt;&gt;")-SUMIFS(Data!I:I,Data!I:I,"&lt;&gt;"))/(SUMIFS(Data!$D:$D,Data!I:I,"&lt;&gt;")-COUNTIFS(Data!I:I,"&gt;0"))</f>
        <v>0.3653846154</v>
      </c>
      <c r="H25" s="12">
        <f>(sumifs(Data!$D:$D,Data!J:J,"&lt;&gt;")-SUMIFS(Data!J:J,Data!J:J,"&lt;&gt;"))/(SUMIFS(Data!$D:$D,Data!J:J,"&lt;&gt;")-COUNTIFS(Data!J:J,"&gt;0"))</f>
        <v>0.3414634146</v>
      </c>
      <c r="I25" s="12">
        <f>(sumifs(Data!$D:$D,Data!K:K,"&lt;&gt;")-SUMIFS(Data!K:K,Data!K:K,"&lt;&gt;"))/(SUMIFS(Data!$D:$D,Data!K:K,"&lt;&gt;")-COUNTIFS(Data!K:K,"&gt;0"))</f>
        <v>0.4861111111</v>
      </c>
      <c r="J25" s="12">
        <f>(sumifs(Data!$D:$D,Data!L:L,"&lt;&gt;")-SUMIFS(Data!L:L,Data!L:L,"&lt;&gt;"))/(SUMIFS(Data!$D:$D,Data!L:L,"&lt;&gt;")-COUNTIFS(Data!L:L,"&gt;0"))</f>
        <v>0.3928571429</v>
      </c>
      <c r="K25" s="12">
        <f>(sumifs(Data!$D:$D,Data!M:M,"&lt;&gt;")-SUMIFS(Data!M:M,Data!M:M,"&lt;&gt;"))/(SUMIFS(Data!$D:$D,Data!M:M,"&lt;&gt;")-COUNTIFS(Data!M:M,"&gt;0"))</f>
        <v>0.5</v>
      </c>
      <c r="L25" s="12">
        <f>(sumifs(Data!$D:$D,Data!N:N,"&lt;&gt;")-SUMIFS(Data!N:N,Data!N:N,"&lt;&gt;"))/(SUMIFS(Data!$D:$D,Data!N:N,"&lt;&gt;")-COUNTIFS(Data!N:N,"&gt;0"))</f>
        <v>0.1818181818</v>
      </c>
      <c r="M25" s="12">
        <f>(sumifs(Data!$D:$D,Data!O:O,"&lt;&gt;")-SUMIFS(Data!O:O,Data!O:O,"&lt;&gt;"))/(SUMIFS(Data!$D:$D,Data!O:O,"&lt;&gt;")-COUNTIFS(Data!O:O,"&gt;0"))</f>
        <v>0</v>
      </c>
      <c r="N25" s="12">
        <f>(sumifs(Data!$D:$D,Data!P:P,"&lt;&gt;")-SUMIFS(Data!P:P,Data!P:P,"&lt;&gt;"))/(SUMIFS(Data!$D:$D,Data!P:P,"&lt;&gt;")-COUNTIFS(Data!P:P,"&gt;0"))</f>
        <v>1</v>
      </c>
      <c r="O25" s="12">
        <f>(sumifs(Data!$D:$D,Data!Q:Q,"&lt;&gt;")-SUMIFS(Data!Q:Q,Data!Q:Q,"&lt;&gt;"))/(SUMIFS(Data!$D:$D,Data!Q:Q,"&lt;&gt;")-COUNTIFS(Data!Q:Q,"&gt;0"))</f>
        <v>0.5</v>
      </c>
      <c r="P25" s="12">
        <f>(sumifs(Data!$D:$D,Data!R:R,"&lt;&gt;")-SUMIFS(Data!R:R,Data!R:R,"&lt;&gt;"))/(SUMIFS(Data!$D:$D,Data!R:R,"&lt;&gt;")-COUNTIFS(Data!R:R,"&gt;0"))</f>
        <v>0.375</v>
      </c>
      <c r="Q25" s="12">
        <f>(sumifs(Data!$D:$D,Data!S:S,"&lt;&gt;")-SUMIFS(Data!S:S,Data!S:S,"&lt;&gt;"))/(SUMIFS(Data!$D:$D,Data!S:S,"&lt;&gt;")-COUNTIFS(Data!S:S,"&gt;0"))</f>
        <v>0.1111111111</v>
      </c>
      <c r="R25" s="12">
        <f>(sumifs(Data!$D:$D,Data!T:T,"&lt;&gt;")-SUMIFS(Data!T:T,Data!T:T,"&lt;&gt;"))/(SUMIFS(Data!$D:$D,Data!T:T,"&lt;&gt;")-COUNTIFS(Data!T:T,"&gt;0"))</f>
        <v>0</v>
      </c>
      <c r="S25" s="12">
        <f>(sumifs(Data!$D:$D,Data!U:U,"&lt;&gt;")-SUMIFS(Data!U:U,Data!U:U,"&lt;&gt;"))/(SUMIFS(Data!$D:$D,Data!U:U,"&lt;&gt;")-COUNTIFS(Data!U:U,"&gt;0"))</f>
        <v>0.6666666667</v>
      </c>
      <c r="T25" s="12">
        <f>(sumifs(Data!$D:$D,Data!V:V,"&lt;&gt;")-SUMIFS(Data!V:V,Data!V:V,"&lt;&gt;"))/(SUMIFS(Data!$D:$D,Data!V:V,"&lt;&gt;")-COUNTIFS(Data!V:V,"&gt;0"))</f>
        <v>0.4054054054</v>
      </c>
    </row>
    <row r="28">
      <c r="C28" s="13"/>
      <c r="D28" s="13"/>
    </row>
  </sheetData>
  <mergeCells count="1">
    <mergeCell ref="A25:B25"/>
  </mergeCells>
  <conditionalFormatting sqref="C2:T22 U2:Z2">
    <cfRule type="colorScale" priority="1">
      <colorScale>
        <cfvo type="min"/>
        <cfvo type="max"/>
        <color rgb="FF57BB8A"/>
        <color rgb="FFE67C73"/>
      </colorScale>
    </cfRule>
  </conditionalFormatting>
  <conditionalFormatting sqref="C3:Z3">
    <cfRule type="colorScale" priority="2">
      <colorScale>
        <cfvo type="min"/>
        <cfvo type="max"/>
        <color rgb="FF57BB8A"/>
        <color rgb="FFE67C73"/>
      </colorScale>
    </cfRule>
  </conditionalFormatting>
  <conditionalFormatting sqref="C4:Z4">
    <cfRule type="colorScale" priority="3">
      <colorScale>
        <cfvo type="min"/>
        <cfvo type="max"/>
        <color rgb="FF57BB8A"/>
        <color rgb="FFE67C73"/>
      </colorScale>
    </cfRule>
  </conditionalFormatting>
  <conditionalFormatting sqref="C5:Z5">
    <cfRule type="colorScale" priority="4">
      <colorScale>
        <cfvo type="min"/>
        <cfvo type="max"/>
        <color rgb="FF57BB8A"/>
        <color rgb="FFE67C73"/>
      </colorScale>
    </cfRule>
  </conditionalFormatting>
  <conditionalFormatting sqref="C6:Z6">
    <cfRule type="colorScale" priority="5">
      <colorScale>
        <cfvo type="min"/>
        <cfvo type="max"/>
        <color rgb="FF57BB8A"/>
        <color rgb="FFE67C73"/>
      </colorScale>
    </cfRule>
  </conditionalFormatting>
  <conditionalFormatting sqref="C7:Z7">
    <cfRule type="colorScale" priority="6">
      <colorScale>
        <cfvo type="min"/>
        <cfvo type="max"/>
        <color rgb="FF57BB8A"/>
        <color rgb="FFE67C73"/>
      </colorScale>
    </cfRule>
  </conditionalFormatting>
  <conditionalFormatting sqref="C8:Z8">
    <cfRule type="colorScale" priority="7">
      <colorScale>
        <cfvo type="min"/>
        <cfvo type="max"/>
        <color rgb="FF57BB8A"/>
        <color rgb="FFE67C73"/>
      </colorScale>
    </cfRule>
  </conditionalFormatting>
  <conditionalFormatting sqref="C9:Z9">
    <cfRule type="colorScale" priority="8">
      <colorScale>
        <cfvo type="min"/>
        <cfvo type="max"/>
        <color rgb="FF57BB8A"/>
        <color rgb="FFE67C73"/>
      </colorScale>
    </cfRule>
  </conditionalFormatting>
  <conditionalFormatting sqref="C10:Z10">
    <cfRule type="colorScale" priority="9">
      <colorScale>
        <cfvo type="min"/>
        <cfvo type="max"/>
        <color rgb="FF57BB8A"/>
        <color rgb="FFE67C73"/>
      </colorScale>
    </cfRule>
  </conditionalFormatting>
  <conditionalFormatting sqref="C11:Z11">
    <cfRule type="colorScale" priority="10">
      <colorScale>
        <cfvo type="min"/>
        <cfvo type="max"/>
        <color rgb="FF57BB8A"/>
        <color rgb="FFE67C73"/>
      </colorScale>
    </cfRule>
  </conditionalFormatting>
  <conditionalFormatting sqref="C12:N22 O12:Z12">
    <cfRule type="colorScale" priority="11">
      <colorScale>
        <cfvo type="min"/>
        <cfvo type="max"/>
        <color rgb="FF57BB8A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7.25"/>
    <col customWidth="1" min="3" max="4" width="5.88"/>
    <col customWidth="1" min="5" max="5" width="5.63"/>
    <col customWidth="1" min="6" max="6" width="7.0"/>
    <col customWidth="1" min="7" max="7" width="4.38"/>
    <col customWidth="1" min="8" max="8" width="7.0"/>
    <col customWidth="1" min="9" max="9" width="5.25"/>
    <col customWidth="1" min="10" max="10" width="6.38"/>
    <col customWidth="1" min="11" max="11" width="7.0"/>
    <col customWidth="1" min="12" max="12" width="7.25"/>
    <col customWidth="1" min="13" max="13" width="8.25"/>
    <col customWidth="1" min="14" max="14" width="5.13"/>
    <col customWidth="1" min="15" max="15" width="5.25"/>
    <col customWidth="1" min="16" max="16" width="4.38"/>
    <col customWidth="1" min="17" max="17" width="4.75"/>
    <col customWidth="1" min="18" max="18" width="4.5"/>
    <col customWidth="1" min="20" max="20" width="5.75"/>
  </cols>
  <sheetData>
    <row r="1">
      <c r="A1" s="9"/>
      <c r="B1" s="9" t="s">
        <v>105</v>
      </c>
      <c r="C1" t="str">
        <f>Data!E1</f>
        <v>Jeffrey</v>
      </c>
      <c r="D1" t="str">
        <f>Data!F1</f>
        <v>Robert</v>
      </c>
      <c r="E1" t="str">
        <f>Data!G1</f>
        <v>Bobby</v>
      </c>
      <c r="F1" t="str">
        <f>Data!H1</f>
        <v>Stephen</v>
      </c>
      <c r="G1" t="str">
        <f>Data!I1</f>
        <v>Cory</v>
      </c>
      <c r="H1" t="str">
        <f>Data!J1</f>
        <v>Chelsea</v>
      </c>
      <c r="I1" t="str">
        <f>Data!K1</f>
        <v>Robin</v>
      </c>
      <c r="J1" t="str">
        <f>Data!L1</f>
        <v>Marcus</v>
      </c>
      <c r="K1" t="str">
        <f>Data!M1</f>
        <v>Spencer</v>
      </c>
      <c r="L1" t="str">
        <f>Data!N1</f>
        <v>Syvaunti</v>
      </c>
      <c r="M1" t="str">
        <f>Data!O1</f>
        <v>Rob Elrod</v>
      </c>
      <c r="N1" t="str">
        <f>Data!P1</f>
        <v>Cayla</v>
      </c>
      <c r="O1" t="str">
        <f>Data!Q1</f>
        <v>Ethan</v>
      </c>
      <c r="P1" t="str">
        <f>Data!R1</f>
        <v>Ruth</v>
      </c>
      <c r="Q1" t="str">
        <f>Data!S1</f>
        <v>Katie Zackarias</v>
      </c>
      <c r="R1" t="str">
        <f>Data!T1</f>
        <v>John Zackarias</v>
      </c>
      <c r="S1" t="str">
        <f>Data!U1</f>
        <v>Danielle</v>
      </c>
      <c r="T1" t="str">
        <f>Data!V1</f>
        <v>Abby</v>
      </c>
    </row>
    <row r="2">
      <c r="A2" s="1" t="s">
        <v>23</v>
      </c>
      <c r="B2" s="1">
        <f>countif(Data!A:A,"="&amp;A2)</f>
        <v>24</v>
      </c>
      <c r="C2" s="12">
        <f>if(COUNTIFS(Data!E:E,"&lt;&gt;",Data!$A:$A,$A2,Data!$D:$D,$B$30)&lt;$B$31,"",(sumifs(Data!$D:$D,Data!E:E,"&lt;&gt;",Data!$A:$A,$A2,Data!$D:$D,$B$30)-sumifs(Data!E:E,Data!E:E,"&lt;&gt;",Data!$A:$A,$A2,Data!$D:$D,$B$30))/(sumifs(Data!$D:$D,Data!E:E,"&lt;&gt;",Data!$A:$A,$A2,Data!$D:$D,$B$30)-countifs(Data!E:E,"&lt;&gt;",Data!$A:$A,$A2,Data!$D:$D,$B$30)))</f>
        <v>0.53125</v>
      </c>
      <c r="D2" s="12">
        <f>if(COUNTIFS(Data!F:F,"&lt;&gt;",Data!$A:$A,$A2,Data!$D:$D,$B$30)&lt;$B$31,"",(sumifs(Data!$D:$D,Data!F:F,"&lt;&gt;",Data!$A:$A,$A2,Data!$D:$D,$B$30)-sumifs(Data!F:F,Data!F:F,"&lt;&gt;",Data!$A:$A,$A2,Data!$D:$D,$B$30))/(sumifs(Data!$D:$D,Data!F:F,"&lt;&gt;",Data!$A:$A,$A2,Data!$D:$D,$B$30)-countifs(Data!F:F,"&lt;&gt;",Data!$A:$A,$A2,Data!$D:$D,$B$30)))</f>
        <v>0.59375</v>
      </c>
      <c r="E2" s="12" t="str">
        <f>if(COUNTIFS(Data!G:G,"&lt;&gt;",Data!$A:$A,$A2,Data!$D:$D,$B$30)&lt;$B$31,"",(sumifs(Data!$D:$D,Data!G:G,"&lt;&gt;",Data!$A:$A,$A2,Data!$D:$D,$B$30)-sumifs(Data!G:G,Data!G:G,"&lt;&gt;",Data!$A:$A,$A2,Data!$D:$D,$B$30))/(sumifs(Data!$D:$D,Data!G:G,"&lt;&gt;",Data!$A:$A,$A2,Data!$D:$D,$B$30)-countifs(Data!G:G,"&lt;&gt;",Data!$A:$A,$A2,Data!$D:$D,$B$30)))</f>
        <v/>
      </c>
      <c r="F2" s="12">
        <f>if(COUNTIFS(Data!H:H,"&lt;&gt;",Data!$A:$A,$A2,Data!$D:$D,$B$30)&lt;$B$31,"",(sumifs(Data!$D:$D,Data!H:H,"&lt;&gt;",Data!$A:$A,$A2,Data!$D:$D,$B$30)-sumifs(Data!H:H,Data!H:H,"&lt;&gt;",Data!$A:$A,$A2,Data!$D:$D,$B$30))/(sumifs(Data!$D:$D,Data!H:H,"&lt;&gt;",Data!$A:$A,$A2,Data!$D:$D,$B$30)-countifs(Data!H:H,"&lt;&gt;",Data!$A:$A,$A2,Data!$D:$D,$B$30)))</f>
        <v>0.3636363636</v>
      </c>
      <c r="G2" s="12" t="str">
        <f>if(COUNTIFS(Data!I:I,"&lt;&gt;",Data!$A:$A,$A2,Data!$D:$D,$B$30)&lt;$B$31,"",(sumifs(Data!$D:$D,Data!I:I,"&lt;&gt;",Data!$A:$A,$A2,Data!$D:$D,$B$30)-sumifs(Data!I:I,Data!I:I,"&lt;&gt;",Data!$A:$A,$A2,Data!$D:$D,$B$30))/(sumifs(Data!$D:$D,Data!I:I,"&lt;&gt;",Data!$A:$A,$A2,Data!$D:$D,$B$30)-countifs(Data!I:I,"&lt;&gt;",Data!$A:$A,$A2,Data!$D:$D,$B$30)))</f>
        <v/>
      </c>
      <c r="H2" s="12" t="str">
        <f>if(COUNTIFS(Data!J:J,"&lt;&gt;",Data!$A:$A,$A2,Data!$D:$D,$B$30)&lt;$B$31,"",(sumifs(Data!$D:$D,Data!J:J,"&lt;&gt;",Data!$A:$A,$A2,Data!$D:$D,$B$30)-sumifs(Data!J:J,Data!J:J,"&lt;&gt;",Data!$A:$A,$A2,Data!$D:$D,$B$30))/(sumifs(Data!$D:$D,Data!J:J,"&lt;&gt;",Data!$A:$A,$A2,Data!$D:$D,$B$30)-countifs(Data!J:J,"&lt;&gt;",Data!$A:$A,$A2,Data!$D:$D,$B$30)))</f>
        <v/>
      </c>
      <c r="I2" s="12" t="str">
        <f>if(COUNTIFS(Data!K:K,"&lt;&gt;",Data!$A:$A,$A2,Data!$D:$D,$B$30)&lt;$B$31,"",(sumifs(Data!$D:$D,Data!K:K,"&lt;&gt;",Data!$A:$A,$A2,Data!$D:$D,$B$30)-sumifs(Data!K:K,Data!K:K,"&lt;&gt;",Data!$A:$A,$A2,Data!$D:$D,$B$30))/(sumifs(Data!$D:$D,Data!K:K,"&lt;&gt;",Data!$A:$A,$A2,Data!$D:$D,$B$30)-countifs(Data!K:K,"&lt;&gt;",Data!$A:$A,$A2,Data!$D:$D,$B$30)))</f>
        <v/>
      </c>
      <c r="J2" s="12" t="str">
        <f>if(COUNTIFS(Data!L:L,"&lt;&gt;",Data!$A:$A,$A2,Data!$D:$D,$B$30)&lt;$B$31,"",(sumifs(Data!$D:$D,Data!L:L,"&lt;&gt;",Data!$A:$A,$A2,Data!$D:$D,$B$30)-sumifs(Data!L:L,Data!L:L,"&lt;&gt;",Data!$A:$A,$A2,Data!$D:$D,$B$30))/(sumifs(Data!$D:$D,Data!L:L,"&lt;&gt;",Data!$A:$A,$A2,Data!$D:$D,$B$30)-countifs(Data!L:L,"&lt;&gt;",Data!$A:$A,$A2,Data!$D:$D,$B$30)))</f>
        <v/>
      </c>
      <c r="K2" s="12" t="str">
        <f>if(COUNTIFS(Data!M:M,"&lt;&gt;",Data!$A:$A,$A2,Data!$D:$D,$B$30)&lt;$B$31,"",(sumifs(Data!$D:$D,Data!M:M,"&lt;&gt;",Data!$A:$A,$A2,Data!$D:$D,$B$30)-sumifs(Data!M:M,Data!M:M,"&lt;&gt;",Data!$A:$A,$A2,Data!$D:$D,$B$30))/(sumifs(Data!$D:$D,Data!M:M,"&lt;&gt;",Data!$A:$A,$A2,Data!$D:$D,$B$30)-countifs(Data!M:M,"&lt;&gt;",Data!$A:$A,$A2,Data!$D:$D,$B$30)))</f>
        <v/>
      </c>
      <c r="L2" s="12" t="str">
        <f>if(COUNTIFS(Data!N:N,"&lt;&gt;",Data!$A:$A,$A2,Data!$D:$D,$B$30)&lt;$B$31,"",(sumifs(Data!$D:$D,Data!N:N,"&lt;&gt;",Data!$A:$A,$A2,Data!$D:$D,$B$30)-sumifs(Data!N:N,Data!N:N,"&lt;&gt;",Data!$A:$A,$A2,Data!$D:$D,$B$30))/(sumifs(Data!$D:$D,Data!N:N,"&lt;&gt;",Data!$A:$A,$A2,Data!$D:$D,$B$30)-countifs(Data!N:N,"&lt;&gt;",Data!$A:$A,$A2,Data!$D:$D,$B$30)))</f>
        <v/>
      </c>
      <c r="M2" s="12" t="str">
        <f>if(COUNTIFS(Data!O:O,"&lt;&gt;",Data!$A:$A,$A2,Data!$D:$D,$B$30)&lt;$B$31,"",(sumifs(Data!$D:$D,Data!O:O,"&lt;&gt;",Data!$A:$A,$A2,Data!$D:$D,$B$30)-sumifs(Data!O:O,Data!O:O,"&lt;&gt;",Data!$A:$A,$A2,Data!$D:$D,$B$30))/(sumifs(Data!$D:$D,Data!O:O,"&lt;&gt;",Data!$A:$A,$A2,Data!$D:$D,$B$30)-countifs(Data!O:O,"&lt;&gt;",Data!$A:$A,$A2,Data!$D:$D,$B$30)))</f>
        <v/>
      </c>
      <c r="N2" s="12" t="str">
        <f>if(COUNTIFS(Data!P:P,"&lt;&gt;",Data!$A:$A,$A2,Data!$D:$D,$B$30)&lt;$B$31,"",(sumifs(Data!$D:$D,Data!P:P,"&lt;&gt;",Data!$A:$A,$A2,Data!$D:$D,$B$30)-sumifs(Data!P:P,Data!P:P,"&lt;&gt;",Data!$A:$A,$A2,Data!$D:$D,$B$30))/(sumifs(Data!$D:$D,Data!P:P,"&lt;&gt;",Data!$A:$A,$A2,Data!$D:$D,$B$30)-countifs(Data!P:P,"&lt;&gt;",Data!$A:$A,$A2,Data!$D:$D,$B$30)))</f>
        <v/>
      </c>
      <c r="O2" s="12" t="str">
        <f>if(COUNTIFS(Data!Q:Q,"&lt;&gt;",Data!$A:$A,$A2,Data!$D:$D,$B$30)&lt;$B$31,"",(sumifs(Data!$D:$D,Data!Q:Q,"&lt;&gt;",Data!$A:$A,$A2,Data!$D:$D,$B$30)-sumifs(Data!Q:Q,Data!Q:Q,"&lt;&gt;",Data!$A:$A,$A2,Data!$D:$D,$B$30))/(sumifs(Data!$D:$D,Data!Q:Q,"&lt;&gt;",Data!$A:$A,$A2,Data!$D:$D,$B$30)-countifs(Data!Q:Q,"&lt;&gt;",Data!$A:$A,$A2,Data!$D:$D,$B$30)))</f>
        <v/>
      </c>
      <c r="P2" s="12" t="str">
        <f>if(COUNTIFS(Data!R:R,"&lt;&gt;",Data!$A:$A,$A2,Data!$D:$D,$B$30)&lt;$B$31,"",(sumifs(Data!$D:$D,Data!R:R,"&lt;&gt;",Data!$A:$A,$A2,Data!$D:$D,$B$30)-sumifs(Data!R:R,Data!R:R,"&lt;&gt;",Data!$A:$A,$A2,Data!$D:$D,$B$30))/(sumifs(Data!$D:$D,Data!R:R,"&lt;&gt;",Data!$A:$A,$A2,Data!$D:$D,$B$30)-countifs(Data!R:R,"&lt;&gt;",Data!$A:$A,$A2,Data!$D:$D,$B$30)))</f>
        <v/>
      </c>
      <c r="Q2" s="12" t="str">
        <f>if(COUNTIFS(Data!S:S,"&lt;&gt;",Data!$A:$A,$A2,Data!$D:$D,$B$30)&lt;$B$31,"",(sumifs(Data!$D:$D,Data!S:S,"&lt;&gt;",Data!$A:$A,$A2,Data!$D:$D,$B$30)-sumifs(Data!S:S,Data!S:S,"&lt;&gt;",Data!$A:$A,$A2,Data!$D:$D,$B$30))/(sumifs(Data!$D:$D,Data!S:S,"&lt;&gt;",Data!$A:$A,$A2,Data!$D:$D,$B$30)-countifs(Data!S:S,"&lt;&gt;",Data!$A:$A,$A2,Data!$D:$D,$B$30)))</f>
        <v/>
      </c>
      <c r="R2" s="12" t="str">
        <f>if(COUNTIFS(Data!T:T,"&lt;&gt;",Data!$A:$A,$A2,Data!$D:$D,$B$30)&lt;$B$31,"",(sumifs(Data!$D:$D,Data!T:T,"&lt;&gt;",Data!$A:$A,$A2,Data!$D:$D,$B$30)-sumifs(Data!T:T,Data!T:T,"&lt;&gt;",Data!$A:$A,$A2,Data!$D:$D,$B$30))/(sumifs(Data!$D:$D,Data!T:T,"&lt;&gt;",Data!$A:$A,$A2,Data!$D:$D,$B$30)-countifs(Data!T:T,"&lt;&gt;",Data!$A:$A,$A2,Data!$D:$D,$B$30)))</f>
        <v/>
      </c>
      <c r="S2" s="12" t="str">
        <f>if(COUNTIFS(Data!U:U,"&lt;&gt;",Data!$A:$A,$A2,Data!$D:$D,$B$30)&lt;$B$31,"",(sumifs(Data!$D:$D,Data!U:U,"&lt;&gt;",Data!$A:$A,$A2,Data!$D:$D,$B$30)-sumifs(Data!U:U,Data!U:U,"&lt;&gt;",Data!$A:$A,$A2,Data!$D:$D,$B$30))/(sumifs(Data!$D:$D,Data!U:U,"&lt;&gt;",Data!$A:$A,$A2,Data!$D:$D,$B$30)-countifs(Data!U:U,"&lt;&gt;",Data!$A:$A,$A2,Data!$D:$D,$B$30)))</f>
        <v/>
      </c>
      <c r="T2" s="12" t="str">
        <f>if(COUNTIFS(Data!V:V,"&lt;&gt;",Data!$A:$A,$A2,Data!$D:$D,$B$30)&lt;$B$31,"",(sumifs(Data!$D:$D,Data!V:V,"&lt;&gt;",Data!$A:$A,$A2,Data!$D:$D,$B$30)-sumifs(Data!V:V,Data!V:V,"&lt;&gt;",Data!$A:$A,$A2,Data!$D:$D,$B$30))/(sumifs(Data!$D:$D,Data!V:V,"&lt;&gt;",Data!$A:$A,$A2,Data!$D:$D,$B$30)-countifs(Data!V:V,"&lt;&gt;",Data!$A:$A,$A2,Data!$D:$D,$B$30)))</f>
        <v/>
      </c>
    </row>
    <row r="3">
      <c r="A3" s="1" t="s">
        <v>25</v>
      </c>
      <c r="B3" s="1">
        <f>countif(Data!A:A,"="&amp;A3)</f>
        <v>3</v>
      </c>
      <c r="C3" s="12" t="str">
        <f>if(COUNTIFS(Data!E:E,"&lt;&gt;",Data!$A:$A,$A3,Data!$D:$D,$B$30)&lt;$B$31,"",(sumifs(Data!$D:$D,Data!E:E,"&lt;&gt;",Data!$A:$A,$A3,Data!$D:$D,$B$30)-sumifs(Data!E:E,Data!E:E,"&lt;&gt;",Data!$A:$A,$A3,Data!$D:$D,$B$30))/(sumifs(Data!$D:$D,Data!E:E,"&lt;&gt;",Data!$A:$A,$A3,Data!$D:$D,$B$30)-countifs(Data!E:E,"&lt;&gt;",Data!$A:$A,$A3,Data!$D:$D,$B$30)))</f>
        <v/>
      </c>
      <c r="D3" s="12" t="str">
        <f>if(COUNTIFS(Data!F:F,"&lt;&gt;",Data!$A:$A,$A3,Data!$D:$D,$B$30)&lt;$B$31,"",(sumifs(Data!$D:$D,Data!F:F,"&lt;&gt;",Data!$A:$A,$A3,Data!$D:$D,$B$30)-sumifs(Data!F:F,Data!F:F,"&lt;&gt;",Data!$A:$A,$A3,Data!$D:$D,$B$30))/(sumifs(Data!$D:$D,Data!F:F,"&lt;&gt;",Data!$A:$A,$A3,Data!$D:$D,$B$30)-countifs(Data!F:F,"&lt;&gt;",Data!$A:$A,$A3,Data!$D:$D,$B$30)))</f>
        <v/>
      </c>
      <c r="E3" s="12" t="str">
        <f>if(COUNTIFS(Data!G:G,"&lt;&gt;",Data!$A:$A,$A3,Data!$D:$D,$B$30)&lt;$B$31,"",(sumifs(Data!$D:$D,Data!G:G,"&lt;&gt;",Data!$A:$A,$A3,Data!$D:$D,$B$30)-sumifs(Data!G:G,Data!G:G,"&lt;&gt;",Data!$A:$A,$A3,Data!$D:$D,$B$30))/(sumifs(Data!$D:$D,Data!G:G,"&lt;&gt;",Data!$A:$A,$A3,Data!$D:$D,$B$30)-countifs(Data!G:G,"&lt;&gt;",Data!$A:$A,$A3,Data!$D:$D,$B$30)))</f>
        <v/>
      </c>
      <c r="F3" s="12" t="str">
        <f>if(COUNTIFS(Data!H:H,"&lt;&gt;",Data!$A:$A,$A3,Data!$D:$D,$B$30)&lt;$B$31,"",(sumifs(Data!$D:$D,Data!H:H,"&lt;&gt;",Data!$A:$A,$A3,Data!$D:$D,$B$30)-sumifs(Data!H:H,Data!H:H,"&lt;&gt;",Data!$A:$A,$A3,Data!$D:$D,$B$30))/(sumifs(Data!$D:$D,Data!H:H,"&lt;&gt;",Data!$A:$A,$A3,Data!$D:$D,$B$30)-countifs(Data!H:H,"&lt;&gt;",Data!$A:$A,$A3,Data!$D:$D,$B$30)))</f>
        <v/>
      </c>
      <c r="G3" s="12" t="str">
        <f>if(COUNTIFS(Data!I:I,"&lt;&gt;",Data!$A:$A,$A3,Data!$D:$D,$B$30)&lt;$B$31,"",(sumifs(Data!$D:$D,Data!I:I,"&lt;&gt;",Data!$A:$A,$A3,Data!$D:$D,$B$30)-sumifs(Data!I:I,Data!I:I,"&lt;&gt;",Data!$A:$A,$A3,Data!$D:$D,$B$30))/(sumifs(Data!$D:$D,Data!I:I,"&lt;&gt;",Data!$A:$A,$A3,Data!$D:$D,$B$30)-countifs(Data!I:I,"&lt;&gt;",Data!$A:$A,$A3,Data!$D:$D,$B$30)))</f>
        <v/>
      </c>
      <c r="H3" s="12" t="str">
        <f>if(COUNTIFS(Data!J:J,"&lt;&gt;",Data!$A:$A,$A3,Data!$D:$D,$B$30)&lt;$B$31,"",(sumifs(Data!$D:$D,Data!J:J,"&lt;&gt;",Data!$A:$A,$A3,Data!$D:$D,$B$30)-sumifs(Data!J:J,Data!J:J,"&lt;&gt;",Data!$A:$A,$A3,Data!$D:$D,$B$30))/(sumifs(Data!$D:$D,Data!J:J,"&lt;&gt;",Data!$A:$A,$A3,Data!$D:$D,$B$30)-countifs(Data!J:J,"&lt;&gt;",Data!$A:$A,$A3,Data!$D:$D,$B$30)))</f>
        <v/>
      </c>
      <c r="I3" s="12" t="str">
        <f>if(COUNTIFS(Data!K:K,"&lt;&gt;",Data!$A:$A,$A3,Data!$D:$D,$B$30)&lt;$B$31,"",(sumifs(Data!$D:$D,Data!K:K,"&lt;&gt;",Data!$A:$A,$A3,Data!$D:$D,$B$30)-sumifs(Data!K:K,Data!K:K,"&lt;&gt;",Data!$A:$A,$A3,Data!$D:$D,$B$30))/(sumifs(Data!$D:$D,Data!K:K,"&lt;&gt;",Data!$A:$A,$A3,Data!$D:$D,$B$30)-countifs(Data!K:K,"&lt;&gt;",Data!$A:$A,$A3,Data!$D:$D,$B$30)))</f>
        <v/>
      </c>
      <c r="J3" s="12" t="str">
        <f>if(COUNTIFS(Data!L:L,"&lt;&gt;",Data!$A:$A,$A3,Data!$D:$D,$B$30)&lt;$B$31,"",(sumifs(Data!$D:$D,Data!L:L,"&lt;&gt;",Data!$A:$A,$A3,Data!$D:$D,$B$30)-sumifs(Data!L:L,Data!L:L,"&lt;&gt;",Data!$A:$A,$A3,Data!$D:$D,$B$30))/(sumifs(Data!$D:$D,Data!L:L,"&lt;&gt;",Data!$A:$A,$A3,Data!$D:$D,$B$30)-countifs(Data!L:L,"&lt;&gt;",Data!$A:$A,$A3,Data!$D:$D,$B$30)))</f>
        <v/>
      </c>
      <c r="K3" s="12" t="str">
        <f>if(COUNTIFS(Data!M:M,"&lt;&gt;",Data!$A:$A,$A3,Data!$D:$D,$B$30)&lt;$B$31,"",(sumifs(Data!$D:$D,Data!M:M,"&lt;&gt;",Data!$A:$A,$A3,Data!$D:$D,$B$30)-sumifs(Data!M:M,Data!M:M,"&lt;&gt;",Data!$A:$A,$A3,Data!$D:$D,$B$30))/(sumifs(Data!$D:$D,Data!M:M,"&lt;&gt;",Data!$A:$A,$A3,Data!$D:$D,$B$30)-countifs(Data!M:M,"&lt;&gt;",Data!$A:$A,$A3,Data!$D:$D,$B$30)))</f>
        <v/>
      </c>
      <c r="L3" s="12" t="str">
        <f>if(COUNTIFS(Data!N:N,"&lt;&gt;",Data!$A:$A,$A3,Data!$D:$D,$B$30)&lt;$B$31,"",(sumifs(Data!$D:$D,Data!N:N,"&lt;&gt;",Data!$A:$A,$A3,Data!$D:$D,$B$30)-sumifs(Data!N:N,Data!N:N,"&lt;&gt;",Data!$A:$A,$A3,Data!$D:$D,$B$30))/(sumifs(Data!$D:$D,Data!N:N,"&lt;&gt;",Data!$A:$A,$A3,Data!$D:$D,$B$30)-countifs(Data!N:N,"&lt;&gt;",Data!$A:$A,$A3,Data!$D:$D,$B$30)))</f>
        <v/>
      </c>
      <c r="M3" s="12" t="str">
        <f>if(COUNTIFS(Data!O:O,"&lt;&gt;",Data!$A:$A,$A3,Data!$D:$D,$B$30)&lt;$B$31,"",(sumifs(Data!$D:$D,Data!O:O,"&lt;&gt;",Data!$A:$A,$A3,Data!$D:$D,$B$30)-sumifs(Data!O:O,Data!O:O,"&lt;&gt;",Data!$A:$A,$A3,Data!$D:$D,$B$30))/(sumifs(Data!$D:$D,Data!O:O,"&lt;&gt;",Data!$A:$A,$A3,Data!$D:$D,$B$30)-countifs(Data!O:O,"&lt;&gt;",Data!$A:$A,$A3,Data!$D:$D,$B$30)))</f>
        <v/>
      </c>
      <c r="N3" s="12" t="str">
        <f>if(COUNTIFS(Data!P:P,"&lt;&gt;",Data!$A:$A,$A3,Data!$D:$D,$B$30)&lt;$B$31,"",(sumifs(Data!$D:$D,Data!P:P,"&lt;&gt;",Data!$A:$A,$A3,Data!$D:$D,$B$30)-sumifs(Data!P:P,Data!P:P,"&lt;&gt;",Data!$A:$A,$A3,Data!$D:$D,$B$30))/(sumifs(Data!$D:$D,Data!P:P,"&lt;&gt;",Data!$A:$A,$A3,Data!$D:$D,$B$30)-countifs(Data!P:P,"&lt;&gt;",Data!$A:$A,$A3,Data!$D:$D,$B$30)))</f>
        <v/>
      </c>
      <c r="O3" s="12" t="str">
        <f>if(COUNTIFS(Data!Q:Q,"&lt;&gt;",Data!$A:$A,$A3,Data!$D:$D,$B$30)&lt;$B$31,"",(sumifs(Data!$D:$D,Data!Q:Q,"&lt;&gt;",Data!$A:$A,$A3,Data!$D:$D,$B$30)-sumifs(Data!Q:Q,Data!Q:Q,"&lt;&gt;",Data!$A:$A,$A3,Data!$D:$D,$B$30))/(sumifs(Data!$D:$D,Data!Q:Q,"&lt;&gt;",Data!$A:$A,$A3,Data!$D:$D,$B$30)-countifs(Data!Q:Q,"&lt;&gt;",Data!$A:$A,$A3,Data!$D:$D,$B$30)))</f>
        <v/>
      </c>
      <c r="P3" s="12" t="str">
        <f>if(COUNTIFS(Data!R:R,"&lt;&gt;",Data!$A:$A,$A3,Data!$D:$D,$B$30)&lt;$B$31,"",(sumifs(Data!$D:$D,Data!R:R,"&lt;&gt;",Data!$A:$A,$A3,Data!$D:$D,$B$30)-sumifs(Data!R:R,Data!R:R,"&lt;&gt;",Data!$A:$A,$A3,Data!$D:$D,$B$30))/(sumifs(Data!$D:$D,Data!R:R,"&lt;&gt;",Data!$A:$A,$A3,Data!$D:$D,$B$30)-countifs(Data!R:R,"&lt;&gt;",Data!$A:$A,$A3,Data!$D:$D,$B$30)))</f>
        <v/>
      </c>
      <c r="Q3" s="12" t="str">
        <f>if(COUNTIFS(Data!S:S,"&lt;&gt;",Data!$A:$A,$A3,Data!$D:$D,$B$30)&lt;$B$31,"",(sumifs(Data!$D:$D,Data!S:S,"&lt;&gt;",Data!$A:$A,$A3,Data!$D:$D,$B$30)-sumifs(Data!S:S,Data!S:S,"&lt;&gt;",Data!$A:$A,$A3,Data!$D:$D,$B$30))/(sumifs(Data!$D:$D,Data!S:S,"&lt;&gt;",Data!$A:$A,$A3,Data!$D:$D,$B$30)-countifs(Data!S:S,"&lt;&gt;",Data!$A:$A,$A3,Data!$D:$D,$B$30)))</f>
        <v/>
      </c>
      <c r="R3" s="12" t="str">
        <f>if(COUNTIFS(Data!T:T,"&lt;&gt;",Data!$A:$A,$A3,Data!$D:$D,$B$30)&lt;$B$31,"",(sumifs(Data!$D:$D,Data!T:T,"&lt;&gt;",Data!$A:$A,$A3,Data!$D:$D,$B$30)-sumifs(Data!T:T,Data!T:T,"&lt;&gt;",Data!$A:$A,$A3,Data!$D:$D,$B$30))/(sumifs(Data!$D:$D,Data!T:T,"&lt;&gt;",Data!$A:$A,$A3,Data!$D:$D,$B$30)-countifs(Data!T:T,"&lt;&gt;",Data!$A:$A,$A3,Data!$D:$D,$B$30)))</f>
        <v/>
      </c>
      <c r="S3" s="12" t="str">
        <f>if(COUNTIFS(Data!U:U,"&lt;&gt;",Data!$A:$A,$A3,Data!$D:$D,$B$30)&lt;$B$31,"",(sumifs(Data!$D:$D,Data!U:U,"&lt;&gt;",Data!$A:$A,$A3,Data!$D:$D,$B$30)-sumifs(Data!U:U,Data!U:U,"&lt;&gt;",Data!$A:$A,$A3,Data!$D:$D,$B$30))/(sumifs(Data!$D:$D,Data!U:U,"&lt;&gt;",Data!$A:$A,$A3,Data!$D:$D,$B$30)-countifs(Data!U:U,"&lt;&gt;",Data!$A:$A,$A3,Data!$D:$D,$B$30)))</f>
        <v/>
      </c>
      <c r="T3" s="12" t="str">
        <f>if(COUNTIFS(Data!V:V,"&lt;&gt;",Data!$A:$A,$A3,Data!$D:$D,$B$30)&lt;$B$31,"",(sumifs(Data!$D:$D,Data!V:V,"&lt;&gt;",Data!$A:$A,$A3,Data!$D:$D,$B$30)-sumifs(Data!V:V,Data!V:V,"&lt;&gt;",Data!$A:$A,$A3,Data!$D:$D,$B$30))/(sumifs(Data!$D:$D,Data!V:V,"&lt;&gt;",Data!$A:$A,$A3,Data!$D:$D,$B$30)-countifs(Data!V:V,"&lt;&gt;",Data!$A:$A,$A3,Data!$D:$D,$B$30)))</f>
        <v/>
      </c>
    </row>
    <row r="4">
      <c r="A4" s="1" t="s">
        <v>26</v>
      </c>
      <c r="B4" s="1">
        <f>countif(Data!A:A,"="&amp;A4)</f>
        <v>57</v>
      </c>
      <c r="C4" s="12">
        <f>if(COUNTIFS(Data!E:E,"&lt;&gt;",Data!$A:$A,$A4,Data!$D:$D,$B$30)&lt;$B$31,"",(sumifs(Data!$D:$D,Data!E:E,"&lt;&gt;",Data!$A:$A,$A4,Data!$D:$D,$B$30)-sumifs(Data!E:E,Data!E:E,"&lt;&gt;",Data!$A:$A,$A4,Data!$D:$D,$B$30))/(sumifs(Data!$D:$D,Data!E:E,"&lt;&gt;",Data!$A:$A,$A4,Data!$D:$D,$B$30)-countifs(Data!E:E,"&lt;&gt;",Data!$A:$A,$A4,Data!$D:$D,$B$30)))</f>
        <v>0.5</v>
      </c>
      <c r="D4" s="12">
        <f>if(COUNTIFS(Data!F:F,"&lt;&gt;",Data!$A:$A,$A4,Data!$D:$D,$B$30)&lt;$B$31,"",(sumifs(Data!$D:$D,Data!F:F,"&lt;&gt;",Data!$A:$A,$A4,Data!$D:$D,$B$30)-sumifs(Data!F:F,Data!F:F,"&lt;&gt;",Data!$A:$A,$A4,Data!$D:$D,$B$30))/(sumifs(Data!$D:$D,Data!F:F,"&lt;&gt;",Data!$A:$A,$A4,Data!$D:$D,$B$30)-countifs(Data!F:F,"&lt;&gt;",Data!$A:$A,$A4,Data!$D:$D,$B$30)))</f>
        <v>0.5319148936</v>
      </c>
      <c r="E4" s="12" t="str">
        <f>if(COUNTIFS(Data!G:G,"&lt;&gt;",Data!$A:$A,$A4,Data!$D:$D,$B$30)&lt;$B$31,"",(sumifs(Data!$D:$D,Data!G:G,"&lt;&gt;",Data!$A:$A,$A4,Data!$D:$D,$B$30)-sumifs(Data!G:G,Data!G:G,"&lt;&gt;",Data!$A:$A,$A4,Data!$D:$D,$B$30))/(sumifs(Data!$D:$D,Data!G:G,"&lt;&gt;",Data!$A:$A,$A4,Data!$D:$D,$B$30)-countifs(Data!G:G,"&lt;&gt;",Data!$A:$A,$A4,Data!$D:$D,$B$30)))</f>
        <v/>
      </c>
      <c r="F4" s="12">
        <f>if(COUNTIFS(Data!H:H,"&lt;&gt;",Data!$A:$A,$A4,Data!$D:$D,$B$30)&lt;$B$31,"",(sumifs(Data!$D:$D,Data!H:H,"&lt;&gt;",Data!$A:$A,$A4,Data!$D:$D,$B$30)-sumifs(Data!H:H,Data!H:H,"&lt;&gt;",Data!$A:$A,$A4,Data!$D:$D,$B$30))/(sumifs(Data!$D:$D,Data!H:H,"&lt;&gt;",Data!$A:$A,$A4,Data!$D:$D,$B$30)-countifs(Data!H:H,"&lt;&gt;",Data!$A:$A,$A4,Data!$D:$D,$B$30)))</f>
        <v>0.46875</v>
      </c>
      <c r="G4" s="12" t="str">
        <f>if(COUNTIFS(Data!I:I,"&lt;&gt;",Data!$A:$A,$A4,Data!$D:$D,$B$30)&lt;$B$31,"",(sumifs(Data!$D:$D,Data!I:I,"&lt;&gt;",Data!$A:$A,$A4,Data!$D:$D,$B$30)-sumifs(Data!I:I,Data!I:I,"&lt;&gt;",Data!$A:$A,$A4,Data!$D:$D,$B$30))/(sumifs(Data!$D:$D,Data!I:I,"&lt;&gt;",Data!$A:$A,$A4,Data!$D:$D,$B$30)-countifs(Data!I:I,"&lt;&gt;",Data!$A:$A,$A4,Data!$D:$D,$B$30)))</f>
        <v/>
      </c>
      <c r="H4" s="12" t="str">
        <f>if(COUNTIFS(Data!J:J,"&lt;&gt;",Data!$A:$A,$A4,Data!$D:$D,$B$30)&lt;$B$31,"",(sumifs(Data!$D:$D,Data!J:J,"&lt;&gt;",Data!$A:$A,$A4,Data!$D:$D,$B$30)-sumifs(Data!J:J,Data!J:J,"&lt;&gt;",Data!$A:$A,$A4,Data!$D:$D,$B$30))/(sumifs(Data!$D:$D,Data!J:J,"&lt;&gt;",Data!$A:$A,$A4,Data!$D:$D,$B$30)-countifs(Data!J:J,"&lt;&gt;",Data!$A:$A,$A4,Data!$D:$D,$B$30)))</f>
        <v/>
      </c>
      <c r="I4" s="12" t="str">
        <f>if(COUNTIFS(Data!K:K,"&lt;&gt;",Data!$A:$A,$A4,Data!$D:$D,$B$30)&lt;$B$31,"",(sumifs(Data!$D:$D,Data!K:K,"&lt;&gt;",Data!$A:$A,$A4,Data!$D:$D,$B$30)-sumifs(Data!K:K,Data!K:K,"&lt;&gt;",Data!$A:$A,$A4,Data!$D:$D,$B$30))/(sumifs(Data!$D:$D,Data!K:K,"&lt;&gt;",Data!$A:$A,$A4,Data!$D:$D,$B$30)-countifs(Data!K:K,"&lt;&gt;",Data!$A:$A,$A4,Data!$D:$D,$B$30)))</f>
        <v/>
      </c>
      <c r="J4" s="12" t="str">
        <f>if(COUNTIFS(Data!L:L,"&lt;&gt;",Data!$A:$A,$A4,Data!$D:$D,$B$30)&lt;$B$31,"",(sumifs(Data!$D:$D,Data!L:L,"&lt;&gt;",Data!$A:$A,$A4,Data!$D:$D,$B$30)-sumifs(Data!L:L,Data!L:L,"&lt;&gt;",Data!$A:$A,$A4,Data!$D:$D,$B$30))/(sumifs(Data!$D:$D,Data!L:L,"&lt;&gt;",Data!$A:$A,$A4,Data!$D:$D,$B$30)-countifs(Data!L:L,"&lt;&gt;",Data!$A:$A,$A4,Data!$D:$D,$B$30)))</f>
        <v/>
      </c>
      <c r="K4" s="12" t="str">
        <f>if(COUNTIFS(Data!M:M,"&lt;&gt;",Data!$A:$A,$A4,Data!$D:$D,$B$30)&lt;$B$31,"",(sumifs(Data!$D:$D,Data!M:M,"&lt;&gt;",Data!$A:$A,$A4,Data!$D:$D,$B$30)-sumifs(Data!M:M,Data!M:M,"&lt;&gt;",Data!$A:$A,$A4,Data!$D:$D,$B$30))/(sumifs(Data!$D:$D,Data!M:M,"&lt;&gt;",Data!$A:$A,$A4,Data!$D:$D,$B$30)-countifs(Data!M:M,"&lt;&gt;",Data!$A:$A,$A4,Data!$D:$D,$B$30)))</f>
        <v/>
      </c>
      <c r="L4" s="12" t="str">
        <f>if(COUNTIFS(Data!N:N,"&lt;&gt;",Data!$A:$A,$A4,Data!$D:$D,$B$30)&lt;$B$31,"",(sumifs(Data!$D:$D,Data!N:N,"&lt;&gt;",Data!$A:$A,$A4,Data!$D:$D,$B$30)-sumifs(Data!N:N,Data!N:N,"&lt;&gt;",Data!$A:$A,$A4,Data!$D:$D,$B$30))/(sumifs(Data!$D:$D,Data!N:N,"&lt;&gt;",Data!$A:$A,$A4,Data!$D:$D,$B$30)-countifs(Data!N:N,"&lt;&gt;",Data!$A:$A,$A4,Data!$D:$D,$B$30)))</f>
        <v/>
      </c>
      <c r="M4" s="12" t="str">
        <f>if(COUNTIFS(Data!O:O,"&lt;&gt;",Data!$A:$A,$A4,Data!$D:$D,$B$30)&lt;$B$31,"",(sumifs(Data!$D:$D,Data!O:O,"&lt;&gt;",Data!$A:$A,$A4,Data!$D:$D,$B$30)-sumifs(Data!O:O,Data!O:O,"&lt;&gt;",Data!$A:$A,$A4,Data!$D:$D,$B$30))/(sumifs(Data!$D:$D,Data!O:O,"&lt;&gt;",Data!$A:$A,$A4,Data!$D:$D,$B$30)-countifs(Data!O:O,"&lt;&gt;",Data!$A:$A,$A4,Data!$D:$D,$B$30)))</f>
        <v/>
      </c>
      <c r="N4" s="12" t="str">
        <f>if(COUNTIFS(Data!P:P,"&lt;&gt;",Data!$A:$A,$A4,Data!$D:$D,$B$30)&lt;$B$31,"",(sumifs(Data!$D:$D,Data!P:P,"&lt;&gt;",Data!$A:$A,$A4,Data!$D:$D,$B$30)-sumifs(Data!P:P,Data!P:P,"&lt;&gt;",Data!$A:$A,$A4,Data!$D:$D,$B$30))/(sumifs(Data!$D:$D,Data!P:P,"&lt;&gt;",Data!$A:$A,$A4,Data!$D:$D,$B$30)-countifs(Data!P:P,"&lt;&gt;",Data!$A:$A,$A4,Data!$D:$D,$B$30)))</f>
        <v/>
      </c>
      <c r="O4" s="12" t="str">
        <f>if(COUNTIFS(Data!Q:Q,"&lt;&gt;",Data!$A:$A,$A4,Data!$D:$D,$B$30)&lt;$B$31,"",(sumifs(Data!$D:$D,Data!Q:Q,"&lt;&gt;",Data!$A:$A,$A4,Data!$D:$D,$B$30)-sumifs(Data!Q:Q,Data!Q:Q,"&lt;&gt;",Data!$A:$A,$A4,Data!$D:$D,$B$30))/(sumifs(Data!$D:$D,Data!Q:Q,"&lt;&gt;",Data!$A:$A,$A4,Data!$D:$D,$B$30)-countifs(Data!Q:Q,"&lt;&gt;",Data!$A:$A,$A4,Data!$D:$D,$B$30)))</f>
        <v/>
      </c>
      <c r="P4" s="12" t="str">
        <f>if(COUNTIFS(Data!R:R,"&lt;&gt;",Data!$A:$A,$A4,Data!$D:$D,$B$30)&lt;$B$31,"",(sumifs(Data!$D:$D,Data!R:R,"&lt;&gt;",Data!$A:$A,$A4,Data!$D:$D,$B$30)-sumifs(Data!R:R,Data!R:R,"&lt;&gt;",Data!$A:$A,$A4,Data!$D:$D,$B$30))/(sumifs(Data!$D:$D,Data!R:R,"&lt;&gt;",Data!$A:$A,$A4,Data!$D:$D,$B$30)-countifs(Data!R:R,"&lt;&gt;",Data!$A:$A,$A4,Data!$D:$D,$B$30)))</f>
        <v/>
      </c>
      <c r="Q4" s="12" t="str">
        <f>if(COUNTIFS(Data!S:S,"&lt;&gt;",Data!$A:$A,$A4,Data!$D:$D,$B$30)&lt;$B$31,"",(sumifs(Data!$D:$D,Data!S:S,"&lt;&gt;",Data!$A:$A,$A4,Data!$D:$D,$B$30)-sumifs(Data!S:S,Data!S:S,"&lt;&gt;",Data!$A:$A,$A4,Data!$D:$D,$B$30))/(sumifs(Data!$D:$D,Data!S:S,"&lt;&gt;",Data!$A:$A,$A4,Data!$D:$D,$B$30)-countifs(Data!S:S,"&lt;&gt;",Data!$A:$A,$A4,Data!$D:$D,$B$30)))</f>
        <v/>
      </c>
      <c r="R4" s="12" t="str">
        <f>if(COUNTIFS(Data!T:T,"&lt;&gt;",Data!$A:$A,$A4,Data!$D:$D,$B$30)&lt;$B$31,"",(sumifs(Data!$D:$D,Data!T:T,"&lt;&gt;",Data!$A:$A,$A4,Data!$D:$D,$B$30)-sumifs(Data!T:T,Data!T:T,"&lt;&gt;",Data!$A:$A,$A4,Data!$D:$D,$B$30))/(sumifs(Data!$D:$D,Data!T:T,"&lt;&gt;",Data!$A:$A,$A4,Data!$D:$D,$B$30)-countifs(Data!T:T,"&lt;&gt;",Data!$A:$A,$A4,Data!$D:$D,$B$30)))</f>
        <v/>
      </c>
      <c r="S4" s="12" t="str">
        <f>if(COUNTIFS(Data!U:U,"&lt;&gt;",Data!$A:$A,$A4,Data!$D:$D,$B$30)&lt;$B$31,"",(sumifs(Data!$D:$D,Data!U:U,"&lt;&gt;",Data!$A:$A,$A4,Data!$D:$D,$B$30)-sumifs(Data!U:U,Data!U:U,"&lt;&gt;",Data!$A:$A,$A4,Data!$D:$D,$B$30))/(sumifs(Data!$D:$D,Data!U:U,"&lt;&gt;",Data!$A:$A,$A4,Data!$D:$D,$B$30)-countifs(Data!U:U,"&lt;&gt;",Data!$A:$A,$A4,Data!$D:$D,$B$30)))</f>
        <v/>
      </c>
      <c r="T4" s="12" t="str">
        <f>if(COUNTIFS(Data!V:V,"&lt;&gt;",Data!$A:$A,$A4,Data!$D:$D,$B$30)&lt;$B$31,"",(sumifs(Data!$D:$D,Data!V:V,"&lt;&gt;",Data!$A:$A,$A4,Data!$D:$D,$B$30)-sumifs(Data!V:V,Data!V:V,"&lt;&gt;",Data!$A:$A,$A4,Data!$D:$D,$B$30))/(sumifs(Data!$D:$D,Data!V:V,"&lt;&gt;",Data!$A:$A,$A4,Data!$D:$D,$B$30)-countifs(Data!V:V,"&lt;&gt;",Data!$A:$A,$A4,Data!$D:$D,$B$30)))</f>
        <v/>
      </c>
    </row>
    <row r="5">
      <c r="A5" s="1" t="s">
        <v>27</v>
      </c>
      <c r="B5" s="1">
        <f>countif(Data!A:A,"="&amp;A5)</f>
        <v>17</v>
      </c>
      <c r="C5" s="12">
        <f>if(COUNTIFS(Data!E:E,"&lt;&gt;",Data!$A:$A,$A5,Data!$D:$D,$B$30)&lt;$B$31,"",(sumifs(Data!$D:$D,Data!E:E,"&lt;&gt;",Data!$A:$A,$A5,Data!$D:$D,$B$30)-sumifs(Data!E:E,Data!E:E,"&lt;&gt;",Data!$A:$A,$A5,Data!$D:$D,$B$30))/(sumifs(Data!$D:$D,Data!E:E,"&lt;&gt;",Data!$A:$A,$A5,Data!$D:$D,$B$30)-countifs(Data!E:E,"&lt;&gt;",Data!$A:$A,$A5,Data!$D:$D,$B$30)))</f>
        <v>0.3846153846</v>
      </c>
      <c r="D5" s="12">
        <f>if(COUNTIFS(Data!F:F,"&lt;&gt;",Data!$A:$A,$A5,Data!$D:$D,$B$30)&lt;$B$31,"",(sumifs(Data!$D:$D,Data!F:F,"&lt;&gt;",Data!$A:$A,$A5,Data!$D:$D,$B$30)-sumifs(Data!F:F,Data!F:F,"&lt;&gt;",Data!$A:$A,$A5,Data!$D:$D,$B$30))/(sumifs(Data!$D:$D,Data!F:F,"&lt;&gt;",Data!$A:$A,$A5,Data!$D:$D,$B$30)-countifs(Data!F:F,"&lt;&gt;",Data!$A:$A,$A5,Data!$D:$D,$B$30)))</f>
        <v>0.5769230769</v>
      </c>
      <c r="E5" s="12" t="str">
        <f>if(COUNTIFS(Data!G:G,"&lt;&gt;",Data!$A:$A,$A5,Data!$D:$D,$B$30)&lt;$B$31,"",(sumifs(Data!$D:$D,Data!G:G,"&lt;&gt;",Data!$A:$A,$A5,Data!$D:$D,$B$30)-sumifs(Data!G:G,Data!G:G,"&lt;&gt;",Data!$A:$A,$A5,Data!$D:$D,$B$30))/(sumifs(Data!$D:$D,Data!G:G,"&lt;&gt;",Data!$A:$A,$A5,Data!$D:$D,$B$30)-countifs(Data!G:G,"&lt;&gt;",Data!$A:$A,$A5,Data!$D:$D,$B$30)))</f>
        <v/>
      </c>
      <c r="F5" s="12" t="str">
        <f>if(COUNTIFS(Data!H:H,"&lt;&gt;",Data!$A:$A,$A5,Data!$D:$D,$B$30)&lt;$B$31,"",(sumifs(Data!$D:$D,Data!H:H,"&lt;&gt;",Data!$A:$A,$A5,Data!$D:$D,$B$30)-sumifs(Data!H:H,Data!H:H,"&lt;&gt;",Data!$A:$A,$A5,Data!$D:$D,$B$30))/(sumifs(Data!$D:$D,Data!H:H,"&lt;&gt;",Data!$A:$A,$A5,Data!$D:$D,$B$30)-countifs(Data!H:H,"&lt;&gt;",Data!$A:$A,$A5,Data!$D:$D,$B$30)))</f>
        <v/>
      </c>
      <c r="G5" s="12" t="str">
        <f>if(COUNTIFS(Data!I:I,"&lt;&gt;",Data!$A:$A,$A5,Data!$D:$D,$B$30)&lt;$B$31,"",(sumifs(Data!$D:$D,Data!I:I,"&lt;&gt;",Data!$A:$A,$A5,Data!$D:$D,$B$30)-sumifs(Data!I:I,Data!I:I,"&lt;&gt;",Data!$A:$A,$A5,Data!$D:$D,$B$30))/(sumifs(Data!$D:$D,Data!I:I,"&lt;&gt;",Data!$A:$A,$A5,Data!$D:$D,$B$30)-countifs(Data!I:I,"&lt;&gt;",Data!$A:$A,$A5,Data!$D:$D,$B$30)))</f>
        <v/>
      </c>
      <c r="H5" s="12" t="str">
        <f>if(COUNTIFS(Data!J:J,"&lt;&gt;",Data!$A:$A,$A5,Data!$D:$D,$B$30)&lt;$B$31,"",(sumifs(Data!$D:$D,Data!J:J,"&lt;&gt;",Data!$A:$A,$A5,Data!$D:$D,$B$30)-sumifs(Data!J:J,Data!J:J,"&lt;&gt;",Data!$A:$A,$A5,Data!$D:$D,$B$30))/(sumifs(Data!$D:$D,Data!J:J,"&lt;&gt;",Data!$A:$A,$A5,Data!$D:$D,$B$30)-countifs(Data!J:J,"&lt;&gt;",Data!$A:$A,$A5,Data!$D:$D,$B$30)))</f>
        <v/>
      </c>
      <c r="I5" s="12" t="str">
        <f>if(COUNTIFS(Data!K:K,"&lt;&gt;",Data!$A:$A,$A5,Data!$D:$D,$B$30)&lt;$B$31,"",(sumifs(Data!$D:$D,Data!K:K,"&lt;&gt;",Data!$A:$A,$A5,Data!$D:$D,$B$30)-sumifs(Data!K:K,Data!K:K,"&lt;&gt;",Data!$A:$A,$A5,Data!$D:$D,$B$30))/(sumifs(Data!$D:$D,Data!K:K,"&lt;&gt;",Data!$A:$A,$A5,Data!$D:$D,$B$30)-countifs(Data!K:K,"&lt;&gt;",Data!$A:$A,$A5,Data!$D:$D,$B$30)))</f>
        <v/>
      </c>
      <c r="J5" s="12" t="str">
        <f>if(COUNTIFS(Data!L:L,"&lt;&gt;",Data!$A:$A,$A5,Data!$D:$D,$B$30)&lt;$B$31,"",(sumifs(Data!$D:$D,Data!L:L,"&lt;&gt;",Data!$A:$A,$A5,Data!$D:$D,$B$30)-sumifs(Data!L:L,Data!L:L,"&lt;&gt;",Data!$A:$A,$A5,Data!$D:$D,$B$30))/(sumifs(Data!$D:$D,Data!L:L,"&lt;&gt;",Data!$A:$A,$A5,Data!$D:$D,$B$30)-countifs(Data!L:L,"&lt;&gt;",Data!$A:$A,$A5,Data!$D:$D,$B$30)))</f>
        <v/>
      </c>
      <c r="K5" s="12" t="str">
        <f>if(COUNTIFS(Data!M:M,"&lt;&gt;",Data!$A:$A,$A5,Data!$D:$D,$B$30)&lt;$B$31,"",(sumifs(Data!$D:$D,Data!M:M,"&lt;&gt;",Data!$A:$A,$A5,Data!$D:$D,$B$30)-sumifs(Data!M:M,Data!M:M,"&lt;&gt;",Data!$A:$A,$A5,Data!$D:$D,$B$30))/(sumifs(Data!$D:$D,Data!M:M,"&lt;&gt;",Data!$A:$A,$A5,Data!$D:$D,$B$30)-countifs(Data!M:M,"&lt;&gt;",Data!$A:$A,$A5,Data!$D:$D,$B$30)))</f>
        <v/>
      </c>
      <c r="L5" s="12" t="str">
        <f>if(COUNTIFS(Data!N:N,"&lt;&gt;",Data!$A:$A,$A5,Data!$D:$D,$B$30)&lt;$B$31,"",(sumifs(Data!$D:$D,Data!N:N,"&lt;&gt;",Data!$A:$A,$A5,Data!$D:$D,$B$30)-sumifs(Data!N:N,Data!N:N,"&lt;&gt;",Data!$A:$A,$A5,Data!$D:$D,$B$30))/(sumifs(Data!$D:$D,Data!N:N,"&lt;&gt;",Data!$A:$A,$A5,Data!$D:$D,$B$30)-countifs(Data!N:N,"&lt;&gt;",Data!$A:$A,$A5,Data!$D:$D,$B$30)))</f>
        <v/>
      </c>
      <c r="M5" s="12" t="str">
        <f>if(COUNTIFS(Data!O:O,"&lt;&gt;",Data!$A:$A,$A5,Data!$D:$D,$B$30)&lt;$B$31,"",(sumifs(Data!$D:$D,Data!O:O,"&lt;&gt;",Data!$A:$A,$A5,Data!$D:$D,$B$30)-sumifs(Data!O:O,Data!O:O,"&lt;&gt;",Data!$A:$A,$A5,Data!$D:$D,$B$30))/(sumifs(Data!$D:$D,Data!O:O,"&lt;&gt;",Data!$A:$A,$A5,Data!$D:$D,$B$30)-countifs(Data!O:O,"&lt;&gt;",Data!$A:$A,$A5,Data!$D:$D,$B$30)))</f>
        <v/>
      </c>
      <c r="N5" s="12" t="str">
        <f>if(COUNTIFS(Data!P:P,"&lt;&gt;",Data!$A:$A,$A5,Data!$D:$D,$B$30)&lt;$B$31,"",(sumifs(Data!$D:$D,Data!P:P,"&lt;&gt;",Data!$A:$A,$A5,Data!$D:$D,$B$30)-sumifs(Data!P:P,Data!P:P,"&lt;&gt;",Data!$A:$A,$A5,Data!$D:$D,$B$30))/(sumifs(Data!$D:$D,Data!P:P,"&lt;&gt;",Data!$A:$A,$A5,Data!$D:$D,$B$30)-countifs(Data!P:P,"&lt;&gt;",Data!$A:$A,$A5,Data!$D:$D,$B$30)))</f>
        <v/>
      </c>
      <c r="O5" s="12" t="str">
        <f>if(COUNTIFS(Data!Q:Q,"&lt;&gt;",Data!$A:$A,$A5,Data!$D:$D,$B$30)&lt;$B$31,"",(sumifs(Data!$D:$D,Data!Q:Q,"&lt;&gt;",Data!$A:$A,$A5,Data!$D:$D,$B$30)-sumifs(Data!Q:Q,Data!Q:Q,"&lt;&gt;",Data!$A:$A,$A5,Data!$D:$D,$B$30))/(sumifs(Data!$D:$D,Data!Q:Q,"&lt;&gt;",Data!$A:$A,$A5,Data!$D:$D,$B$30)-countifs(Data!Q:Q,"&lt;&gt;",Data!$A:$A,$A5,Data!$D:$D,$B$30)))</f>
        <v/>
      </c>
      <c r="P5" s="12" t="str">
        <f>if(COUNTIFS(Data!R:R,"&lt;&gt;",Data!$A:$A,$A5,Data!$D:$D,$B$30)&lt;$B$31,"",(sumifs(Data!$D:$D,Data!R:R,"&lt;&gt;",Data!$A:$A,$A5,Data!$D:$D,$B$30)-sumifs(Data!R:R,Data!R:R,"&lt;&gt;",Data!$A:$A,$A5,Data!$D:$D,$B$30))/(sumifs(Data!$D:$D,Data!R:R,"&lt;&gt;",Data!$A:$A,$A5,Data!$D:$D,$B$30)-countifs(Data!R:R,"&lt;&gt;",Data!$A:$A,$A5,Data!$D:$D,$B$30)))</f>
        <v/>
      </c>
      <c r="Q5" s="12" t="str">
        <f>if(COUNTIFS(Data!S:S,"&lt;&gt;",Data!$A:$A,$A5,Data!$D:$D,$B$30)&lt;$B$31,"",(sumifs(Data!$D:$D,Data!S:S,"&lt;&gt;",Data!$A:$A,$A5,Data!$D:$D,$B$30)-sumifs(Data!S:S,Data!S:S,"&lt;&gt;",Data!$A:$A,$A5,Data!$D:$D,$B$30))/(sumifs(Data!$D:$D,Data!S:S,"&lt;&gt;",Data!$A:$A,$A5,Data!$D:$D,$B$30)-countifs(Data!S:S,"&lt;&gt;",Data!$A:$A,$A5,Data!$D:$D,$B$30)))</f>
        <v/>
      </c>
      <c r="R5" s="12" t="str">
        <f>if(COUNTIFS(Data!T:T,"&lt;&gt;",Data!$A:$A,$A5,Data!$D:$D,$B$30)&lt;$B$31,"",(sumifs(Data!$D:$D,Data!T:T,"&lt;&gt;",Data!$A:$A,$A5,Data!$D:$D,$B$30)-sumifs(Data!T:T,Data!T:T,"&lt;&gt;",Data!$A:$A,$A5,Data!$D:$D,$B$30))/(sumifs(Data!$D:$D,Data!T:T,"&lt;&gt;",Data!$A:$A,$A5,Data!$D:$D,$B$30)-countifs(Data!T:T,"&lt;&gt;",Data!$A:$A,$A5,Data!$D:$D,$B$30)))</f>
        <v/>
      </c>
      <c r="S5" s="12" t="str">
        <f>if(COUNTIFS(Data!U:U,"&lt;&gt;",Data!$A:$A,$A5,Data!$D:$D,$B$30)&lt;$B$31,"",(sumifs(Data!$D:$D,Data!U:U,"&lt;&gt;",Data!$A:$A,$A5,Data!$D:$D,$B$30)-sumifs(Data!U:U,Data!U:U,"&lt;&gt;",Data!$A:$A,$A5,Data!$D:$D,$B$30))/(sumifs(Data!$D:$D,Data!U:U,"&lt;&gt;",Data!$A:$A,$A5,Data!$D:$D,$B$30)-countifs(Data!U:U,"&lt;&gt;",Data!$A:$A,$A5,Data!$D:$D,$B$30)))</f>
        <v/>
      </c>
      <c r="T5" s="12" t="str">
        <f>if(COUNTIFS(Data!V:V,"&lt;&gt;",Data!$A:$A,$A5,Data!$D:$D,$B$30)&lt;$B$31,"",(sumifs(Data!$D:$D,Data!V:V,"&lt;&gt;",Data!$A:$A,$A5,Data!$D:$D,$B$30)-sumifs(Data!V:V,Data!V:V,"&lt;&gt;",Data!$A:$A,$A5,Data!$D:$D,$B$30))/(sumifs(Data!$D:$D,Data!V:V,"&lt;&gt;",Data!$A:$A,$A5,Data!$D:$D,$B$30)-countifs(Data!V:V,"&lt;&gt;",Data!$A:$A,$A5,Data!$D:$D,$B$30)))</f>
        <v/>
      </c>
    </row>
    <row r="6">
      <c r="A6" s="1" t="s">
        <v>28</v>
      </c>
      <c r="B6" s="1">
        <f>countif(Data!A:A,"="&amp;A6)</f>
        <v>269</v>
      </c>
      <c r="C6" s="12">
        <f>if(COUNTIFS(Data!E:E,"&lt;&gt;",Data!$A:$A,$A6,Data!$D:$D,$B$30)&lt;$B$31,"",(sumifs(Data!$D:$D,Data!E:E,"&lt;&gt;",Data!$A:$A,$A6,Data!$D:$D,$B$30)-sumifs(Data!E:E,Data!E:E,"&lt;&gt;",Data!$A:$A,$A6,Data!$D:$D,$B$30))/(sumifs(Data!$D:$D,Data!E:E,"&lt;&gt;",Data!$A:$A,$A6,Data!$D:$D,$B$30)-countifs(Data!E:E,"&lt;&gt;",Data!$A:$A,$A6,Data!$D:$D,$B$30)))</f>
        <v>0.4847826087</v>
      </c>
      <c r="D6" s="12">
        <f>if(COUNTIFS(Data!F:F,"&lt;&gt;",Data!$A:$A,$A6,Data!$D:$D,$B$30)&lt;$B$31,"",(sumifs(Data!$D:$D,Data!F:F,"&lt;&gt;",Data!$A:$A,$A6,Data!$D:$D,$B$30)-sumifs(Data!F:F,Data!F:F,"&lt;&gt;",Data!$A:$A,$A6,Data!$D:$D,$B$30))/(sumifs(Data!$D:$D,Data!F:F,"&lt;&gt;",Data!$A:$A,$A6,Data!$D:$D,$B$30)-countifs(Data!F:F,"&lt;&gt;",Data!$A:$A,$A6,Data!$D:$D,$B$30)))</f>
        <v>0.4869565217</v>
      </c>
      <c r="E6" s="12">
        <f>if(COUNTIFS(Data!G:G,"&lt;&gt;",Data!$A:$A,$A6,Data!$D:$D,$B$30)&lt;$B$31,"",(sumifs(Data!$D:$D,Data!G:G,"&lt;&gt;",Data!$A:$A,$A6,Data!$D:$D,$B$30)-sumifs(Data!G:G,Data!G:G,"&lt;&gt;",Data!$A:$A,$A6,Data!$D:$D,$B$30))/(sumifs(Data!$D:$D,Data!G:G,"&lt;&gt;",Data!$A:$A,$A6,Data!$D:$D,$B$30)-countifs(Data!G:G,"&lt;&gt;",Data!$A:$A,$A6,Data!$D:$D,$B$30)))</f>
        <v>0.5065502183</v>
      </c>
      <c r="F6" s="12" t="str">
        <f>if(COUNTIFS(Data!H:H,"&lt;&gt;",Data!$A:$A,$A6,Data!$D:$D,$B$30)&lt;$B$31,"",(sumifs(Data!$D:$D,Data!H:H,"&lt;&gt;",Data!$A:$A,$A6,Data!$D:$D,$B$30)-sumifs(Data!H:H,Data!H:H,"&lt;&gt;",Data!$A:$A,$A6,Data!$D:$D,$B$30))/(sumifs(Data!$D:$D,Data!H:H,"&lt;&gt;",Data!$A:$A,$A6,Data!$D:$D,$B$30)-countifs(Data!H:H,"&lt;&gt;",Data!$A:$A,$A6,Data!$D:$D,$B$30)))</f>
        <v/>
      </c>
      <c r="G6" s="12" t="str">
        <f>if(COUNTIFS(Data!I:I,"&lt;&gt;",Data!$A:$A,$A6,Data!$D:$D,$B$30)&lt;$B$31,"",(sumifs(Data!$D:$D,Data!I:I,"&lt;&gt;",Data!$A:$A,$A6,Data!$D:$D,$B$30)-sumifs(Data!I:I,Data!I:I,"&lt;&gt;",Data!$A:$A,$A6,Data!$D:$D,$B$30))/(sumifs(Data!$D:$D,Data!I:I,"&lt;&gt;",Data!$A:$A,$A6,Data!$D:$D,$B$30)-countifs(Data!I:I,"&lt;&gt;",Data!$A:$A,$A6,Data!$D:$D,$B$30)))</f>
        <v/>
      </c>
      <c r="H6" s="12" t="str">
        <f>if(COUNTIFS(Data!J:J,"&lt;&gt;",Data!$A:$A,$A6,Data!$D:$D,$B$30)&lt;$B$31,"",(sumifs(Data!$D:$D,Data!J:J,"&lt;&gt;",Data!$A:$A,$A6,Data!$D:$D,$B$30)-sumifs(Data!J:J,Data!J:J,"&lt;&gt;",Data!$A:$A,$A6,Data!$D:$D,$B$30))/(sumifs(Data!$D:$D,Data!J:J,"&lt;&gt;",Data!$A:$A,$A6,Data!$D:$D,$B$30)-countifs(Data!J:J,"&lt;&gt;",Data!$A:$A,$A6,Data!$D:$D,$B$30)))</f>
        <v/>
      </c>
      <c r="I6" s="12" t="str">
        <f>if(COUNTIFS(Data!K:K,"&lt;&gt;",Data!$A:$A,$A6,Data!$D:$D,$B$30)&lt;$B$31,"",(sumifs(Data!$D:$D,Data!K:K,"&lt;&gt;",Data!$A:$A,$A6,Data!$D:$D,$B$30)-sumifs(Data!K:K,Data!K:K,"&lt;&gt;",Data!$A:$A,$A6,Data!$D:$D,$B$30))/(sumifs(Data!$D:$D,Data!K:K,"&lt;&gt;",Data!$A:$A,$A6,Data!$D:$D,$B$30)-countifs(Data!K:K,"&lt;&gt;",Data!$A:$A,$A6,Data!$D:$D,$B$30)))</f>
        <v/>
      </c>
      <c r="J6" s="12" t="str">
        <f>if(COUNTIFS(Data!L:L,"&lt;&gt;",Data!$A:$A,$A6,Data!$D:$D,$B$30)&lt;$B$31,"",(sumifs(Data!$D:$D,Data!L:L,"&lt;&gt;",Data!$A:$A,$A6,Data!$D:$D,$B$30)-sumifs(Data!L:L,Data!L:L,"&lt;&gt;",Data!$A:$A,$A6,Data!$D:$D,$B$30))/(sumifs(Data!$D:$D,Data!L:L,"&lt;&gt;",Data!$A:$A,$A6,Data!$D:$D,$B$30)-countifs(Data!L:L,"&lt;&gt;",Data!$A:$A,$A6,Data!$D:$D,$B$30)))</f>
        <v/>
      </c>
      <c r="K6" s="12" t="str">
        <f>if(COUNTIFS(Data!M:M,"&lt;&gt;",Data!$A:$A,$A6,Data!$D:$D,$B$30)&lt;$B$31,"",(sumifs(Data!$D:$D,Data!M:M,"&lt;&gt;",Data!$A:$A,$A6,Data!$D:$D,$B$30)-sumifs(Data!M:M,Data!M:M,"&lt;&gt;",Data!$A:$A,$A6,Data!$D:$D,$B$30))/(sumifs(Data!$D:$D,Data!M:M,"&lt;&gt;",Data!$A:$A,$A6,Data!$D:$D,$B$30)-countifs(Data!M:M,"&lt;&gt;",Data!$A:$A,$A6,Data!$D:$D,$B$30)))</f>
        <v/>
      </c>
      <c r="L6" s="12" t="str">
        <f>if(COUNTIFS(Data!N:N,"&lt;&gt;",Data!$A:$A,$A6,Data!$D:$D,$B$30)&lt;$B$31,"",(sumifs(Data!$D:$D,Data!N:N,"&lt;&gt;",Data!$A:$A,$A6,Data!$D:$D,$B$30)-sumifs(Data!N:N,Data!N:N,"&lt;&gt;",Data!$A:$A,$A6,Data!$D:$D,$B$30))/(sumifs(Data!$D:$D,Data!N:N,"&lt;&gt;",Data!$A:$A,$A6,Data!$D:$D,$B$30)-countifs(Data!N:N,"&lt;&gt;",Data!$A:$A,$A6,Data!$D:$D,$B$30)))</f>
        <v/>
      </c>
      <c r="M6" s="12" t="str">
        <f>if(COUNTIFS(Data!O:O,"&lt;&gt;",Data!$A:$A,$A6,Data!$D:$D,$B$30)&lt;$B$31,"",(sumifs(Data!$D:$D,Data!O:O,"&lt;&gt;",Data!$A:$A,$A6,Data!$D:$D,$B$30)-sumifs(Data!O:O,Data!O:O,"&lt;&gt;",Data!$A:$A,$A6,Data!$D:$D,$B$30))/(sumifs(Data!$D:$D,Data!O:O,"&lt;&gt;",Data!$A:$A,$A6,Data!$D:$D,$B$30)-countifs(Data!O:O,"&lt;&gt;",Data!$A:$A,$A6,Data!$D:$D,$B$30)))</f>
        <v/>
      </c>
      <c r="N6" s="12" t="str">
        <f>if(COUNTIFS(Data!P:P,"&lt;&gt;",Data!$A:$A,$A6,Data!$D:$D,$B$30)&lt;$B$31,"",(sumifs(Data!$D:$D,Data!P:P,"&lt;&gt;",Data!$A:$A,$A6,Data!$D:$D,$B$30)-sumifs(Data!P:P,Data!P:P,"&lt;&gt;",Data!$A:$A,$A6,Data!$D:$D,$B$30))/(sumifs(Data!$D:$D,Data!P:P,"&lt;&gt;",Data!$A:$A,$A6,Data!$D:$D,$B$30)-countifs(Data!P:P,"&lt;&gt;",Data!$A:$A,$A6,Data!$D:$D,$B$30)))</f>
        <v/>
      </c>
      <c r="O6" s="12" t="str">
        <f>if(COUNTIFS(Data!Q:Q,"&lt;&gt;",Data!$A:$A,$A6,Data!$D:$D,$B$30)&lt;$B$31,"",(sumifs(Data!$D:$D,Data!Q:Q,"&lt;&gt;",Data!$A:$A,$A6,Data!$D:$D,$B$30)-sumifs(Data!Q:Q,Data!Q:Q,"&lt;&gt;",Data!$A:$A,$A6,Data!$D:$D,$B$30))/(sumifs(Data!$D:$D,Data!Q:Q,"&lt;&gt;",Data!$A:$A,$A6,Data!$D:$D,$B$30)-countifs(Data!Q:Q,"&lt;&gt;",Data!$A:$A,$A6,Data!$D:$D,$B$30)))</f>
        <v/>
      </c>
      <c r="P6" s="12" t="str">
        <f>if(COUNTIFS(Data!R:R,"&lt;&gt;",Data!$A:$A,$A6,Data!$D:$D,$B$30)&lt;$B$31,"",(sumifs(Data!$D:$D,Data!R:R,"&lt;&gt;",Data!$A:$A,$A6,Data!$D:$D,$B$30)-sumifs(Data!R:R,Data!R:R,"&lt;&gt;",Data!$A:$A,$A6,Data!$D:$D,$B$30))/(sumifs(Data!$D:$D,Data!R:R,"&lt;&gt;",Data!$A:$A,$A6,Data!$D:$D,$B$30)-countifs(Data!R:R,"&lt;&gt;",Data!$A:$A,$A6,Data!$D:$D,$B$30)))</f>
        <v/>
      </c>
      <c r="Q6" s="12" t="str">
        <f>if(COUNTIFS(Data!S:S,"&lt;&gt;",Data!$A:$A,$A6,Data!$D:$D,$B$30)&lt;$B$31,"",(sumifs(Data!$D:$D,Data!S:S,"&lt;&gt;",Data!$A:$A,$A6,Data!$D:$D,$B$30)-sumifs(Data!S:S,Data!S:S,"&lt;&gt;",Data!$A:$A,$A6,Data!$D:$D,$B$30))/(sumifs(Data!$D:$D,Data!S:S,"&lt;&gt;",Data!$A:$A,$A6,Data!$D:$D,$B$30)-countifs(Data!S:S,"&lt;&gt;",Data!$A:$A,$A6,Data!$D:$D,$B$30)))</f>
        <v/>
      </c>
      <c r="R6" s="12" t="str">
        <f>if(COUNTIFS(Data!T:T,"&lt;&gt;",Data!$A:$A,$A6,Data!$D:$D,$B$30)&lt;$B$31,"",(sumifs(Data!$D:$D,Data!T:T,"&lt;&gt;",Data!$A:$A,$A6,Data!$D:$D,$B$30)-sumifs(Data!T:T,Data!T:T,"&lt;&gt;",Data!$A:$A,$A6,Data!$D:$D,$B$30))/(sumifs(Data!$D:$D,Data!T:T,"&lt;&gt;",Data!$A:$A,$A6,Data!$D:$D,$B$30)-countifs(Data!T:T,"&lt;&gt;",Data!$A:$A,$A6,Data!$D:$D,$B$30)))</f>
        <v/>
      </c>
      <c r="S6" s="12" t="str">
        <f>if(COUNTIFS(Data!U:U,"&lt;&gt;",Data!$A:$A,$A6,Data!$D:$D,$B$30)&lt;$B$31,"",(sumifs(Data!$D:$D,Data!U:U,"&lt;&gt;",Data!$A:$A,$A6,Data!$D:$D,$B$30)-sumifs(Data!U:U,Data!U:U,"&lt;&gt;",Data!$A:$A,$A6,Data!$D:$D,$B$30))/(sumifs(Data!$D:$D,Data!U:U,"&lt;&gt;",Data!$A:$A,$A6,Data!$D:$D,$B$30)-countifs(Data!U:U,"&lt;&gt;",Data!$A:$A,$A6,Data!$D:$D,$B$30)))</f>
        <v/>
      </c>
      <c r="T6" s="12" t="str">
        <f>if(COUNTIFS(Data!V:V,"&lt;&gt;",Data!$A:$A,$A6,Data!$D:$D,$B$30)&lt;$B$31,"",(sumifs(Data!$D:$D,Data!V:V,"&lt;&gt;",Data!$A:$A,$A6,Data!$D:$D,$B$30)-sumifs(Data!V:V,Data!V:V,"&lt;&gt;",Data!$A:$A,$A6,Data!$D:$D,$B$30))/(sumifs(Data!$D:$D,Data!V:V,"&lt;&gt;",Data!$A:$A,$A6,Data!$D:$D,$B$30)-countifs(Data!V:V,"&lt;&gt;",Data!$A:$A,$A6,Data!$D:$D,$B$30)))</f>
        <v/>
      </c>
    </row>
    <row r="7">
      <c r="A7" s="1" t="s">
        <v>30</v>
      </c>
      <c r="B7" s="1">
        <f>countif(Data!A:A,"="&amp;A7)</f>
        <v>7</v>
      </c>
      <c r="C7" s="12" t="str">
        <f>if(COUNTIFS(Data!E:E,"&lt;&gt;",Data!$A:$A,$A7,Data!$D:$D,$B$30)&lt;$B$31,"",(sumifs(Data!$D:$D,Data!E:E,"&lt;&gt;",Data!$A:$A,$A7,Data!$D:$D,$B$30)-sumifs(Data!E:E,Data!E:E,"&lt;&gt;",Data!$A:$A,$A7,Data!$D:$D,$B$30))/(sumifs(Data!$D:$D,Data!E:E,"&lt;&gt;",Data!$A:$A,$A7,Data!$D:$D,$B$30)-countifs(Data!E:E,"&lt;&gt;",Data!$A:$A,$A7,Data!$D:$D,$B$30)))</f>
        <v/>
      </c>
      <c r="D7" s="12" t="str">
        <f>if(COUNTIFS(Data!F:F,"&lt;&gt;",Data!$A:$A,$A7,Data!$D:$D,$B$30)&lt;$B$31,"",(sumifs(Data!$D:$D,Data!F:F,"&lt;&gt;",Data!$A:$A,$A7,Data!$D:$D,$B$30)-sumifs(Data!F:F,Data!F:F,"&lt;&gt;",Data!$A:$A,$A7,Data!$D:$D,$B$30))/(sumifs(Data!$D:$D,Data!F:F,"&lt;&gt;",Data!$A:$A,$A7,Data!$D:$D,$B$30)-countifs(Data!F:F,"&lt;&gt;",Data!$A:$A,$A7,Data!$D:$D,$B$30)))</f>
        <v/>
      </c>
      <c r="E7" s="12" t="str">
        <f>if(COUNTIFS(Data!G:G,"&lt;&gt;",Data!$A:$A,$A7,Data!$D:$D,$B$30)&lt;$B$31,"",(sumifs(Data!$D:$D,Data!G:G,"&lt;&gt;",Data!$A:$A,$A7,Data!$D:$D,$B$30)-sumifs(Data!G:G,Data!G:G,"&lt;&gt;",Data!$A:$A,$A7,Data!$D:$D,$B$30))/(sumifs(Data!$D:$D,Data!G:G,"&lt;&gt;",Data!$A:$A,$A7,Data!$D:$D,$B$30)-countifs(Data!G:G,"&lt;&gt;",Data!$A:$A,$A7,Data!$D:$D,$B$30)))</f>
        <v/>
      </c>
      <c r="F7" s="12" t="str">
        <f>if(COUNTIFS(Data!H:H,"&lt;&gt;",Data!$A:$A,$A7,Data!$D:$D,$B$30)&lt;$B$31,"",(sumifs(Data!$D:$D,Data!H:H,"&lt;&gt;",Data!$A:$A,$A7,Data!$D:$D,$B$30)-sumifs(Data!H:H,Data!H:H,"&lt;&gt;",Data!$A:$A,$A7,Data!$D:$D,$B$30))/(sumifs(Data!$D:$D,Data!H:H,"&lt;&gt;",Data!$A:$A,$A7,Data!$D:$D,$B$30)-countifs(Data!H:H,"&lt;&gt;",Data!$A:$A,$A7,Data!$D:$D,$B$30)))</f>
        <v/>
      </c>
      <c r="G7" s="12" t="str">
        <f>if(COUNTIFS(Data!I:I,"&lt;&gt;",Data!$A:$A,$A7,Data!$D:$D,$B$30)&lt;$B$31,"",(sumifs(Data!$D:$D,Data!I:I,"&lt;&gt;",Data!$A:$A,$A7,Data!$D:$D,$B$30)-sumifs(Data!I:I,Data!I:I,"&lt;&gt;",Data!$A:$A,$A7,Data!$D:$D,$B$30))/(sumifs(Data!$D:$D,Data!I:I,"&lt;&gt;",Data!$A:$A,$A7,Data!$D:$D,$B$30)-countifs(Data!I:I,"&lt;&gt;",Data!$A:$A,$A7,Data!$D:$D,$B$30)))</f>
        <v/>
      </c>
      <c r="H7" s="12" t="str">
        <f>if(COUNTIFS(Data!J:J,"&lt;&gt;",Data!$A:$A,$A7,Data!$D:$D,$B$30)&lt;$B$31,"",(sumifs(Data!$D:$D,Data!J:J,"&lt;&gt;",Data!$A:$A,$A7,Data!$D:$D,$B$30)-sumifs(Data!J:J,Data!J:J,"&lt;&gt;",Data!$A:$A,$A7,Data!$D:$D,$B$30))/(sumifs(Data!$D:$D,Data!J:J,"&lt;&gt;",Data!$A:$A,$A7,Data!$D:$D,$B$30)-countifs(Data!J:J,"&lt;&gt;",Data!$A:$A,$A7,Data!$D:$D,$B$30)))</f>
        <v/>
      </c>
      <c r="I7" s="12" t="str">
        <f>if(COUNTIFS(Data!K:K,"&lt;&gt;",Data!$A:$A,$A7,Data!$D:$D,$B$30)&lt;$B$31,"",(sumifs(Data!$D:$D,Data!K:K,"&lt;&gt;",Data!$A:$A,$A7,Data!$D:$D,$B$30)-sumifs(Data!K:K,Data!K:K,"&lt;&gt;",Data!$A:$A,$A7,Data!$D:$D,$B$30))/(sumifs(Data!$D:$D,Data!K:K,"&lt;&gt;",Data!$A:$A,$A7,Data!$D:$D,$B$30)-countifs(Data!K:K,"&lt;&gt;",Data!$A:$A,$A7,Data!$D:$D,$B$30)))</f>
        <v/>
      </c>
      <c r="J7" s="12" t="str">
        <f>if(COUNTIFS(Data!L:L,"&lt;&gt;",Data!$A:$A,$A7,Data!$D:$D,$B$30)&lt;$B$31,"",(sumifs(Data!$D:$D,Data!L:L,"&lt;&gt;",Data!$A:$A,$A7,Data!$D:$D,$B$30)-sumifs(Data!L:L,Data!L:L,"&lt;&gt;",Data!$A:$A,$A7,Data!$D:$D,$B$30))/(sumifs(Data!$D:$D,Data!L:L,"&lt;&gt;",Data!$A:$A,$A7,Data!$D:$D,$B$30)-countifs(Data!L:L,"&lt;&gt;",Data!$A:$A,$A7,Data!$D:$D,$B$30)))</f>
        <v/>
      </c>
      <c r="K7" s="12" t="str">
        <f>if(COUNTIFS(Data!M:M,"&lt;&gt;",Data!$A:$A,$A7,Data!$D:$D,$B$30)&lt;$B$31,"",(sumifs(Data!$D:$D,Data!M:M,"&lt;&gt;",Data!$A:$A,$A7,Data!$D:$D,$B$30)-sumifs(Data!M:M,Data!M:M,"&lt;&gt;",Data!$A:$A,$A7,Data!$D:$D,$B$30))/(sumifs(Data!$D:$D,Data!M:M,"&lt;&gt;",Data!$A:$A,$A7,Data!$D:$D,$B$30)-countifs(Data!M:M,"&lt;&gt;",Data!$A:$A,$A7,Data!$D:$D,$B$30)))</f>
        <v/>
      </c>
      <c r="L7" s="12" t="str">
        <f>if(COUNTIFS(Data!N:N,"&lt;&gt;",Data!$A:$A,$A7,Data!$D:$D,$B$30)&lt;$B$31,"",(sumifs(Data!$D:$D,Data!N:N,"&lt;&gt;",Data!$A:$A,$A7,Data!$D:$D,$B$30)-sumifs(Data!N:N,Data!N:N,"&lt;&gt;",Data!$A:$A,$A7,Data!$D:$D,$B$30))/(sumifs(Data!$D:$D,Data!N:N,"&lt;&gt;",Data!$A:$A,$A7,Data!$D:$D,$B$30)-countifs(Data!N:N,"&lt;&gt;",Data!$A:$A,$A7,Data!$D:$D,$B$30)))</f>
        <v/>
      </c>
      <c r="M7" s="12" t="str">
        <f>if(COUNTIFS(Data!O:O,"&lt;&gt;",Data!$A:$A,$A7,Data!$D:$D,$B$30)&lt;$B$31,"",(sumifs(Data!$D:$D,Data!O:O,"&lt;&gt;",Data!$A:$A,$A7,Data!$D:$D,$B$30)-sumifs(Data!O:O,Data!O:O,"&lt;&gt;",Data!$A:$A,$A7,Data!$D:$D,$B$30))/(sumifs(Data!$D:$D,Data!O:O,"&lt;&gt;",Data!$A:$A,$A7,Data!$D:$D,$B$30)-countifs(Data!O:O,"&lt;&gt;",Data!$A:$A,$A7,Data!$D:$D,$B$30)))</f>
        <v/>
      </c>
      <c r="N7" s="12" t="str">
        <f>if(COUNTIFS(Data!P:P,"&lt;&gt;",Data!$A:$A,$A7,Data!$D:$D,$B$30)&lt;$B$31,"",(sumifs(Data!$D:$D,Data!P:P,"&lt;&gt;",Data!$A:$A,$A7,Data!$D:$D,$B$30)-sumifs(Data!P:P,Data!P:P,"&lt;&gt;",Data!$A:$A,$A7,Data!$D:$D,$B$30))/(sumifs(Data!$D:$D,Data!P:P,"&lt;&gt;",Data!$A:$A,$A7,Data!$D:$D,$B$30)-countifs(Data!P:P,"&lt;&gt;",Data!$A:$A,$A7,Data!$D:$D,$B$30)))</f>
        <v/>
      </c>
      <c r="O7" s="12" t="str">
        <f>if(COUNTIFS(Data!Q:Q,"&lt;&gt;",Data!$A:$A,$A7,Data!$D:$D,$B$30)&lt;$B$31,"",(sumifs(Data!$D:$D,Data!Q:Q,"&lt;&gt;",Data!$A:$A,$A7,Data!$D:$D,$B$30)-sumifs(Data!Q:Q,Data!Q:Q,"&lt;&gt;",Data!$A:$A,$A7,Data!$D:$D,$B$30))/(sumifs(Data!$D:$D,Data!Q:Q,"&lt;&gt;",Data!$A:$A,$A7,Data!$D:$D,$B$30)-countifs(Data!Q:Q,"&lt;&gt;",Data!$A:$A,$A7,Data!$D:$D,$B$30)))</f>
        <v/>
      </c>
      <c r="P7" s="12" t="str">
        <f>if(COUNTIFS(Data!R:R,"&lt;&gt;",Data!$A:$A,$A7,Data!$D:$D,$B$30)&lt;$B$31,"",(sumifs(Data!$D:$D,Data!R:R,"&lt;&gt;",Data!$A:$A,$A7,Data!$D:$D,$B$30)-sumifs(Data!R:R,Data!R:R,"&lt;&gt;",Data!$A:$A,$A7,Data!$D:$D,$B$30))/(sumifs(Data!$D:$D,Data!R:R,"&lt;&gt;",Data!$A:$A,$A7,Data!$D:$D,$B$30)-countifs(Data!R:R,"&lt;&gt;",Data!$A:$A,$A7,Data!$D:$D,$B$30)))</f>
        <v/>
      </c>
      <c r="Q7" s="12" t="str">
        <f>if(COUNTIFS(Data!S:S,"&lt;&gt;",Data!$A:$A,$A7,Data!$D:$D,$B$30)&lt;$B$31,"",(sumifs(Data!$D:$D,Data!S:S,"&lt;&gt;",Data!$A:$A,$A7,Data!$D:$D,$B$30)-sumifs(Data!S:S,Data!S:S,"&lt;&gt;",Data!$A:$A,$A7,Data!$D:$D,$B$30))/(sumifs(Data!$D:$D,Data!S:S,"&lt;&gt;",Data!$A:$A,$A7,Data!$D:$D,$B$30)-countifs(Data!S:S,"&lt;&gt;",Data!$A:$A,$A7,Data!$D:$D,$B$30)))</f>
        <v/>
      </c>
      <c r="R7" s="12" t="str">
        <f>if(COUNTIFS(Data!T:T,"&lt;&gt;",Data!$A:$A,$A7,Data!$D:$D,$B$30)&lt;$B$31,"",(sumifs(Data!$D:$D,Data!T:T,"&lt;&gt;",Data!$A:$A,$A7,Data!$D:$D,$B$30)-sumifs(Data!T:T,Data!T:T,"&lt;&gt;",Data!$A:$A,$A7,Data!$D:$D,$B$30))/(sumifs(Data!$D:$D,Data!T:T,"&lt;&gt;",Data!$A:$A,$A7,Data!$D:$D,$B$30)-countifs(Data!T:T,"&lt;&gt;",Data!$A:$A,$A7,Data!$D:$D,$B$30)))</f>
        <v/>
      </c>
      <c r="S7" s="12" t="str">
        <f>if(COUNTIFS(Data!U:U,"&lt;&gt;",Data!$A:$A,$A7,Data!$D:$D,$B$30)&lt;$B$31,"",(sumifs(Data!$D:$D,Data!U:U,"&lt;&gt;",Data!$A:$A,$A7,Data!$D:$D,$B$30)-sumifs(Data!U:U,Data!U:U,"&lt;&gt;",Data!$A:$A,$A7,Data!$D:$D,$B$30))/(sumifs(Data!$D:$D,Data!U:U,"&lt;&gt;",Data!$A:$A,$A7,Data!$D:$D,$B$30)-countifs(Data!U:U,"&lt;&gt;",Data!$A:$A,$A7,Data!$D:$D,$B$30)))</f>
        <v/>
      </c>
      <c r="T7" s="12" t="str">
        <f>if(COUNTIFS(Data!V:V,"&lt;&gt;",Data!$A:$A,$A7,Data!$D:$D,$B$30)&lt;$B$31,"",(sumifs(Data!$D:$D,Data!V:V,"&lt;&gt;",Data!$A:$A,$A7,Data!$D:$D,$B$30)-sumifs(Data!V:V,Data!V:V,"&lt;&gt;",Data!$A:$A,$A7,Data!$D:$D,$B$30))/(sumifs(Data!$D:$D,Data!V:V,"&lt;&gt;",Data!$A:$A,$A7,Data!$D:$D,$B$30)-countifs(Data!V:V,"&lt;&gt;",Data!$A:$A,$A7,Data!$D:$D,$B$30)))</f>
        <v/>
      </c>
    </row>
    <row r="8">
      <c r="A8" s="1" t="s">
        <v>31</v>
      </c>
      <c r="B8" s="1">
        <f>countif(Data!A:A,"="&amp;A8)</f>
        <v>1</v>
      </c>
      <c r="C8" s="12" t="str">
        <f>if(COUNTIFS(Data!E:E,"&lt;&gt;",Data!$A:$A,$A8,Data!$D:$D,$B$30)&lt;$B$31,"",(sumifs(Data!$D:$D,Data!E:E,"&lt;&gt;",Data!$A:$A,$A8,Data!$D:$D,$B$30)-sumifs(Data!E:E,Data!E:E,"&lt;&gt;",Data!$A:$A,$A8,Data!$D:$D,$B$30))/(sumifs(Data!$D:$D,Data!E:E,"&lt;&gt;",Data!$A:$A,$A8,Data!$D:$D,$B$30)-countifs(Data!E:E,"&lt;&gt;",Data!$A:$A,$A8,Data!$D:$D,$B$30)))</f>
        <v/>
      </c>
      <c r="D8" s="12" t="str">
        <f>if(COUNTIFS(Data!F:F,"&lt;&gt;",Data!$A:$A,$A8,Data!$D:$D,$B$30)&lt;$B$31,"",(sumifs(Data!$D:$D,Data!F:F,"&lt;&gt;",Data!$A:$A,$A8,Data!$D:$D,$B$30)-sumifs(Data!F:F,Data!F:F,"&lt;&gt;",Data!$A:$A,$A8,Data!$D:$D,$B$30))/(sumifs(Data!$D:$D,Data!F:F,"&lt;&gt;",Data!$A:$A,$A8,Data!$D:$D,$B$30)-countifs(Data!F:F,"&lt;&gt;",Data!$A:$A,$A8,Data!$D:$D,$B$30)))</f>
        <v/>
      </c>
      <c r="E8" s="12" t="str">
        <f>if(COUNTIFS(Data!G:G,"&lt;&gt;",Data!$A:$A,$A8,Data!$D:$D,$B$30)&lt;$B$31,"",(sumifs(Data!$D:$D,Data!G:G,"&lt;&gt;",Data!$A:$A,$A8,Data!$D:$D,$B$30)-sumifs(Data!G:G,Data!G:G,"&lt;&gt;",Data!$A:$A,$A8,Data!$D:$D,$B$30))/(sumifs(Data!$D:$D,Data!G:G,"&lt;&gt;",Data!$A:$A,$A8,Data!$D:$D,$B$30)-countifs(Data!G:G,"&lt;&gt;",Data!$A:$A,$A8,Data!$D:$D,$B$30)))</f>
        <v/>
      </c>
      <c r="F8" s="12" t="str">
        <f>if(COUNTIFS(Data!H:H,"&lt;&gt;",Data!$A:$A,$A8,Data!$D:$D,$B$30)&lt;$B$31,"",(sumifs(Data!$D:$D,Data!H:H,"&lt;&gt;",Data!$A:$A,$A8,Data!$D:$D,$B$30)-sumifs(Data!H:H,Data!H:H,"&lt;&gt;",Data!$A:$A,$A8,Data!$D:$D,$B$30))/(sumifs(Data!$D:$D,Data!H:H,"&lt;&gt;",Data!$A:$A,$A8,Data!$D:$D,$B$30)-countifs(Data!H:H,"&lt;&gt;",Data!$A:$A,$A8,Data!$D:$D,$B$30)))</f>
        <v/>
      </c>
      <c r="G8" s="12" t="str">
        <f>if(COUNTIFS(Data!I:I,"&lt;&gt;",Data!$A:$A,$A8,Data!$D:$D,$B$30)&lt;$B$31,"",(sumifs(Data!$D:$D,Data!I:I,"&lt;&gt;",Data!$A:$A,$A8,Data!$D:$D,$B$30)-sumifs(Data!I:I,Data!I:I,"&lt;&gt;",Data!$A:$A,$A8,Data!$D:$D,$B$30))/(sumifs(Data!$D:$D,Data!I:I,"&lt;&gt;",Data!$A:$A,$A8,Data!$D:$D,$B$30)-countifs(Data!I:I,"&lt;&gt;",Data!$A:$A,$A8,Data!$D:$D,$B$30)))</f>
        <v/>
      </c>
      <c r="H8" s="12" t="str">
        <f>if(COUNTIFS(Data!J:J,"&lt;&gt;",Data!$A:$A,$A8,Data!$D:$D,$B$30)&lt;$B$31,"",(sumifs(Data!$D:$D,Data!J:J,"&lt;&gt;",Data!$A:$A,$A8,Data!$D:$D,$B$30)-sumifs(Data!J:J,Data!J:J,"&lt;&gt;",Data!$A:$A,$A8,Data!$D:$D,$B$30))/(sumifs(Data!$D:$D,Data!J:J,"&lt;&gt;",Data!$A:$A,$A8,Data!$D:$D,$B$30)-countifs(Data!J:J,"&lt;&gt;",Data!$A:$A,$A8,Data!$D:$D,$B$30)))</f>
        <v/>
      </c>
      <c r="I8" s="12" t="str">
        <f>if(COUNTIFS(Data!K:K,"&lt;&gt;",Data!$A:$A,$A8,Data!$D:$D,$B$30)&lt;$B$31,"",(sumifs(Data!$D:$D,Data!K:K,"&lt;&gt;",Data!$A:$A,$A8,Data!$D:$D,$B$30)-sumifs(Data!K:K,Data!K:K,"&lt;&gt;",Data!$A:$A,$A8,Data!$D:$D,$B$30))/(sumifs(Data!$D:$D,Data!K:K,"&lt;&gt;",Data!$A:$A,$A8,Data!$D:$D,$B$30)-countifs(Data!K:K,"&lt;&gt;",Data!$A:$A,$A8,Data!$D:$D,$B$30)))</f>
        <v/>
      </c>
      <c r="J8" s="12" t="str">
        <f>if(COUNTIFS(Data!L:L,"&lt;&gt;",Data!$A:$A,$A8,Data!$D:$D,$B$30)&lt;$B$31,"",(sumifs(Data!$D:$D,Data!L:L,"&lt;&gt;",Data!$A:$A,$A8,Data!$D:$D,$B$30)-sumifs(Data!L:L,Data!L:L,"&lt;&gt;",Data!$A:$A,$A8,Data!$D:$D,$B$30))/(sumifs(Data!$D:$D,Data!L:L,"&lt;&gt;",Data!$A:$A,$A8,Data!$D:$D,$B$30)-countifs(Data!L:L,"&lt;&gt;",Data!$A:$A,$A8,Data!$D:$D,$B$30)))</f>
        <v/>
      </c>
      <c r="K8" s="12" t="str">
        <f>if(COUNTIFS(Data!M:M,"&lt;&gt;",Data!$A:$A,$A8,Data!$D:$D,$B$30)&lt;$B$31,"",(sumifs(Data!$D:$D,Data!M:M,"&lt;&gt;",Data!$A:$A,$A8,Data!$D:$D,$B$30)-sumifs(Data!M:M,Data!M:M,"&lt;&gt;",Data!$A:$A,$A8,Data!$D:$D,$B$30))/(sumifs(Data!$D:$D,Data!M:M,"&lt;&gt;",Data!$A:$A,$A8,Data!$D:$D,$B$30)-countifs(Data!M:M,"&lt;&gt;",Data!$A:$A,$A8,Data!$D:$D,$B$30)))</f>
        <v/>
      </c>
      <c r="L8" s="12" t="str">
        <f>if(COUNTIFS(Data!N:N,"&lt;&gt;",Data!$A:$A,$A8,Data!$D:$D,$B$30)&lt;$B$31,"",(sumifs(Data!$D:$D,Data!N:N,"&lt;&gt;",Data!$A:$A,$A8,Data!$D:$D,$B$30)-sumifs(Data!N:N,Data!N:N,"&lt;&gt;",Data!$A:$A,$A8,Data!$D:$D,$B$30))/(sumifs(Data!$D:$D,Data!N:N,"&lt;&gt;",Data!$A:$A,$A8,Data!$D:$D,$B$30)-countifs(Data!N:N,"&lt;&gt;",Data!$A:$A,$A8,Data!$D:$D,$B$30)))</f>
        <v/>
      </c>
      <c r="M8" s="12" t="str">
        <f>if(COUNTIFS(Data!O:O,"&lt;&gt;",Data!$A:$A,$A8,Data!$D:$D,$B$30)&lt;$B$31,"",(sumifs(Data!$D:$D,Data!O:O,"&lt;&gt;",Data!$A:$A,$A8,Data!$D:$D,$B$30)-sumifs(Data!O:O,Data!O:O,"&lt;&gt;",Data!$A:$A,$A8,Data!$D:$D,$B$30))/(sumifs(Data!$D:$D,Data!O:O,"&lt;&gt;",Data!$A:$A,$A8,Data!$D:$D,$B$30)-countifs(Data!O:O,"&lt;&gt;",Data!$A:$A,$A8,Data!$D:$D,$B$30)))</f>
        <v/>
      </c>
      <c r="N8" s="12" t="str">
        <f>if(COUNTIFS(Data!P:P,"&lt;&gt;",Data!$A:$A,$A8,Data!$D:$D,$B$30)&lt;$B$31,"",(sumifs(Data!$D:$D,Data!P:P,"&lt;&gt;",Data!$A:$A,$A8,Data!$D:$D,$B$30)-sumifs(Data!P:P,Data!P:P,"&lt;&gt;",Data!$A:$A,$A8,Data!$D:$D,$B$30))/(sumifs(Data!$D:$D,Data!P:P,"&lt;&gt;",Data!$A:$A,$A8,Data!$D:$D,$B$30)-countifs(Data!P:P,"&lt;&gt;",Data!$A:$A,$A8,Data!$D:$D,$B$30)))</f>
        <v/>
      </c>
      <c r="O8" s="12" t="str">
        <f>if(COUNTIFS(Data!Q:Q,"&lt;&gt;",Data!$A:$A,$A8,Data!$D:$D,$B$30)&lt;$B$31,"",(sumifs(Data!$D:$D,Data!Q:Q,"&lt;&gt;",Data!$A:$A,$A8,Data!$D:$D,$B$30)-sumifs(Data!Q:Q,Data!Q:Q,"&lt;&gt;",Data!$A:$A,$A8,Data!$D:$D,$B$30))/(sumifs(Data!$D:$D,Data!Q:Q,"&lt;&gt;",Data!$A:$A,$A8,Data!$D:$D,$B$30)-countifs(Data!Q:Q,"&lt;&gt;",Data!$A:$A,$A8,Data!$D:$D,$B$30)))</f>
        <v/>
      </c>
      <c r="P8" s="12" t="str">
        <f>if(COUNTIFS(Data!R:R,"&lt;&gt;",Data!$A:$A,$A8,Data!$D:$D,$B$30)&lt;$B$31,"",(sumifs(Data!$D:$D,Data!R:R,"&lt;&gt;",Data!$A:$A,$A8,Data!$D:$D,$B$30)-sumifs(Data!R:R,Data!R:R,"&lt;&gt;",Data!$A:$A,$A8,Data!$D:$D,$B$30))/(sumifs(Data!$D:$D,Data!R:R,"&lt;&gt;",Data!$A:$A,$A8,Data!$D:$D,$B$30)-countifs(Data!R:R,"&lt;&gt;",Data!$A:$A,$A8,Data!$D:$D,$B$30)))</f>
        <v/>
      </c>
      <c r="Q8" s="12" t="str">
        <f>if(COUNTIFS(Data!S:S,"&lt;&gt;",Data!$A:$A,$A8,Data!$D:$D,$B$30)&lt;$B$31,"",(sumifs(Data!$D:$D,Data!S:S,"&lt;&gt;",Data!$A:$A,$A8,Data!$D:$D,$B$30)-sumifs(Data!S:S,Data!S:S,"&lt;&gt;",Data!$A:$A,$A8,Data!$D:$D,$B$30))/(sumifs(Data!$D:$D,Data!S:S,"&lt;&gt;",Data!$A:$A,$A8,Data!$D:$D,$B$30)-countifs(Data!S:S,"&lt;&gt;",Data!$A:$A,$A8,Data!$D:$D,$B$30)))</f>
        <v/>
      </c>
      <c r="R8" s="12" t="str">
        <f>if(COUNTIFS(Data!T:T,"&lt;&gt;",Data!$A:$A,$A8,Data!$D:$D,$B$30)&lt;$B$31,"",(sumifs(Data!$D:$D,Data!T:T,"&lt;&gt;",Data!$A:$A,$A8,Data!$D:$D,$B$30)-sumifs(Data!T:T,Data!T:T,"&lt;&gt;",Data!$A:$A,$A8,Data!$D:$D,$B$30))/(sumifs(Data!$D:$D,Data!T:T,"&lt;&gt;",Data!$A:$A,$A8,Data!$D:$D,$B$30)-countifs(Data!T:T,"&lt;&gt;",Data!$A:$A,$A8,Data!$D:$D,$B$30)))</f>
        <v/>
      </c>
      <c r="S8" s="12" t="str">
        <f>if(COUNTIFS(Data!U:U,"&lt;&gt;",Data!$A:$A,$A8,Data!$D:$D,$B$30)&lt;$B$31,"",(sumifs(Data!$D:$D,Data!U:U,"&lt;&gt;",Data!$A:$A,$A8,Data!$D:$D,$B$30)-sumifs(Data!U:U,Data!U:U,"&lt;&gt;",Data!$A:$A,$A8,Data!$D:$D,$B$30))/(sumifs(Data!$D:$D,Data!U:U,"&lt;&gt;",Data!$A:$A,$A8,Data!$D:$D,$B$30)-countifs(Data!U:U,"&lt;&gt;",Data!$A:$A,$A8,Data!$D:$D,$B$30)))</f>
        <v/>
      </c>
      <c r="T8" s="12" t="str">
        <f>if(COUNTIFS(Data!V:V,"&lt;&gt;",Data!$A:$A,$A8,Data!$D:$D,$B$30)&lt;$B$31,"",(sumifs(Data!$D:$D,Data!V:V,"&lt;&gt;",Data!$A:$A,$A8,Data!$D:$D,$B$30)-sumifs(Data!V:V,Data!V:V,"&lt;&gt;",Data!$A:$A,$A8,Data!$D:$D,$B$30))/(sumifs(Data!$D:$D,Data!V:V,"&lt;&gt;",Data!$A:$A,$A8,Data!$D:$D,$B$30)-countifs(Data!V:V,"&lt;&gt;",Data!$A:$A,$A8,Data!$D:$D,$B$30)))</f>
        <v/>
      </c>
    </row>
    <row r="9">
      <c r="A9" s="1" t="s">
        <v>32</v>
      </c>
      <c r="B9" s="1">
        <f>countif(Data!A:A,"="&amp;A9)</f>
        <v>60</v>
      </c>
      <c r="C9" s="12">
        <f>if(COUNTIFS(Data!E:E,"&lt;&gt;",Data!$A:$A,$A9,Data!$D:$D,$B$30)&lt;$B$31,"",(sumifs(Data!$D:$D,Data!E:E,"&lt;&gt;",Data!$A:$A,$A9,Data!$D:$D,$B$30)-sumifs(Data!E:E,Data!E:E,"&lt;&gt;",Data!$A:$A,$A9,Data!$D:$D,$B$30))/(sumifs(Data!$D:$D,Data!E:E,"&lt;&gt;",Data!$A:$A,$A9,Data!$D:$D,$B$30)-countifs(Data!E:E,"&lt;&gt;",Data!$A:$A,$A9,Data!$D:$D,$B$30)))</f>
        <v>0.5446428571</v>
      </c>
      <c r="D9" s="12">
        <f>if(COUNTIFS(Data!F:F,"&lt;&gt;",Data!$A:$A,$A9,Data!$D:$D,$B$30)&lt;$B$31,"",(sumifs(Data!$D:$D,Data!F:F,"&lt;&gt;",Data!$A:$A,$A9,Data!$D:$D,$B$30)-sumifs(Data!F:F,Data!F:F,"&lt;&gt;",Data!$A:$A,$A9,Data!$D:$D,$B$30))/(sumifs(Data!$D:$D,Data!F:F,"&lt;&gt;",Data!$A:$A,$A9,Data!$D:$D,$B$30)-countifs(Data!F:F,"&lt;&gt;",Data!$A:$A,$A9,Data!$D:$D,$B$30)))</f>
        <v>0.6666666667</v>
      </c>
      <c r="E9" s="12" t="str">
        <f>if(COUNTIFS(Data!G:G,"&lt;&gt;",Data!$A:$A,$A9,Data!$D:$D,$B$30)&lt;$B$31,"",(sumifs(Data!$D:$D,Data!G:G,"&lt;&gt;",Data!$A:$A,$A9,Data!$D:$D,$B$30)-sumifs(Data!G:G,Data!G:G,"&lt;&gt;",Data!$A:$A,$A9,Data!$D:$D,$B$30))/(sumifs(Data!$D:$D,Data!G:G,"&lt;&gt;",Data!$A:$A,$A9,Data!$D:$D,$B$30)-countifs(Data!G:G,"&lt;&gt;",Data!$A:$A,$A9,Data!$D:$D,$B$30)))</f>
        <v/>
      </c>
      <c r="F9" s="12">
        <f>if(COUNTIFS(Data!H:H,"&lt;&gt;",Data!$A:$A,$A9,Data!$D:$D,$B$30)&lt;$B$31,"",(sumifs(Data!$D:$D,Data!H:H,"&lt;&gt;",Data!$A:$A,$A9,Data!$D:$D,$B$30)-sumifs(Data!H:H,Data!H:H,"&lt;&gt;",Data!$A:$A,$A9,Data!$D:$D,$B$30))/(sumifs(Data!$D:$D,Data!H:H,"&lt;&gt;",Data!$A:$A,$A9,Data!$D:$D,$B$30)-countifs(Data!H:H,"&lt;&gt;",Data!$A:$A,$A9,Data!$D:$D,$B$30)))</f>
        <v>0.3518518519</v>
      </c>
      <c r="G9" s="12" t="str">
        <f>if(COUNTIFS(Data!I:I,"&lt;&gt;",Data!$A:$A,$A9,Data!$D:$D,$B$30)&lt;$B$31,"",(sumifs(Data!$D:$D,Data!I:I,"&lt;&gt;",Data!$A:$A,$A9,Data!$D:$D,$B$30)-sumifs(Data!I:I,Data!I:I,"&lt;&gt;",Data!$A:$A,$A9,Data!$D:$D,$B$30))/(sumifs(Data!$D:$D,Data!I:I,"&lt;&gt;",Data!$A:$A,$A9,Data!$D:$D,$B$30)-countifs(Data!I:I,"&lt;&gt;",Data!$A:$A,$A9,Data!$D:$D,$B$30)))</f>
        <v/>
      </c>
      <c r="H9" s="12" t="str">
        <f>if(COUNTIFS(Data!J:J,"&lt;&gt;",Data!$A:$A,$A9,Data!$D:$D,$B$30)&lt;$B$31,"",(sumifs(Data!$D:$D,Data!J:J,"&lt;&gt;",Data!$A:$A,$A9,Data!$D:$D,$B$30)-sumifs(Data!J:J,Data!J:J,"&lt;&gt;",Data!$A:$A,$A9,Data!$D:$D,$B$30))/(sumifs(Data!$D:$D,Data!J:J,"&lt;&gt;",Data!$A:$A,$A9,Data!$D:$D,$B$30)-countifs(Data!J:J,"&lt;&gt;",Data!$A:$A,$A9,Data!$D:$D,$B$30)))</f>
        <v/>
      </c>
      <c r="I9" s="12" t="str">
        <f>if(COUNTIFS(Data!K:K,"&lt;&gt;",Data!$A:$A,$A9,Data!$D:$D,$B$30)&lt;$B$31,"",(sumifs(Data!$D:$D,Data!K:K,"&lt;&gt;",Data!$A:$A,$A9,Data!$D:$D,$B$30)-sumifs(Data!K:K,Data!K:K,"&lt;&gt;",Data!$A:$A,$A9,Data!$D:$D,$B$30))/(sumifs(Data!$D:$D,Data!K:K,"&lt;&gt;",Data!$A:$A,$A9,Data!$D:$D,$B$30)-countifs(Data!K:K,"&lt;&gt;",Data!$A:$A,$A9,Data!$D:$D,$B$30)))</f>
        <v/>
      </c>
      <c r="J9" s="12" t="str">
        <f>if(COUNTIFS(Data!L:L,"&lt;&gt;",Data!$A:$A,$A9,Data!$D:$D,$B$30)&lt;$B$31,"",(sumifs(Data!$D:$D,Data!L:L,"&lt;&gt;",Data!$A:$A,$A9,Data!$D:$D,$B$30)-sumifs(Data!L:L,Data!L:L,"&lt;&gt;",Data!$A:$A,$A9,Data!$D:$D,$B$30))/(sumifs(Data!$D:$D,Data!L:L,"&lt;&gt;",Data!$A:$A,$A9,Data!$D:$D,$B$30)-countifs(Data!L:L,"&lt;&gt;",Data!$A:$A,$A9,Data!$D:$D,$B$30)))</f>
        <v/>
      </c>
      <c r="K9" s="12" t="str">
        <f>if(COUNTIFS(Data!M:M,"&lt;&gt;",Data!$A:$A,$A9,Data!$D:$D,$B$30)&lt;$B$31,"",(sumifs(Data!$D:$D,Data!M:M,"&lt;&gt;",Data!$A:$A,$A9,Data!$D:$D,$B$30)-sumifs(Data!M:M,Data!M:M,"&lt;&gt;",Data!$A:$A,$A9,Data!$D:$D,$B$30))/(sumifs(Data!$D:$D,Data!M:M,"&lt;&gt;",Data!$A:$A,$A9,Data!$D:$D,$B$30)-countifs(Data!M:M,"&lt;&gt;",Data!$A:$A,$A9,Data!$D:$D,$B$30)))</f>
        <v/>
      </c>
      <c r="L9" s="12" t="str">
        <f>if(COUNTIFS(Data!N:N,"&lt;&gt;",Data!$A:$A,$A9,Data!$D:$D,$B$30)&lt;$B$31,"",(sumifs(Data!$D:$D,Data!N:N,"&lt;&gt;",Data!$A:$A,$A9,Data!$D:$D,$B$30)-sumifs(Data!N:N,Data!N:N,"&lt;&gt;",Data!$A:$A,$A9,Data!$D:$D,$B$30))/(sumifs(Data!$D:$D,Data!N:N,"&lt;&gt;",Data!$A:$A,$A9,Data!$D:$D,$B$30)-countifs(Data!N:N,"&lt;&gt;",Data!$A:$A,$A9,Data!$D:$D,$B$30)))</f>
        <v/>
      </c>
      <c r="M9" s="12" t="str">
        <f>if(COUNTIFS(Data!O:O,"&lt;&gt;",Data!$A:$A,$A9,Data!$D:$D,$B$30)&lt;$B$31,"",(sumifs(Data!$D:$D,Data!O:O,"&lt;&gt;",Data!$A:$A,$A9,Data!$D:$D,$B$30)-sumifs(Data!O:O,Data!O:O,"&lt;&gt;",Data!$A:$A,$A9,Data!$D:$D,$B$30))/(sumifs(Data!$D:$D,Data!O:O,"&lt;&gt;",Data!$A:$A,$A9,Data!$D:$D,$B$30)-countifs(Data!O:O,"&lt;&gt;",Data!$A:$A,$A9,Data!$D:$D,$B$30)))</f>
        <v/>
      </c>
      <c r="N9" s="12" t="str">
        <f>if(COUNTIFS(Data!P:P,"&lt;&gt;",Data!$A:$A,$A9,Data!$D:$D,$B$30)&lt;$B$31,"",(sumifs(Data!$D:$D,Data!P:P,"&lt;&gt;",Data!$A:$A,$A9,Data!$D:$D,$B$30)-sumifs(Data!P:P,Data!P:P,"&lt;&gt;",Data!$A:$A,$A9,Data!$D:$D,$B$30))/(sumifs(Data!$D:$D,Data!P:P,"&lt;&gt;",Data!$A:$A,$A9,Data!$D:$D,$B$30)-countifs(Data!P:P,"&lt;&gt;",Data!$A:$A,$A9,Data!$D:$D,$B$30)))</f>
        <v/>
      </c>
      <c r="O9" s="12" t="str">
        <f>if(COUNTIFS(Data!Q:Q,"&lt;&gt;",Data!$A:$A,$A9,Data!$D:$D,$B$30)&lt;$B$31,"",(sumifs(Data!$D:$D,Data!Q:Q,"&lt;&gt;",Data!$A:$A,$A9,Data!$D:$D,$B$30)-sumifs(Data!Q:Q,Data!Q:Q,"&lt;&gt;",Data!$A:$A,$A9,Data!$D:$D,$B$30))/(sumifs(Data!$D:$D,Data!Q:Q,"&lt;&gt;",Data!$A:$A,$A9,Data!$D:$D,$B$30)-countifs(Data!Q:Q,"&lt;&gt;",Data!$A:$A,$A9,Data!$D:$D,$B$30)))</f>
        <v/>
      </c>
      <c r="P9" s="12" t="str">
        <f>if(COUNTIFS(Data!R:R,"&lt;&gt;",Data!$A:$A,$A9,Data!$D:$D,$B$30)&lt;$B$31,"",(sumifs(Data!$D:$D,Data!R:R,"&lt;&gt;",Data!$A:$A,$A9,Data!$D:$D,$B$30)-sumifs(Data!R:R,Data!R:R,"&lt;&gt;",Data!$A:$A,$A9,Data!$D:$D,$B$30))/(sumifs(Data!$D:$D,Data!R:R,"&lt;&gt;",Data!$A:$A,$A9,Data!$D:$D,$B$30)-countifs(Data!R:R,"&lt;&gt;",Data!$A:$A,$A9,Data!$D:$D,$B$30)))</f>
        <v/>
      </c>
      <c r="Q9" s="12" t="str">
        <f>if(COUNTIFS(Data!S:S,"&lt;&gt;",Data!$A:$A,$A9,Data!$D:$D,$B$30)&lt;$B$31,"",(sumifs(Data!$D:$D,Data!S:S,"&lt;&gt;",Data!$A:$A,$A9,Data!$D:$D,$B$30)-sumifs(Data!S:S,Data!S:S,"&lt;&gt;",Data!$A:$A,$A9,Data!$D:$D,$B$30))/(sumifs(Data!$D:$D,Data!S:S,"&lt;&gt;",Data!$A:$A,$A9,Data!$D:$D,$B$30)-countifs(Data!S:S,"&lt;&gt;",Data!$A:$A,$A9,Data!$D:$D,$B$30)))</f>
        <v/>
      </c>
      <c r="R9" s="12" t="str">
        <f>if(COUNTIFS(Data!T:T,"&lt;&gt;",Data!$A:$A,$A9,Data!$D:$D,$B$30)&lt;$B$31,"",(sumifs(Data!$D:$D,Data!T:T,"&lt;&gt;",Data!$A:$A,$A9,Data!$D:$D,$B$30)-sumifs(Data!T:T,Data!T:T,"&lt;&gt;",Data!$A:$A,$A9,Data!$D:$D,$B$30))/(sumifs(Data!$D:$D,Data!T:T,"&lt;&gt;",Data!$A:$A,$A9,Data!$D:$D,$B$30)-countifs(Data!T:T,"&lt;&gt;",Data!$A:$A,$A9,Data!$D:$D,$B$30)))</f>
        <v/>
      </c>
      <c r="S9" s="12" t="str">
        <f>if(COUNTIFS(Data!U:U,"&lt;&gt;",Data!$A:$A,$A9,Data!$D:$D,$B$30)&lt;$B$31,"",(sumifs(Data!$D:$D,Data!U:U,"&lt;&gt;",Data!$A:$A,$A9,Data!$D:$D,$B$30)-sumifs(Data!U:U,Data!U:U,"&lt;&gt;",Data!$A:$A,$A9,Data!$D:$D,$B$30))/(sumifs(Data!$D:$D,Data!U:U,"&lt;&gt;",Data!$A:$A,$A9,Data!$D:$D,$B$30)-countifs(Data!U:U,"&lt;&gt;",Data!$A:$A,$A9,Data!$D:$D,$B$30)))</f>
        <v/>
      </c>
      <c r="T9" s="12" t="str">
        <f>if(COUNTIFS(Data!V:V,"&lt;&gt;",Data!$A:$A,$A9,Data!$D:$D,$B$30)&lt;$B$31,"",(sumifs(Data!$D:$D,Data!V:V,"&lt;&gt;",Data!$A:$A,$A9,Data!$D:$D,$B$30)-sumifs(Data!V:V,Data!V:V,"&lt;&gt;",Data!$A:$A,$A9,Data!$D:$D,$B$30))/(sumifs(Data!$D:$D,Data!V:V,"&lt;&gt;",Data!$A:$A,$A9,Data!$D:$D,$B$30)-countifs(Data!V:V,"&lt;&gt;",Data!$A:$A,$A9,Data!$D:$D,$B$30)))</f>
        <v/>
      </c>
    </row>
    <row r="10">
      <c r="A10" s="1" t="s">
        <v>33</v>
      </c>
      <c r="B10" s="1">
        <f>countif(Data!A:A,"="&amp;A10)</f>
        <v>14</v>
      </c>
      <c r="C10" s="12" t="str">
        <f>if(COUNTIFS(Data!E:E,"&lt;&gt;",Data!$A:$A,$A10,Data!$D:$D,$B$30)&lt;$B$31,"",(sumifs(Data!$D:$D,Data!E:E,"&lt;&gt;",Data!$A:$A,$A10,Data!$D:$D,$B$30)-sumifs(Data!E:E,Data!E:E,"&lt;&gt;",Data!$A:$A,$A10,Data!$D:$D,$B$30))/(sumifs(Data!$D:$D,Data!E:E,"&lt;&gt;",Data!$A:$A,$A10,Data!$D:$D,$B$30)-countifs(Data!E:E,"&lt;&gt;",Data!$A:$A,$A10,Data!$D:$D,$B$30)))</f>
        <v/>
      </c>
      <c r="D10" s="12" t="str">
        <f>if(COUNTIFS(Data!F:F,"&lt;&gt;",Data!$A:$A,$A10,Data!$D:$D,$B$30)&lt;$B$31,"",(sumifs(Data!$D:$D,Data!F:F,"&lt;&gt;",Data!$A:$A,$A10,Data!$D:$D,$B$30)-sumifs(Data!F:F,Data!F:F,"&lt;&gt;",Data!$A:$A,$A10,Data!$D:$D,$B$30))/(sumifs(Data!$D:$D,Data!F:F,"&lt;&gt;",Data!$A:$A,$A10,Data!$D:$D,$B$30)-countifs(Data!F:F,"&lt;&gt;",Data!$A:$A,$A10,Data!$D:$D,$B$30)))</f>
        <v/>
      </c>
      <c r="E10" s="12" t="str">
        <f>if(COUNTIFS(Data!G:G,"&lt;&gt;",Data!$A:$A,$A10,Data!$D:$D,$B$30)&lt;$B$31,"",(sumifs(Data!$D:$D,Data!G:G,"&lt;&gt;",Data!$A:$A,$A10,Data!$D:$D,$B$30)-sumifs(Data!G:G,Data!G:G,"&lt;&gt;",Data!$A:$A,$A10,Data!$D:$D,$B$30))/(sumifs(Data!$D:$D,Data!G:G,"&lt;&gt;",Data!$A:$A,$A10,Data!$D:$D,$B$30)-countifs(Data!G:G,"&lt;&gt;",Data!$A:$A,$A10,Data!$D:$D,$B$30)))</f>
        <v/>
      </c>
      <c r="F10" s="12" t="str">
        <f>if(COUNTIFS(Data!H:H,"&lt;&gt;",Data!$A:$A,$A10,Data!$D:$D,$B$30)&lt;$B$31,"",(sumifs(Data!$D:$D,Data!H:H,"&lt;&gt;",Data!$A:$A,$A10,Data!$D:$D,$B$30)-sumifs(Data!H:H,Data!H:H,"&lt;&gt;",Data!$A:$A,$A10,Data!$D:$D,$B$30))/(sumifs(Data!$D:$D,Data!H:H,"&lt;&gt;",Data!$A:$A,$A10,Data!$D:$D,$B$30)-countifs(Data!H:H,"&lt;&gt;",Data!$A:$A,$A10,Data!$D:$D,$B$30)))</f>
        <v/>
      </c>
      <c r="G10" s="12" t="str">
        <f>if(COUNTIFS(Data!I:I,"&lt;&gt;",Data!$A:$A,$A10,Data!$D:$D,$B$30)&lt;$B$31,"",(sumifs(Data!$D:$D,Data!I:I,"&lt;&gt;",Data!$A:$A,$A10,Data!$D:$D,$B$30)-sumifs(Data!I:I,Data!I:I,"&lt;&gt;",Data!$A:$A,$A10,Data!$D:$D,$B$30))/(sumifs(Data!$D:$D,Data!I:I,"&lt;&gt;",Data!$A:$A,$A10,Data!$D:$D,$B$30)-countifs(Data!I:I,"&lt;&gt;",Data!$A:$A,$A10,Data!$D:$D,$B$30)))</f>
        <v/>
      </c>
      <c r="H10" s="12" t="str">
        <f>if(COUNTIFS(Data!J:J,"&lt;&gt;",Data!$A:$A,$A10,Data!$D:$D,$B$30)&lt;$B$31,"",(sumifs(Data!$D:$D,Data!J:J,"&lt;&gt;",Data!$A:$A,$A10,Data!$D:$D,$B$30)-sumifs(Data!J:J,Data!J:J,"&lt;&gt;",Data!$A:$A,$A10,Data!$D:$D,$B$30))/(sumifs(Data!$D:$D,Data!J:J,"&lt;&gt;",Data!$A:$A,$A10,Data!$D:$D,$B$30)-countifs(Data!J:J,"&lt;&gt;",Data!$A:$A,$A10,Data!$D:$D,$B$30)))</f>
        <v/>
      </c>
      <c r="I10" s="12" t="str">
        <f>if(COUNTIFS(Data!K:K,"&lt;&gt;",Data!$A:$A,$A10,Data!$D:$D,$B$30)&lt;$B$31,"",(sumifs(Data!$D:$D,Data!K:K,"&lt;&gt;",Data!$A:$A,$A10,Data!$D:$D,$B$30)-sumifs(Data!K:K,Data!K:K,"&lt;&gt;",Data!$A:$A,$A10,Data!$D:$D,$B$30))/(sumifs(Data!$D:$D,Data!K:K,"&lt;&gt;",Data!$A:$A,$A10,Data!$D:$D,$B$30)-countifs(Data!K:K,"&lt;&gt;",Data!$A:$A,$A10,Data!$D:$D,$B$30)))</f>
        <v/>
      </c>
      <c r="J10" s="12" t="str">
        <f>if(COUNTIFS(Data!L:L,"&lt;&gt;",Data!$A:$A,$A10,Data!$D:$D,$B$30)&lt;$B$31,"",(sumifs(Data!$D:$D,Data!L:L,"&lt;&gt;",Data!$A:$A,$A10,Data!$D:$D,$B$30)-sumifs(Data!L:L,Data!L:L,"&lt;&gt;",Data!$A:$A,$A10,Data!$D:$D,$B$30))/(sumifs(Data!$D:$D,Data!L:L,"&lt;&gt;",Data!$A:$A,$A10,Data!$D:$D,$B$30)-countifs(Data!L:L,"&lt;&gt;",Data!$A:$A,$A10,Data!$D:$D,$B$30)))</f>
        <v/>
      </c>
      <c r="K10" s="12" t="str">
        <f>if(COUNTIFS(Data!M:M,"&lt;&gt;",Data!$A:$A,$A10,Data!$D:$D,$B$30)&lt;$B$31,"",(sumifs(Data!$D:$D,Data!M:M,"&lt;&gt;",Data!$A:$A,$A10,Data!$D:$D,$B$30)-sumifs(Data!M:M,Data!M:M,"&lt;&gt;",Data!$A:$A,$A10,Data!$D:$D,$B$30))/(sumifs(Data!$D:$D,Data!M:M,"&lt;&gt;",Data!$A:$A,$A10,Data!$D:$D,$B$30)-countifs(Data!M:M,"&lt;&gt;",Data!$A:$A,$A10,Data!$D:$D,$B$30)))</f>
        <v/>
      </c>
      <c r="L10" s="12" t="str">
        <f>if(COUNTIFS(Data!N:N,"&lt;&gt;",Data!$A:$A,$A10,Data!$D:$D,$B$30)&lt;$B$31,"",(sumifs(Data!$D:$D,Data!N:N,"&lt;&gt;",Data!$A:$A,$A10,Data!$D:$D,$B$30)-sumifs(Data!N:N,Data!N:N,"&lt;&gt;",Data!$A:$A,$A10,Data!$D:$D,$B$30))/(sumifs(Data!$D:$D,Data!N:N,"&lt;&gt;",Data!$A:$A,$A10,Data!$D:$D,$B$30)-countifs(Data!N:N,"&lt;&gt;",Data!$A:$A,$A10,Data!$D:$D,$B$30)))</f>
        <v/>
      </c>
      <c r="M10" s="12" t="str">
        <f>if(COUNTIFS(Data!O:O,"&lt;&gt;",Data!$A:$A,$A10,Data!$D:$D,$B$30)&lt;$B$31,"",(sumifs(Data!$D:$D,Data!O:O,"&lt;&gt;",Data!$A:$A,$A10,Data!$D:$D,$B$30)-sumifs(Data!O:O,Data!O:O,"&lt;&gt;",Data!$A:$A,$A10,Data!$D:$D,$B$30))/(sumifs(Data!$D:$D,Data!O:O,"&lt;&gt;",Data!$A:$A,$A10,Data!$D:$D,$B$30)-countifs(Data!O:O,"&lt;&gt;",Data!$A:$A,$A10,Data!$D:$D,$B$30)))</f>
        <v/>
      </c>
      <c r="N10" s="12" t="str">
        <f>if(COUNTIFS(Data!P:P,"&lt;&gt;",Data!$A:$A,$A10,Data!$D:$D,$B$30)&lt;$B$31,"",(sumifs(Data!$D:$D,Data!P:P,"&lt;&gt;",Data!$A:$A,$A10,Data!$D:$D,$B$30)-sumifs(Data!P:P,Data!P:P,"&lt;&gt;",Data!$A:$A,$A10,Data!$D:$D,$B$30))/(sumifs(Data!$D:$D,Data!P:P,"&lt;&gt;",Data!$A:$A,$A10,Data!$D:$D,$B$30)-countifs(Data!P:P,"&lt;&gt;",Data!$A:$A,$A10,Data!$D:$D,$B$30)))</f>
        <v/>
      </c>
      <c r="O10" s="12" t="str">
        <f>if(COUNTIFS(Data!Q:Q,"&lt;&gt;",Data!$A:$A,$A10,Data!$D:$D,$B$30)&lt;$B$31,"",(sumifs(Data!$D:$D,Data!Q:Q,"&lt;&gt;",Data!$A:$A,$A10,Data!$D:$D,$B$30)-sumifs(Data!Q:Q,Data!Q:Q,"&lt;&gt;",Data!$A:$A,$A10,Data!$D:$D,$B$30))/(sumifs(Data!$D:$D,Data!Q:Q,"&lt;&gt;",Data!$A:$A,$A10,Data!$D:$D,$B$30)-countifs(Data!Q:Q,"&lt;&gt;",Data!$A:$A,$A10,Data!$D:$D,$B$30)))</f>
        <v/>
      </c>
      <c r="P10" s="12" t="str">
        <f>if(COUNTIFS(Data!R:R,"&lt;&gt;",Data!$A:$A,$A10,Data!$D:$D,$B$30)&lt;$B$31,"",(sumifs(Data!$D:$D,Data!R:R,"&lt;&gt;",Data!$A:$A,$A10,Data!$D:$D,$B$30)-sumifs(Data!R:R,Data!R:R,"&lt;&gt;",Data!$A:$A,$A10,Data!$D:$D,$B$30))/(sumifs(Data!$D:$D,Data!R:R,"&lt;&gt;",Data!$A:$A,$A10,Data!$D:$D,$B$30)-countifs(Data!R:R,"&lt;&gt;",Data!$A:$A,$A10,Data!$D:$D,$B$30)))</f>
        <v/>
      </c>
      <c r="Q10" s="12" t="str">
        <f>if(COUNTIFS(Data!S:S,"&lt;&gt;",Data!$A:$A,$A10,Data!$D:$D,$B$30)&lt;$B$31,"",(sumifs(Data!$D:$D,Data!S:S,"&lt;&gt;",Data!$A:$A,$A10,Data!$D:$D,$B$30)-sumifs(Data!S:S,Data!S:S,"&lt;&gt;",Data!$A:$A,$A10,Data!$D:$D,$B$30))/(sumifs(Data!$D:$D,Data!S:S,"&lt;&gt;",Data!$A:$A,$A10,Data!$D:$D,$B$30)-countifs(Data!S:S,"&lt;&gt;",Data!$A:$A,$A10,Data!$D:$D,$B$30)))</f>
        <v/>
      </c>
      <c r="R10" s="12" t="str">
        <f>if(COUNTIFS(Data!T:T,"&lt;&gt;",Data!$A:$A,$A10,Data!$D:$D,$B$30)&lt;$B$31,"",(sumifs(Data!$D:$D,Data!T:T,"&lt;&gt;",Data!$A:$A,$A10,Data!$D:$D,$B$30)-sumifs(Data!T:T,Data!T:T,"&lt;&gt;",Data!$A:$A,$A10,Data!$D:$D,$B$30))/(sumifs(Data!$D:$D,Data!T:T,"&lt;&gt;",Data!$A:$A,$A10,Data!$D:$D,$B$30)-countifs(Data!T:T,"&lt;&gt;",Data!$A:$A,$A10,Data!$D:$D,$B$30)))</f>
        <v/>
      </c>
      <c r="S10" s="12" t="str">
        <f>if(COUNTIFS(Data!U:U,"&lt;&gt;",Data!$A:$A,$A10,Data!$D:$D,$B$30)&lt;$B$31,"",(sumifs(Data!$D:$D,Data!U:U,"&lt;&gt;",Data!$A:$A,$A10,Data!$D:$D,$B$30)-sumifs(Data!U:U,Data!U:U,"&lt;&gt;",Data!$A:$A,$A10,Data!$D:$D,$B$30))/(sumifs(Data!$D:$D,Data!U:U,"&lt;&gt;",Data!$A:$A,$A10,Data!$D:$D,$B$30)-countifs(Data!U:U,"&lt;&gt;",Data!$A:$A,$A10,Data!$D:$D,$B$30)))</f>
        <v/>
      </c>
      <c r="T10" s="12" t="str">
        <f>if(COUNTIFS(Data!V:V,"&lt;&gt;",Data!$A:$A,$A10,Data!$D:$D,$B$30)&lt;$B$31,"",(sumifs(Data!$D:$D,Data!V:V,"&lt;&gt;",Data!$A:$A,$A10,Data!$D:$D,$B$30)-sumifs(Data!V:V,Data!V:V,"&lt;&gt;",Data!$A:$A,$A10,Data!$D:$D,$B$30))/(sumifs(Data!$D:$D,Data!V:V,"&lt;&gt;",Data!$A:$A,$A10,Data!$D:$D,$B$30)-countifs(Data!V:V,"&lt;&gt;",Data!$A:$A,$A10,Data!$D:$D,$B$30)))</f>
        <v/>
      </c>
    </row>
    <row r="11">
      <c r="A11" s="1" t="s">
        <v>35</v>
      </c>
      <c r="B11" s="1">
        <f>countif(Data!A:A,"="&amp;A11)</f>
        <v>12</v>
      </c>
      <c r="C11" s="12" t="str">
        <f>if(COUNTIFS(Data!E:E,"&lt;&gt;",Data!$A:$A,$A11,Data!$D:$D,$B$30)&lt;$B$31,"",(sumifs(Data!$D:$D,Data!E:E,"&lt;&gt;",Data!$A:$A,$A11,Data!$D:$D,$B$30)-sumifs(Data!E:E,Data!E:E,"&lt;&gt;",Data!$A:$A,$A11,Data!$D:$D,$B$30))/(sumifs(Data!$D:$D,Data!E:E,"&lt;&gt;",Data!$A:$A,$A11,Data!$D:$D,$B$30)-countifs(Data!E:E,"&lt;&gt;",Data!$A:$A,$A11,Data!$D:$D,$B$30)))</f>
        <v/>
      </c>
      <c r="D11" s="12" t="str">
        <f>if(COUNTIFS(Data!F:F,"&lt;&gt;",Data!$A:$A,$A11,Data!$D:$D,$B$30)&lt;$B$31,"",(sumifs(Data!$D:$D,Data!F:F,"&lt;&gt;",Data!$A:$A,$A11,Data!$D:$D,$B$30)-sumifs(Data!F:F,Data!F:F,"&lt;&gt;",Data!$A:$A,$A11,Data!$D:$D,$B$30))/(sumifs(Data!$D:$D,Data!F:F,"&lt;&gt;",Data!$A:$A,$A11,Data!$D:$D,$B$30)-countifs(Data!F:F,"&lt;&gt;",Data!$A:$A,$A11,Data!$D:$D,$B$30)))</f>
        <v/>
      </c>
      <c r="E11" s="12" t="str">
        <f>if(COUNTIFS(Data!G:G,"&lt;&gt;",Data!$A:$A,$A11,Data!$D:$D,$B$30)&lt;$B$31,"",(sumifs(Data!$D:$D,Data!G:G,"&lt;&gt;",Data!$A:$A,$A11,Data!$D:$D,$B$30)-sumifs(Data!G:G,Data!G:G,"&lt;&gt;",Data!$A:$A,$A11,Data!$D:$D,$B$30))/(sumifs(Data!$D:$D,Data!G:G,"&lt;&gt;",Data!$A:$A,$A11,Data!$D:$D,$B$30)-countifs(Data!G:G,"&lt;&gt;",Data!$A:$A,$A11,Data!$D:$D,$B$30)))</f>
        <v/>
      </c>
      <c r="F11" s="12" t="str">
        <f>if(COUNTIFS(Data!H:H,"&lt;&gt;",Data!$A:$A,$A11,Data!$D:$D,$B$30)&lt;$B$31,"",(sumifs(Data!$D:$D,Data!H:H,"&lt;&gt;",Data!$A:$A,$A11,Data!$D:$D,$B$30)-sumifs(Data!H:H,Data!H:H,"&lt;&gt;",Data!$A:$A,$A11,Data!$D:$D,$B$30))/(sumifs(Data!$D:$D,Data!H:H,"&lt;&gt;",Data!$A:$A,$A11,Data!$D:$D,$B$30)-countifs(Data!H:H,"&lt;&gt;",Data!$A:$A,$A11,Data!$D:$D,$B$30)))</f>
        <v/>
      </c>
      <c r="G11" s="12" t="str">
        <f>if(COUNTIFS(Data!I:I,"&lt;&gt;",Data!$A:$A,$A11,Data!$D:$D,$B$30)&lt;$B$31,"",(sumifs(Data!$D:$D,Data!I:I,"&lt;&gt;",Data!$A:$A,$A11,Data!$D:$D,$B$30)-sumifs(Data!I:I,Data!I:I,"&lt;&gt;",Data!$A:$A,$A11,Data!$D:$D,$B$30))/(sumifs(Data!$D:$D,Data!I:I,"&lt;&gt;",Data!$A:$A,$A11,Data!$D:$D,$B$30)-countifs(Data!I:I,"&lt;&gt;",Data!$A:$A,$A11,Data!$D:$D,$B$30)))</f>
        <v/>
      </c>
      <c r="H11" s="12" t="str">
        <f>if(COUNTIFS(Data!J:J,"&lt;&gt;",Data!$A:$A,$A11,Data!$D:$D,$B$30)&lt;$B$31,"",(sumifs(Data!$D:$D,Data!J:J,"&lt;&gt;",Data!$A:$A,$A11,Data!$D:$D,$B$30)-sumifs(Data!J:J,Data!J:J,"&lt;&gt;",Data!$A:$A,$A11,Data!$D:$D,$B$30))/(sumifs(Data!$D:$D,Data!J:J,"&lt;&gt;",Data!$A:$A,$A11,Data!$D:$D,$B$30)-countifs(Data!J:J,"&lt;&gt;",Data!$A:$A,$A11,Data!$D:$D,$B$30)))</f>
        <v/>
      </c>
      <c r="I11" s="12" t="str">
        <f>if(COUNTIFS(Data!K:K,"&lt;&gt;",Data!$A:$A,$A11,Data!$D:$D,$B$30)&lt;$B$31,"",(sumifs(Data!$D:$D,Data!K:K,"&lt;&gt;",Data!$A:$A,$A11,Data!$D:$D,$B$30)-sumifs(Data!K:K,Data!K:K,"&lt;&gt;",Data!$A:$A,$A11,Data!$D:$D,$B$30))/(sumifs(Data!$D:$D,Data!K:K,"&lt;&gt;",Data!$A:$A,$A11,Data!$D:$D,$B$30)-countifs(Data!K:K,"&lt;&gt;",Data!$A:$A,$A11,Data!$D:$D,$B$30)))</f>
        <v/>
      </c>
      <c r="J11" s="12" t="str">
        <f>if(COUNTIFS(Data!L:L,"&lt;&gt;",Data!$A:$A,$A11,Data!$D:$D,$B$30)&lt;$B$31,"",(sumifs(Data!$D:$D,Data!L:L,"&lt;&gt;",Data!$A:$A,$A11,Data!$D:$D,$B$30)-sumifs(Data!L:L,Data!L:L,"&lt;&gt;",Data!$A:$A,$A11,Data!$D:$D,$B$30))/(sumifs(Data!$D:$D,Data!L:L,"&lt;&gt;",Data!$A:$A,$A11,Data!$D:$D,$B$30)-countifs(Data!L:L,"&lt;&gt;",Data!$A:$A,$A11,Data!$D:$D,$B$30)))</f>
        <v/>
      </c>
      <c r="K11" s="12" t="str">
        <f>if(COUNTIFS(Data!M:M,"&lt;&gt;",Data!$A:$A,$A11,Data!$D:$D,$B$30)&lt;$B$31,"",(sumifs(Data!$D:$D,Data!M:M,"&lt;&gt;",Data!$A:$A,$A11,Data!$D:$D,$B$30)-sumifs(Data!M:M,Data!M:M,"&lt;&gt;",Data!$A:$A,$A11,Data!$D:$D,$B$30))/(sumifs(Data!$D:$D,Data!M:M,"&lt;&gt;",Data!$A:$A,$A11,Data!$D:$D,$B$30)-countifs(Data!M:M,"&lt;&gt;",Data!$A:$A,$A11,Data!$D:$D,$B$30)))</f>
        <v/>
      </c>
      <c r="L11" s="12" t="str">
        <f>if(COUNTIFS(Data!N:N,"&lt;&gt;",Data!$A:$A,$A11,Data!$D:$D,$B$30)&lt;$B$31,"",(sumifs(Data!$D:$D,Data!N:N,"&lt;&gt;",Data!$A:$A,$A11,Data!$D:$D,$B$30)-sumifs(Data!N:N,Data!N:N,"&lt;&gt;",Data!$A:$A,$A11,Data!$D:$D,$B$30))/(sumifs(Data!$D:$D,Data!N:N,"&lt;&gt;",Data!$A:$A,$A11,Data!$D:$D,$B$30)-countifs(Data!N:N,"&lt;&gt;",Data!$A:$A,$A11,Data!$D:$D,$B$30)))</f>
        <v/>
      </c>
      <c r="M11" s="12" t="str">
        <f>if(COUNTIFS(Data!O:O,"&lt;&gt;",Data!$A:$A,$A11,Data!$D:$D,$B$30)&lt;$B$31,"",(sumifs(Data!$D:$D,Data!O:O,"&lt;&gt;",Data!$A:$A,$A11,Data!$D:$D,$B$30)-sumifs(Data!O:O,Data!O:O,"&lt;&gt;",Data!$A:$A,$A11,Data!$D:$D,$B$30))/(sumifs(Data!$D:$D,Data!O:O,"&lt;&gt;",Data!$A:$A,$A11,Data!$D:$D,$B$30)-countifs(Data!O:O,"&lt;&gt;",Data!$A:$A,$A11,Data!$D:$D,$B$30)))</f>
        <v/>
      </c>
      <c r="N11" s="12" t="str">
        <f>if(COUNTIFS(Data!P:P,"&lt;&gt;",Data!$A:$A,$A11,Data!$D:$D,$B$30)&lt;$B$31,"",(sumifs(Data!$D:$D,Data!P:P,"&lt;&gt;",Data!$A:$A,$A11,Data!$D:$D,$B$30)-sumifs(Data!P:P,Data!P:P,"&lt;&gt;",Data!$A:$A,$A11,Data!$D:$D,$B$30))/(sumifs(Data!$D:$D,Data!P:P,"&lt;&gt;",Data!$A:$A,$A11,Data!$D:$D,$B$30)-countifs(Data!P:P,"&lt;&gt;",Data!$A:$A,$A11,Data!$D:$D,$B$30)))</f>
        <v/>
      </c>
      <c r="O11" s="12" t="str">
        <f>if(COUNTIFS(Data!Q:Q,"&lt;&gt;",Data!$A:$A,$A11,Data!$D:$D,$B$30)&lt;$B$31,"",(sumifs(Data!$D:$D,Data!Q:Q,"&lt;&gt;",Data!$A:$A,$A11,Data!$D:$D,$B$30)-sumifs(Data!Q:Q,Data!Q:Q,"&lt;&gt;",Data!$A:$A,$A11,Data!$D:$D,$B$30))/(sumifs(Data!$D:$D,Data!Q:Q,"&lt;&gt;",Data!$A:$A,$A11,Data!$D:$D,$B$30)-countifs(Data!Q:Q,"&lt;&gt;",Data!$A:$A,$A11,Data!$D:$D,$B$30)))</f>
        <v/>
      </c>
      <c r="P11" s="12" t="str">
        <f>if(COUNTIFS(Data!R:R,"&lt;&gt;",Data!$A:$A,$A11,Data!$D:$D,$B$30)&lt;$B$31,"",(sumifs(Data!$D:$D,Data!R:R,"&lt;&gt;",Data!$A:$A,$A11,Data!$D:$D,$B$30)-sumifs(Data!R:R,Data!R:R,"&lt;&gt;",Data!$A:$A,$A11,Data!$D:$D,$B$30))/(sumifs(Data!$D:$D,Data!R:R,"&lt;&gt;",Data!$A:$A,$A11,Data!$D:$D,$B$30)-countifs(Data!R:R,"&lt;&gt;",Data!$A:$A,$A11,Data!$D:$D,$B$30)))</f>
        <v/>
      </c>
      <c r="Q11" s="12" t="str">
        <f>if(COUNTIFS(Data!S:S,"&lt;&gt;",Data!$A:$A,$A11,Data!$D:$D,$B$30)&lt;$B$31,"",(sumifs(Data!$D:$D,Data!S:S,"&lt;&gt;",Data!$A:$A,$A11,Data!$D:$D,$B$30)-sumifs(Data!S:S,Data!S:S,"&lt;&gt;",Data!$A:$A,$A11,Data!$D:$D,$B$30))/(sumifs(Data!$D:$D,Data!S:S,"&lt;&gt;",Data!$A:$A,$A11,Data!$D:$D,$B$30)-countifs(Data!S:S,"&lt;&gt;",Data!$A:$A,$A11,Data!$D:$D,$B$30)))</f>
        <v/>
      </c>
      <c r="R11" s="12" t="str">
        <f>if(COUNTIFS(Data!T:T,"&lt;&gt;",Data!$A:$A,$A11,Data!$D:$D,$B$30)&lt;$B$31,"",(sumifs(Data!$D:$D,Data!T:T,"&lt;&gt;",Data!$A:$A,$A11,Data!$D:$D,$B$30)-sumifs(Data!T:T,Data!T:T,"&lt;&gt;",Data!$A:$A,$A11,Data!$D:$D,$B$30))/(sumifs(Data!$D:$D,Data!T:T,"&lt;&gt;",Data!$A:$A,$A11,Data!$D:$D,$B$30)-countifs(Data!T:T,"&lt;&gt;",Data!$A:$A,$A11,Data!$D:$D,$B$30)))</f>
        <v/>
      </c>
      <c r="S11" s="12" t="str">
        <f>if(COUNTIFS(Data!U:U,"&lt;&gt;",Data!$A:$A,$A11,Data!$D:$D,$B$30)&lt;$B$31,"",(sumifs(Data!$D:$D,Data!U:U,"&lt;&gt;",Data!$A:$A,$A11,Data!$D:$D,$B$30)-sumifs(Data!U:U,Data!U:U,"&lt;&gt;",Data!$A:$A,$A11,Data!$D:$D,$B$30))/(sumifs(Data!$D:$D,Data!U:U,"&lt;&gt;",Data!$A:$A,$A11,Data!$D:$D,$B$30)-countifs(Data!U:U,"&lt;&gt;",Data!$A:$A,$A11,Data!$D:$D,$B$30)))</f>
        <v/>
      </c>
      <c r="T11" s="12" t="str">
        <f>if(COUNTIFS(Data!V:V,"&lt;&gt;",Data!$A:$A,$A11,Data!$D:$D,$B$30)&lt;$B$31,"",(sumifs(Data!$D:$D,Data!V:V,"&lt;&gt;",Data!$A:$A,$A11,Data!$D:$D,$B$30)-sumifs(Data!V:V,Data!V:V,"&lt;&gt;",Data!$A:$A,$A11,Data!$D:$D,$B$30))/(sumifs(Data!$D:$D,Data!V:V,"&lt;&gt;",Data!$A:$A,$A11,Data!$D:$D,$B$30)-countifs(Data!V:V,"&lt;&gt;",Data!$A:$A,$A11,Data!$D:$D,$B$30)))</f>
        <v/>
      </c>
    </row>
    <row r="12">
      <c r="A12" s="1" t="s">
        <v>37</v>
      </c>
      <c r="B12" s="1">
        <f>countif(Data!A:A,"="&amp;A12)</f>
        <v>4</v>
      </c>
      <c r="C12" s="12" t="str">
        <f>if(COUNTIFS(Data!E:E,"&lt;&gt;",Data!$A:$A,$A12,Data!$D:$D,$B$30)&lt;$B$31,"",(sumifs(Data!$D:$D,Data!E:E,"&lt;&gt;",Data!$A:$A,$A12,Data!$D:$D,$B$30)-sumifs(Data!E:E,Data!E:E,"&lt;&gt;",Data!$A:$A,$A12,Data!$D:$D,$B$30))/(sumifs(Data!$D:$D,Data!E:E,"&lt;&gt;",Data!$A:$A,$A12,Data!$D:$D,$B$30)-countifs(Data!E:E,"&lt;&gt;",Data!$A:$A,$A12,Data!$D:$D,$B$30)))</f>
        <v/>
      </c>
      <c r="D12" s="12" t="str">
        <f>if(COUNTIFS(Data!F:F,"&lt;&gt;",Data!$A:$A,$A12,Data!$D:$D,$B$30)&lt;$B$31,"",(sumifs(Data!$D:$D,Data!F:F,"&lt;&gt;",Data!$A:$A,$A12,Data!$D:$D,$B$30)-sumifs(Data!F:F,Data!F:F,"&lt;&gt;",Data!$A:$A,$A12,Data!$D:$D,$B$30))/(sumifs(Data!$D:$D,Data!F:F,"&lt;&gt;",Data!$A:$A,$A12,Data!$D:$D,$B$30)-countifs(Data!F:F,"&lt;&gt;",Data!$A:$A,$A12,Data!$D:$D,$B$30)))</f>
        <v/>
      </c>
      <c r="E12" s="12" t="str">
        <f>if(COUNTIFS(Data!G:G,"&lt;&gt;",Data!$A:$A,$A12,Data!$D:$D,$B$30)&lt;$B$31,"",(sumifs(Data!$D:$D,Data!G:G,"&lt;&gt;",Data!$A:$A,$A12,Data!$D:$D,$B$30)-sumifs(Data!G:G,Data!G:G,"&lt;&gt;",Data!$A:$A,$A12,Data!$D:$D,$B$30))/(sumifs(Data!$D:$D,Data!G:G,"&lt;&gt;",Data!$A:$A,$A12,Data!$D:$D,$B$30)-countifs(Data!G:G,"&lt;&gt;",Data!$A:$A,$A12,Data!$D:$D,$B$30)))</f>
        <v/>
      </c>
      <c r="F12" s="12" t="str">
        <f>if(COUNTIFS(Data!H:H,"&lt;&gt;",Data!$A:$A,$A12,Data!$D:$D,$B$30)&lt;$B$31,"",(sumifs(Data!$D:$D,Data!H:H,"&lt;&gt;",Data!$A:$A,$A12,Data!$D:$D,$B$30)-sumifs(Data!H:H,Data!H:H,"&lt;&gt;",Data!$A:$A,$A12,Data!$D:$D,$B$30))/(sumifs(Data!$D:$D,Data!H:H,"&lt;&gt;",Data!$A:$A,$A12,Data!$D:$D,$B$30)-countifs(Data!H:H,"&lt;&gt;",Data!$A:$A,$A12,Data!$D:$D,$B$30)))</f>
        <v/>
      </c>
      <c r="G12" s="12" t="str">
        <f>if(COUNTIFS(Data!I:I,"&lt;&gt;",Data!$A:$A,$A12,Data!$D:$D,$B$30)&lt;$B$31,"",(sumifs(Data!$D:$D,Data!I:I,"&lt;&gt;",Data!$A:$A,$A12,Data!$D:$D,$B$30)-sumifs(Data!I:I,Data!I:I,"&lt;&gt;",Data!$A:$A,$A12,Data!$D:$D,$B$30))/(sumifs(Data!$D:$D,Data!I:I,"&lt;&gt;",Data!$A:$A,$A12,Data!$D:$D,$B$30)-countifs(Data!I:I,"&lt;&gt;",Data!$A:$A,$A12,Data!$D:$D,$B$30)))</f>
        <v/>
      </c>
      <c r="H12" s="12" t="str">
        <f>if(COUNTIFS(Data!J:J,"&lt;&gt;",Data!$A:$A,$A12,Data!$D:$D,$B$30)&lt;$B$31,"",(sumifs(Data!$D:$D,Data!J:J,"&lt;&gt;",Data!$A:$A,$A12,Data!$D:$D,$B$30)-sumifs(Data!J:J,Data!J:J,"&lt;&gt;",Data!$A:$A,$A12,Data!$D:$D,$B$30))/(sumifs(Data!$D:$D,Data!J:J,"&lt;&gt;",Data!$A:$A,$A12,Data!$D:$D,$B$30)-countifs(Data!J:J,"&lt;&gt;",Data!$A:$A,$A12,Data!$D:$D,$B$30)))</f>
        <v/>
      </c>
      <c r="I12" s="12" t="str">
        <f>if(COUNTIFS(Data!K:K,"&lt;&gt;",Data!$A:$A,$A12,Data!$D:$D,$B$30)&lt;$B$31,"",(sumifs(Data!$D:$D,Data!K:K,"&lt;&gt;",Data!$A:$A,$A12,Data!$D:$D,$B$30)-sumifs(Data!K:K,Data!K:K,"&lt;&gt;",Data!$A:$A,$A12,Data!$D:$D,$B$30))/(sumifs(Data!$D:$D,Data!K:K,"&lt;&gt;",Data!$A:$A,$A12,Data!$D:$D,$B$30)-countifs(Data!K:K,"&lt;&gt;",Data!$A:$A,$A12,Data!$D:$D,$B$30)))</f>
        <v/>
      </c>
      <c r="J12" s="12" t="str">
        <f>if(COUNTIFS(Data!L:L,"&lt;&gt;",Data!$A:$A,$A12,Data!$D:$D,$B$30)&lt;$B$31,"",(sumifs(Data!$D:$D,Data!L:L,"&lt;&gt;",Data!$A:$A,$A12,Data!$D:$D,$B$30)-sumifs(Data!L:L,Data!L:L,"&lt;&gt;",Data!$A:$A,$A12,Data!$D:$D,$B$30))/(sumifs(Data!$D:$D,Data!L:L,"&lt;&gt;",Data!$A:$A,$A12,Data!$D:$D,$B$30)-countifs(Data!L:L,"&lt;&gt;",Data!$A:$A,$A12,Data!$D:$D,$B$30)))</f>
        <v/>
      </c>
      <c r="K12" s="12" t="str">
        <f>if(COUNTIFS(Data!M:M,"&lt;&gt;",Data!$A:$A,$A12,Data!$D:$D,$B$30)&lt;$B$31,"",(sumifs(Data!$D:$D,Data!M:M,"&lt;&gt;",Data!$A:$A,$A12,Data!$D:$D,$B$30)-sumifs(Data!M:M,Data!M:M,"&lt;&gt;",Data!$A:$A,$A12,Data!$D:$D,$B$30))/(sumifs(Data!$D:$D,Data!M:M,"&lt;&gt;",Data!$A:$A,$A12,Data!$D:$D,$B$30)-countifs(Data!M:M,"&lt;&gt;",Data!$A:$A,$A12,Data!$D:$D,$B$30)))</f>
        <v/>
      </c>
      <c r="L12" s="12" t="str">
        <f>if(COUNTIFS(Data!N:N,"&lt;&gt;",Data!$A:$A,$A12,Data!$D:$D,$B$30)&lt;$B$31,"",(sumifs(Data!$D:$D,Data!N:N,"&lt;&gt;",Data!$A:$A,$A12,Data!$D:$D,$B$30)-sumifs(Data!N:N,Data!N:N,"&lt;&gt;",Data!$A:$A,$A12,Data!$D:$D,$B$30))/(sumifs(Data!$D:$D,Data!N:N,"&lt;&gt;",Data!$A:$A,$A12,Data!$D:$D,$B$30)-countifs(Data!N:N,"&lt;&gt;",Data!$A:$A,$A12,Data!$D:$D,$B$30)))</f>
        <v/>
      </c>
      <c r="M12" s="12" t="str">
        <f>if(COUNTIFS(Data!O:O,"&lt;&gt;",Data!$A:$A,$A12,Data!$D:$D,$B$30)&lt;$B$31,"",(sumifs(Data!$D:$D,Data!O:O,"&lt;&gt;",Data!$A:$A,$A12,Data!$D:$D,$B$30)-sumifs(Data!O:O,Data!O:O,"&lt;&gt;",Data!$A:$A,$A12,Data!$D:$D,$B$30))/(sumifs(Data!$D:$D,Data!O:O,"&lt;&gt;",Data!$A:$A,$A12,Data!$D:$D,$B$30)-countifs(Data!O:O,"&lt;&gt;",Data!$A:$A,$A12,Data!$D:$D,$B$30)))</f>
        <v/>
      </c>
      <c r="N12" s="12" t="str">
        <f>if(COUNTIFS(Data!P:P,"&lt;&gt;",Data!$A:$A,$A12,Data!$D:$D,$B$30)&lt;$B$31,"",(sumifs(Data!$D:$D,Data!P:P,"&lt;&gt;",Data!$A:$A,$A12,Data!$D:$D,$B$30)-sumifs(Data!P:P,Data!P:P,"&lt;&gt;",Data!$A:$A,$A12,Data!$D:$D,$B$30))/(sumifs(Data!$D:$D,Data!P:P,"&lt;&gt;",Data!$A:$A,$A12,Data!$D:$D,$B$30)-countifs(Data!P:P,"&lt;&gt;",Data!$A:$A,$A12,Data!$D:$D,$B$30)))</f>
        <v/>
      </c>
      <c r="O12" s="12" t="str">
        <f>if(COUNTIFS(Data!Q:Q,"&lt;&gt;",Data!$A:$A,$A12,Data!$D:$D,$B$30)&lt;$B$31,"",(sumifs(Data!$D:$D,Data!Q:Q,"&lt;&gt;",Data!$A:$A,$A12,Data!$D:$D,$B$30)-sumifs(Data!Q:Q,Data!Q:Q,"&lt;&gt;",Data!$A:$A,$A12,Data!$D:$D,$B$30))/(sumifs(Data!$D:$D,Data!Q:Q,"&lt;&gt;",Data!$A:$A,$A12,Data!$D:$D,$B$30)-countifs(Data!Q:Q,"&lt;&gt;",Data!$A:$A,$A12,Data!$D:$D,$B$30)))</f>
        <v/>
      </c>
      <c r="P12" s="12" t="str">
        <f>if(COUNTIFS(Data!R:R,"&lt;&gt;",Data!$A:$A,$A12,Data!$D:$D,$B$30)&lt;$B$31,"",(sumifs(Data!$D:$D,Data!R:R,"&lt;&gt;",Data!$A:$A,$A12,Data!$D:$D,$B$30)-sumifs(Data!R:R,Data!R:R,"&lt;&gt;",Data!$A:$A,$A12,Data!$D:$D,$B$30))/(sumifs(Data!$D:$D,Data!R:R,"&lt;&gt;",Data!$A:$A,$A12,Data!$D:$D,$B$30)-countifs(Data!R:R,"&lt;&gt;",Data!$A:$A,$A12,Data!$D:$D,$B$30)))</f>
        <v/>
      </c>
      <c r="Q12" s="12" t="str">
        <f>if(COUNTIFS(Data!S:S,"&lt;&gt;",Data!$A:$A,$A12,Data!$D:$D,$B$30)&lt;$B$31,"",(sumifs(Data!$D:$D,Data!S:S,"&lt;&gt;",Data!$A:$A,$A12,Data!$D:$D,$B$30)-sumifs(Data!S:S,Data!S:S,"&lt;&gt;",Data!$A:$A,$A12,Data!$D:$D,$B$30))/(sumifs(Data!$D:$D,Data!S:S,"&lt;&gt;",Data!$A:$A,$A12,Data!$D:$D,$B$30)-countifs(Data!S:S,"&lt;&gt;",Data!$A:$A,$A12,Data!$D:$D,$B$30)))</f>
        <v/>
      </c>
      <c r="R12" s="12" t="str">
        <f>if(COUNTIFS(Data!T:T,"&lt;&gt;",Data!$A:$A,$A12,Data!$D:$D,$B$30)&lt;$B$31,"",(sumifs(Data!$D:$D,Data!T:T,"&lt;&gt;",Data!$A:$A,$A12,Data!$D:$D,$B$30)-sumifs(Data!T:T,Data!T:T,"&lt;&gt;",Data!$A:$A,$A12,Data!$D:$D,$B$30))/(sumifs(Data!$D:$D,Data!T:T,"&lt;&gt;",Data!$A:$A,$A12,Data!$D:$D,$B$30)-countifs(Data!T:T,"&lt;&gt;",Data!$A:$A,$A12,Data!$D:$D,$B$30)))</f>
        <v/>
      </c>
      <c r="S12" s="12" t="str">
        <f>if(COUNTIFS(Data!U:U,"&lt;&gt;",Data!$A:$A,$A12,Data!$D:$D,$B$30)&lt;$B$31,"",(sumifs(Data!$D:$D,Data!U:U,"&lt;&gt;",Data!$A:$A,$A12,Data!$D:$D,$B$30)-sumifs(Data!U:U,Data!U:U,"&lt;&gt;",Data!$A:$A,$A12,Data!$D:$D,$B$30))/(sumifs(Data!$D:$D,Data!U:U,"&lt;&gt;",Data!$A:$A,$A12,Data!$D:$D,$B$30)-countifs(Data!U:U,"&lt;&gt;",Data!$A:$A,$A12,Data!$D:$D,$B$30)))</f>
        <v/>
      </c>
      <c r="T12" s="12" t="str">
        <f>if(COUNTIFS(Data!V:V,"&lt;&gt;",Data!$A:$A,$A12,Data!$D:$D,$B$30)&lt;$B$31,"",(sumifs(Data!$D:$D,Data!V:V,"&lt;&gt;",Data!$A:$A,$A12,Data!$D:$D,$B$30)-sumifs(Data!V:V,Data!V:V,"&lt;&gt;",Data!$A:$A,$A12,Data!$D:$D,$B$30))/(sumifs(Data!$D:$D,Data!V:V,"&lt;&gt;",Data!$A:$A,$A12,Data!$D:$D,$B$30)-countifs(Data!V:V,"&lt;&gt;",Data!$A:$A,$A12,Data!$D:$D,$B$30)))</f>
        <v/>
      </c>
    </row>
    <row r="13">
      <c r="A13" s="1" t="s">
        <v>38</v>
      </c>
      <c r="B13" s="1">
        <f>countif(Data!A:A,"="&amp;A13)</f>
        <v>24</v>
      </c>
      <c r="C13" s="12">
        <f>if(COUNTIFS(Data!E:E,"&lt;&gt;",Data!$A:$A,$A13,Data!$D:$D,$B$30)&lt;$B$31,"",(sumifs(Data!$D:$D,Data!E:E,"&lt;&gt;",Data!$A:$A,$A13,Data!$D:$D,$B$30)-sumifs(Data!E:E,Data!E:E,"&lt;&gt;",Data!$A:$A,$A13,Data!$D:$D,$B$30))/(sumifs(Data!$D:$D,Data!E:E,"&lt;&gt;",Data!$A:$A,$A13,Data!$D:$D,$B$30)-countifs(Data!E:E,"&lt;&gt;",Data!$A:$A,$A13,Data!$D:$D,$B$30)))</f>
        <v>0.5238095238</v>
      </c>
      <c r="D13" s="12">
        <f>if(COUNTIFS(Data!F:F,"&lt;&gt;",Data!$A:$A,$A13,Data!$D:$D,$B$30)&lt;$B$31,"",(sumifs(Data!$D:$D,Data!F:F,"&lt;&gt;",Data!$A:$A,$A13,Data!$D:$D,$B$30)-sumifs(Data!F:F,Data!F:F,"&lt;&gt;",Data!$A:$A,$A13,Data!$D:$D,$B$30))/(sumifs(Data!$D:$D,Data!F:F,"&lt;&gt;",Data!$A:$A,$A13,Data!$D:$D,$B$30)-countifs(Data!F:F,"&lt;&gt;",Data!$A:$A,$A13,Data!$D:$D,$B$30)))</f>
        <v>0.5</v>
      </c>
      <c r="E13" s="12" t="str">
        <f>if(COUNTIFS(Data!G:G,"&lt;&gt;",Data!$A:$A,$A13,Data!$D:$D,$B$30)&lt;$B$31,"",(sumifs(Data!$D:$D,Data!G:G,"&lt;&gt;",Data!$A:$A,$A13,Data!$D:$D,$B$30)-sumifs(Data!G:G,Data!G:G,"&lt;&gt;",Data!$A:$A,$A13,Data!$D:$D,$B$30))/(sumifs(Data!$D:$D,Data!G:G,"&lt;&gt;",Data!$A:$A,$A13,Data!$D:$D,$B$30)-countifs(Data!G:G,"&lt;&gt;",Data!$A:$A,$A13,Data!$D:$D,$B$30)))</f>
        <v/>
      </c>
      <c r="F13" s="12">
        <f>if(COUNTIFS(Data!H:H,"&lt;&gt;",Data!$A:$A,$A13,Data!$D:$D,$B$30)&lt;$B$31,"",(sumifs(Data!$D:$D,Data!H:H,"&lt;&gt;",Data!$A:$A,$A13,Data!$D:$D,$B$30)-sumifs(Data!H:H,Data!H:H,"&lt;&gt;",Data!$A:$A,$A13,Data!$D:$D,$B$30))/(sumifs(Data!$D:$D,Data!H:H,"&lt;&gt;",Data!$A:$A,$A13,Data!$D:$D,$B$30)-countifs(Data!H:H,"&lt;&gt;",Data!$A:$A,$A13,Data!$D:$D,$B$30)))</f>
        <v>0.625</v>
      </c>
      <c r="G13" s="12" t="str">
        <f>if(COUNTIFS(Data!I:I,"&lt;&gt;",Data!$A:$A,$A13,Data!$D:$D,$B$30)&lt;$B$31,"",(sumifs(Data!$D:$D,Data!I:I,"&lt;&gt;",Data!$A:$A,$A13,Data!$D:$D,$B$30)-sumifs(Data!I:I,Data!I:I,"&lt;&gt;",Data!$A:$A,$A13,Data!$D:$D,$B$30))/(sumifs(Data!$D:$D,Data!I:I,"&lt;&gt;",Data!$A:$A,$A13,Data!$D:$D,$B$30)-countifs(Data!I:I,"&lt;&gt;",Data!$A:$A,$A13,Data!$D:$D,$B$30)))</f>
        <v/>
      </c>
      <c r="H13" s="12" t="str">
        <f>if(COUNTIFS(Data!J:J,"&lt;&gt;",Data!$A:$A,$A13,Data!$D:$D,$B$30)&lt;$B$31,"",(sumifs(Data!$D:$D,Data!J:J,"&lt;&gt;",Data!$A:$A,$A13,Data!$D:$D,$B$30)-sumifs(Data!J:J,Data!J:J,"&lt;&gt;",Data!$A:$A,$A13,Data!$D:$D,$B$30))/(sumifs(Data!$D:$D,Data!J:J,"&lt;&gt;",Data!$A:$A,$A13,Data!$D:$D,$B$30)-countifs(Data!J:J,"&lt;&gt;",Data!$A:$A,$A13,Data!$D:$D,$B$30)))</f>
        <v/>
      </c>
      <c r="I13" s="12" t="str">
        <f>if(COUNTIFS(Data!K:K,"&lt;&gt;",Data!$A:$A,$A13,Data!$D:$D,$B$30)&lt;$B$31,"",(sumifs(Data!$D:$D,Data!K:K,"&lt;&gt;",Data!$A:$A,$A13,Data!$D:$D,$B$30)-sumifs(Data!K:K,Data!K:K,"&lt;&gt;",Data!$A:$A,$A13,Data!$D:$D,$B$30))/(sumifs(Data!$D:$D,Data!K:K,"&lt;&gt;",Data!$A:$A,$A13,Data!$D:$D,$B$30)-countifs(Data!K:K,"&lt;&gt;",Data!$A:$A,$A13,Data!$D:$D,$B$30)))</f>
        <v/>
      </c>
      <c r="J13" s="12" t="str">
        <f>if(COUNTIFS(Data!L:L,"&lt;&gt;",Data!$A:$A,$A13,Data!$D:$D,$B$30)&lt;$B$31,"",(sumifs(Data!$D:$D,Data!L:L,"&lt;&gt;",Data!$A:$A,$A13,Data!$D:$D,$B$30)-sumifs(Data!L:L,Data!L:L,"&lt;&gt;",Data!$A:$A,$A13,Data!$D:$D,$B$30))/(sumifs(Data!$D:$D,Data!L:L,"&lt;&gt;",Data!$A:$A,$A13,Data!$D:$D,$B$30)-countifs(Data!L:L,"&lt;&gt;",Data!$A:$A,$A13,Data!$D:$D,$B$30)))</f>
        <v/>
      </c>
      <c r="K13" s="12" t="str">
        <f>if(COUNTIFS(Data!M:M,"&lt;&gt;",Data!$A:$A,$A13,Data!$D:$D,$B$30)&lt;$B$31,"",(sumifs(Data!$D:$D,Data!M:M,"&lt;&gt;",Data!$A:$A,$A13,Data!$D:$D,$B$30)-sumifs(Data!M:M,Data!M:M,"&lt;&gt;",Data!$A:$A,$A13,Data!$D:$D,$B$30))/(sumifs(Data!$D:$D,Data!M:M,"&lt;&gt;",Data!$A:$A,$A13,Data!$D:$D,$B$30)-countifs(Data!M:M,"&lt;&gt;",Data!$A:$A,$A13,Data!$D:$D,$B$30)))</f>
        <v/>
      </c>
      <c r="L13" s="12" t="str">
        <f>if(COUNTIFS(Data!N:N,"&lt;&gt;",Data!$A:$A,$A13,Data!$D:$D,$B$30)&lt;$B$31,"",(sumifs(Data!$D:$D,Data!N:N,"&lt;&gt;",Data!$A:$A,$A13,Data!$D:$D,$B$30)-sumifs(Data!N:N,Data!N:N,"&lt;&gt;",Data!$A:$A,$A13,Data!$D:$D,$B$30))/(sumifs(Data!$D:$D,Data!N:N,"&lt;&gt;",Data!$A:$A,$A13,Data!$D:$D,$B$30)-countifs(Data!N:N,"&lt;&gt;",Data!$A:$A,$A13,Data!$D:$D,$B$30)))</f>
        <v/>
      </c>
      <c r="M13" s="12" t="str">
        <f>if(COUNTIFS(Data!O:O,"&lt;&gt;",Data!$A:$A,$A13,Data!$D:$D,$B$30)&lt;$B$31,"",(sumifs(Data!$D:$D,Data!O:O,"&lt;&gt;",Data!$A:$A,$A13,Data!$D:$D,$B$30)-sumifs(Data!O:O,Data!O:O,"&lt;&gt;",Data!$A:$A,$A13,Data!$D:$D,$B$30))/(sumifs(Data!$D:$D,Data!O:O,"&lt;&gt;",Data!$A:$A,$A13,Data!$D:$D,$B$30)-countifs(Data!O:O,"&lt;&gt;",Data!$A:$A,$A13,Data!$D:$D,$B$30)))</f>
        <v/>
      </c>
      <c r="N13" s="12" t="str">
        <f>if(COUNTIFS(Data!P:P,"&lt;&gt;",Data!$A:$A,$A13,Data!$D:$D,$B$30)&lt;$B$31,"",(sumifs(Data!$D:$D,Data!P:P,"&lt;&gt;",Data!$A:$A,$A13,Data!$D:$D,$B$30)-sumifs(Data!P:P,Data!P:P,"&lt;&gt;",Data!$A:$A,$A13,Data!$D:$D,$B$30))/(sumifs(Data!$D:$D,Data!P:P,"&lt;&gt;",Data!$A:$A,$A13,Data!$D:$D,$B$30)-countifs(Data!P:P,"&lt;&gt;",Data!$A:$A,$A13,Data!$D:$D,$B$30)))</f>
        <v/>
      </c>
      <c r="O13" s="12" t="str">
        <f>if(COUNTIFS(Data!Q:Q,"&lt;&gt;",Data!$A:$A,$A13,Data!$D:$D,$B$30)&lt;$B$31,"",(sumifs(Data!$D:$D,Data!Q:Q,"&lt;&gt;",Data!$A:$A,$A13,Data!$D:$D,$B$30)-sumifs(Data!Q:Q,Data!Q:Q,"&lt;&gt;",Data!$A:$A,$A13,Data!$D:$D,$B$30))/(sumifs(Data!$D:$D,Data!Q:Q,"&lt;&gt;",Data!$A:$A,$A13,Data!$D:$D,$B$30)-countifs(Data!Q:Q,"&lt;&gt;",Data!$A:$A,$A13,Data!$D:$D,$B$30)))</f>
        <v/>
      </c>
      <c r="P13" s="12" t="str">
        <f>if(COUNTIFS(Data!R:R,"&lt;&gt;",Data!$A:$A,$A13,Data!$D:$D,$B$30)&lt;$B$31,"",(sumifs(Data!$D:$D,Data!R:R,"&lt;&gt;",Data!$A:$A,$A13,Data!$D:$D,$B$30)-sumifs(Data!R:R,Data!R:R,"&lt;&gt;",Data!$A:$A,$A13,Data!$D:$D,$B$30))/(sumifs(Data!$D:$D,Data!R:R,"&lt;&gt;",Data!$A:$A,$A13,Data!$D:$D,$B$30)-countifs(Data!R:R,"&lt;&gt;",Data!$A:$A,$A13,Data!$D:$D,$B$30)))</f>
        <v/>
      </c>
      <c r="Q13" s="12" t="str">
        <f>if(COUNTIFS(Data!S:S,"&lt;&gt;",Data!$A:$A,$A13,Data!$D:$D,$B$30)&lt;$B$31,"",(sumifs(Data!$D:$D,Data!S:S,"&lt;&gt;",Data!$A:$A,$A13,Data!$D:$D,$B$30)-sumifs(Data!S:S,Data!S:S,"&lt;&gt;",Data!$A:$A,$A13,Data!$D:$D,$B$30))/(sumifs(Data!$D:$D,Data!S:S,"&lt;&gt;",Data!$A:$A,$A13,Data!$D:$D,$B$30)-countifs(Data!S:S,"&lt;&gt;",Data!$A:$A,$A13,Data!$D:$D,$B$30)))</f>
        <v/>
      </c>
      <c r="R13" s="12" t="str">
        <f>if(COUNTIFS(Data!T:T,"&lt;&gt;",Data!$A:$A,$A13,Data!$D:$D,$B$30)&lt;$B$31,"",(sumifs(Data!$D:$D,Data!T:T,"&lt;&gt;",Data!$A:$A,$A13,Data!$D:$D,$B$30)-sumifs(Data!T:T,Data!T:T,"&lt;&gt;",Data!$A:$A,$A13,Data!$D:$D,$B$30))/(sumifs(Data!$D:$D,Data!T:T,"&lt;&gt;",Data!$A:$A,$A13,Data!$D:$D,$B$30)-countifs(Data!T:T,"&lt;&gt;",Data!$A:$A,$A13,Data!$D:$D,$B$30)))</f>
        <v/>
      </c>
      <c r="S13" s="12" t="str">
        <f>if(COUNTIFS(Data!U:U,"&lt;&gt;",Data!$A:$A,$A13,Data!$D:$D,$B$30)&lt;$B$31,"",(sumifs(Data!$D:$D,Data!U:U,"&lt;&gt;",Data!$A:$A,$A13,Data!$D:$D,$B$30)-sumifs(Data!U:U,Data!U:U,"&lt;&gt;",Data!$A:$A,$A13,Data!$D:$D,$B$30))/(sumifs(Data!$D:$D,Data!U:U,"&lt;&gt;",Data!$A:$A,$A13,Data!$D:$D,$B$30)-countifs(Data!U:U,"&lt;&gt;",Data!$A:$A,$A13,Data!$D:$D,$B$30)))</f>
        <v/>
      </c>
      <c r="T13" s="12" t="str">
        <f>if(COUNTIFS(Data!V:V,"&lt;&gt;",Data!$A:$A,$A13,Data!$D:$D,$B$30)&lt;$B$31,"",(sumifs(Data!$D:$D,Data!V:V,"&lt;&gt;",Data!$A:$A,$A13,Data!$D:$D,$B$30)-sumifs(Data!V:V,Data!V:V,"&lt;&gt;",Data!$A:$A,$A13,Data!$D:$D,$B$30))/(sumifs(Data!$D:$D,Data!V:V,"&lt;&gt;",Data!$A:$A,$A13,Data!$D:$D,$B$30)-countifs(Data!V:V,"&lt;&gt;",Data!$A:$A,$A13,Data!$D:$D,$B$30)))</f>
        <v/>
      </c>
    </row>
    <row r="14">
      <c r="A14" s="1" t="s">
        <v>53</v>
      </c>
      <c r="B14" s="1">
        <f>countif(Data!A:A,"="&amp;A14)</f>
        <v>1</v>
      </c>
      <c r="C14" s="12" t="str">
        <f>if(COUNTIFS(Data!E:E,"&lt;&gt;",Data!$A:$A,$A14,Data!$D:$D,$B$30)&lt;$B$31,"",(sumifs(Data!$D:$D,Data!E:E,"&lt;&gt;",Data!$A:$A,$A14,Data!$D:$D,$B$30)-sumifs(Data!E:E,Data!E:E,"&lt;&gt;",Data!$A:$A,$A14,Data!$D:$D,$B$30))/(sumifs(Data!$D:$D,Data!E:E,"&lt;&gt;",Data!$A:$A,$A14,Data!$D:$D,$B$30)-countifs(Data!E:E,"&lt;&gt;",Data!$A:$A,$A14,Data!$D:$D,$B$30)))</f>
        <v/>
      </c>
      <c r="D14" s="12" t="str">
        <f>if(COUNTIFS(Data!F:F,"&lt;&gt;",Data!$A:$A,$A14,Data!$D:$D,$B$30)&lt;$B$31,"",(sumifs(Data!$D:$D,Data!F:F,"&lt;&gt;",Data!$A:$A,$A14,Data!$D:$D,$B$30)-sumifs(Data!F:F,Data!F:F,"&lt;&gt;",Data!$A:$A,$A14,Data!$D:$D,$B$30))/(sumifs(Data!$D:$D,Data!F:F,"&lt;&gt;",Data!$A:$A,$A14,Data!$D:$D,$B$30)-countifs(Data!F:F,"&lt;&gt;",Data!$A:$A,$A14,Data!$D:$D,$B$30)))</f>
        <v/>
      </c>
      <c r="E14" s="12" t="str">
        <f>if(COUNTIFS(Data!G:G,"&lt;&gt;",Data!$A:$A,$A14,Data!$D:$D,$B$30)&lt;$B$31,"",(sumifs(Data!$D:$D,Data!G:G,"&lt;&gt;",Data!$A:$A,$A14,Data!$D:$D,$B$30)-sumifs(Data!G:G,Data!G:G,"&lt;&gt;",Data!$A:$A,$A14,Data!$D:$D,$B$30))/(sumifs(Data!$D:$D,Data!G:G,"&lt;&gt;",Data!$A:$A,$A14,Data!$D:$D,$B$30)-countifs(Data!G:G,"&lt;&gt;",Data!$A:$A,$A14,Data!$D:$D,$B$30)))</f>
        <v/>
      </c>
      <c r="F14" s="12" t="str">
        <f>if(COUNTIFS(Data!H:H,"&lt;&gt;",Data!$A:$A,$A14,Data!$D:$D,$B$30)&lt;$B$31,"",(sumifs(Data!$D:$D,Data!H:H,"&lt;&gt;",Data!$A:$A,$A14,Data!$D:$D,$B$30)-sumifs(Data!H:H,Data!H:H,"&lt;&gt;",Data!$A:$A,$A14,Data!$D:$D,$B$30))/(sumifs(Data!$D:$D,Data!H:H,"&lt;&gt;",Data!$A:$A,$A14,Data!$D:$D,$B$30)-countifs(Data!H:H,"&lt;&gt;",Data!$A:$A,$A14,Data!$D:$D,$B$30)))</f>
        <v/>
      </c>
      <c r="G14" s="12" t="str">
        <f>if(COUNTIFS(Data!I:I,"&lt;&gt;",Data!$A:$A,$A14,Data!$D:$D,$B$30)&lt;$B$31,"",(sumifs(Data!$D:$D,Data!I:I,"&lt;&gt;",Data!$A:$A,$A14,Data!$D:$D,$B$30)-sumifs(Data!I:I,Data!I:I,"&lt;&gt;",Data!$A:$A,$A14,Data!$D:$D,$B$30))/(sumifs(Data!$D:$D,Data!I:I,"&lt;&gt;",Data!$A:$A,$A14,Data!$D:$D,$B$30)-countifs(Data!I:I,"&lt;&gt;",Data!$A:$A,$A14,Data!$D:$D,$B$30)))</f>
        <v/>
      </c>
      <c r="H14" s="12" t="str">
        <f>if(COUNTIFS(Data!J:J,"&lt;&gt;",Data!$A:$A,$A14,Data!$D:$D,$B$30)&lt;$B$31,"",(sumifs(Data!$D:$D,Data!J:J,"&lt;&gt;",Data!$A:$A,$A14,Data!$D:$D,$B$30)-sumifs(Data!J:J,Data!J:J,"&lt;&gt;",Data!$A:$A,$A14,Data!$D:$D,$B$30))/(sumifs(Data!$D:$D,Data!J:J,"&lt;&gt;",Data!$A:$A,$A14,Data!$D:$D,$B$30)-countifs(Data!J:J,"&lt;&gt;",Data!$A:$A,$A14,Data!$D:$D,$B$30)))</f>
        <v/>
      </c>
      <c r="I14" s="12" t="str">
        <f>if(COUNTIFS(Data!K:K,"&lt;&gt;",Data!$A:$A,$A14,Data!$D:$D,$B$30)&lt;$B$31,"",(sumifs(Data!$D:$D,Data!K:K,"&lt;&gt;",Data!$A:$A,$A14,Data!$D:$D,$B$30)-sumifs(Data!K:K,Data!K:K,"&lt;&gt;",Data!$A:$A,$A14,Data!$D:$D,$B$30))/(sumifs(Data!$D:$D,Data!K:K,"&lt;&gt;",Data!$A:$A,$A14,Data!$D:$D,$B$30)-countifs(Data!K:K,"&lt;&gt;",Data!$A:$A,$A14,Data!$D:$D,$B$30)))</f>
        <v/>
      </c>
      <c r="J14" s="12" t="str">
        <f>if(COUNTIFS(Data!L:L,"&lt;&gt;",Data!$A:$A,$A14,Data!$D:$D,$B$30)&lt;$B$31,"",(sumifs(Data!$D:$D,Data!L:L,"&lt;&gt;",Data!$A:$A,$A14,Data!$D:$D,$B$30)-sumifs(Data!L:L,Data!L:L,"&lt;&gt;",Data!$A:$A,$A14,Data!$D:$D,$B$30))/(sumifs(Data!$D:$D,Data!L:L,"&lt;&gt;",Data!$A:$A,$A14,Data!$D:$D,$B$30)-countifs(Data!L:L,"&lt;&gt;",Data!$A:$A,$A14,Data!$D:$D,$B$30)))</f>
        <v/>
      </c>
      <c r="K14" s="12" t="str">
        <f>if(COUNTIFS(Data!M:M,"&lt;&gt;",Data!$A:$A,$A14,Data!$D:$D,$B$30)&lt;$B$31,"",(sumifs(Data!$D:$D,Data!M:M,"&lt;&gt;",Data!$A:$A,$A14,Data!$D:$D,$B$30)-sumifs(Data!M:M,Data!M:M,"&lt;&gt;",Data!$A:$A,$A14,Data!$D:$D,$B$30))/(sumifs(Data!$D:$D,Data!M:M,"&lt;&gt;",Data!$A:$A,$A14,Data!$D:$D,$B$30)-countifs(Data!M:M,"&lt;&gt;",Data!$A:$A,$A14,Data!$D:$D,$B$30)))</f>
        <v/>
      </c>
      <c r="L14" s="12" t="str">
        <f>if(COUNTIFS(Data!N:N,"&lt;&gt;",Data!$A:$A,$A14,Data!$D:$D,$B$30)&lt;$B$31,"",(sumifs(Data!$D:$D,Data!N:N,"&lt;&gt;",Data!$A:$A,$A14,Data!$D:$D,$B$30)-sumifs(Data!N:N,Data!N:N,"&lt;&gt;",Data!$A:$A,$A14,Data!$D:$D,$B$30))/(sumifs(Data!$D:$D,Data!N:N,"&lt;&gt;",Data!$A:$A,$A14,Data!$D:$D,$B$30)-countifs(Data!N:N,"&lt;&gt;",Data!$A:$A,$A14,Data!$D:$D,$B$30)))</f>
        <v/>
      </c>
      <c r="M14" s="12" t="str">
        <f>if(COUNTIFS(Data!O:O,"&lt;&gt;",Data!$A:$A,$A14,Data!$D:$D,$B$30)&lt;$B$31,"",(sumifs(Data!$D:$D,Data!O:O,"&lt;&gt;",Data!$A:$A,$A14,Data!$D:$D,$B$30)-sumifs(Data!O:O,Data!O:O,"&lt;&gt;",Data!$A:$A,$A14,Data!$D:$D,$B$30))/(sumifs(Data!$D:$D,Data!O:O,"&lt;&gt;",Data!$A:$A,$A14,Data!$D:$D,$B$30)-countifs(Data!O:O,"&lt;&gt;",Data!$A:$A,$A14,Data!$D:$D,$B$30)))</f>
        <v/>
      </c>
      <c r="N14" s="12" t="str">
        <f>if(COUNTIFS(Data!P:P,"&lt;&gt;",Data!$A:$A,$A14,Data!$D:$D,$B$30)&lt;$B$31,"",(sumifs(Data!$D:$D,Data!P:P,"&lt;&gt;",Data!$A:$A,$A14,Data!$D:$D,$B$30)-sumifs(Data!P:P,Data!P:P,"&lt;&gt;",Data!$A:$A,$A14,Data!$D:$D,$B$30))/(sumifs(Data!$D:$D,Data!P:P,"&lt;&gt;",Data!$A:$A,$A14,Data!$D:$D,$B$30)-countifs(Data!P:P,"&lt;&gt;",Data!$A:$A,$A14,Data!$D:$D,$B$30)))</f>
        <v/>
      </c>
      <c r="O14" s="12" t="str">
        <f>if(COUNTIFS(Data!Q:Q,"&lt;&gt;",Data!$A:$A,$A14,Data!$D:$D,$B$30)&lt;$B$31,"",(sumifs(Data!$D:$D,Data!Q:Q,"&lt;&gt;",Data!$A:$A,$A14,Data!$D:$D,$B$30)-sumifs(Data!Q:Q,Data!Q:Q,"&lt;&gt;",Data!$A:$A,$A14,Data!$D:$D,$B$30))/(sumifs(Data!$D:$D,Data!Q:Q,"&lt;&gt;",Data!$A:$A,$A14,Data!$D:$D,$B$30)-countifs(Data!Q:Q,"&lt;&gt;",Data!$A:$A,$A14,Data!$D:$D,$B$30)))</f>
        <v/>
      </c>
      <c r="P14" s="12" t="str">
        <f>if(COUNTIFS(Data!R:R,"&lt;&gt;",Data!$A:$A,$A14,Data!$D:$D,$B$30)&lt;$B$31,"",(sumifs(Data!$D:$D,Data!R:R,"&lt;&gt;",Data!$A:$A,$A14,Data!$D:$D,$B$30)-sumifs(Data!R:R,Data!R:R,"&lt;&gt;",Data!$A:$A,$A14,Data!$D:$D,$B$30))/(sumifs(Data!$D:$D,Data!R:R,"&lt;&gt;",Data!$A:$A,$A14,Data!$D:$D,$B$30)-countifs(Data!R:R,"&lt;&gt;",Data!$A:$A,$A14,Data!$D:$D,$B$30)))</f>
        <v/>
      </c>
      <c r="Q14" s="12" t="str">
        <f>if(COUNTIFS(Data!S:S,"&lt;&gt;",Data!$A:$A,$A14,Data!$D:$D,$B$30)&lt;$B$31,"",(sumifs(Data!$D:$D,Data!S:S,"&lt;&gt;",Data!$A:$A,$A14,Data!$D:$D,$B$30)-sumifs(Data!S:S,Data!S:S,"&lt;&gt;",Data!$A:$A,$A14,Data!$D:$D,$B$30))/(sumifs(Data!$D:$D,Data!S:S,"&lt;&gt;",Data!$A:$A,$A14,Data!$D:$D,$B$30)-countifs(Data!S:S,"&lt;&gt;",Data!$A:$A,$A14,Data!$D:$D,$B$30)))</f>
        <v/>
      </c>
      <c r="R14" s="12" t="str">
        <f>if(COUNTIFS(Data!T:T,"&lt;&gt;",Data!$A:$A,$A14,Data!$D:$D,$B$30)&lt;$B$31,"",(sumifs(Data!$D:$D,Data!T:T,"&lt;&gt;",Data!$A:$A,$A14,Data!$D:$D,$B$30)-sumifs(Data!T:T,Data!T:T,"&lt;&gt;",Data!$A:$A,$A14,Data!$D:$D,$B$30))/(sumifs(Data!$D:$D,Data!T:T,"&lt;&gt;",Data!$A:$A,$A14,Data!$D:$D,$B$30)-countifs(Data!T:T,"&lt;&gt;",Data!$A:$A,$A14,Data!$D:$D,$B$30)))</f>
        <v/>
      </c>
      <c r="S14" s="12" t="str">
        <f>if(COUNTIFS(Data!U:U,"&lt;&gt;",Data!$A:$A,$A14,Data!$D:$D,$B$30)&lt;$B$31,"",(sumifs(Data!$D:$D,Data!U:U,"&lt;&gt;",Data!$A:$A,$A14,Data!$D:$D,$B$30)-sumifs(Data!U:U,Data!U:U,"&lt;&gt;",Data!$A:$A,$A14,Data!$D:$D,$B$30))/(sumifs(Data!$D:$D,Data!U:U,"&lt;&gt;",Data!$A:$A,$A14,Data!$D:$D,$B$30)-countifs(Data!U:U,"&lt;&gt;",Data!$A:$A,$A14,Data!$D:$D,$B$30)))</f>
        <v/>
      </c>
      <c r="T14" s="12" t="str">
        <f>if(COUNTIFS(Data!V:V,"&lt;&gt;",Data!$A:$A,$A14,Data!$D:$D,$B$30)&lt;$B$31,"",(sumifs(Data!$D:$D,Data!V:V,"&lt;&gt;",Data!$A:$A,$A14,Data!$D:$D,$B$30)-sumifs(Data!V:V,Data!V:V,"&lt;&gt;",Data!$A:$A,$A14,Data!$D:$D,$B$30))/(sumifs(Data!$D:$D,Data!V:V,"&lt;&gt;",Data!$A:$A,$A14,Data!$D:$D,$B$30)-countifs(Data!V:V,"&lt;&gt;",Data!$A:$A,$A14,Data!$D:$D,$B$30)))</f>
        <v/>
      </c>
    </row>
    <row r="15">
      <c r="A15" s="1" t="s">
        <v>54</v>
      </c>
      <c r="B15" s="1">
        <f>countif(Data!A:A,"="&amp;A15)</f>
        <v>5</v>
      </c>
      <c r="C15" s="12" t="str">
        <f>if(COUNTIFS(Data!E:E,"&lt;&gt;",Data!$A:$A,$A15,Data!$D:$D,$B$30)&lt;$B$31,"",(sumifs(Data!$D:$D,Data!E:E,"&lt;&gt;",Data!$A:$A,$A15,Data!$D:$D,$B$30)-sumifs(Data!E:E,Data!E:E,"&lt;&gt;",Data!$A:$A,$A15,Data!$D:$D,$B$30))/(sumifs(Data!$D:$D,Data!E:E,"&lt;&gt;",Data!$A:$A,$A15,Data!$D:$D,$B$30)-countifs(Data!E:E,"&lt;&gt;",Data!$A:$A,$A15,Data!$D:$D,$B$30)))</f>
        <v/>
      </c>
      <c r="D15" s="12" t="str">
        <f>if(COUNTIFS(Data!F:F,"&lt;&gt;",Data!$A:$A,$A15,Data!$D:$D,$B$30)&lt;$B$31,"",(sumifs(Data!$D:$D,Data!F:F,"&lt;&gt;",Data!$A:$A,$A15,Data!$D:$D,$B$30)-sumifs(Data!F:F,Data!F:F,"&lt;&gt;",Data!$A:$A,$A15,Data!$D:$D,$B$30))/(sumifs(Data!$D:$D,Data!F:F,"&lt;&gt;",Data!$A:$A,$A15,Data!$D:$D,$B$30)-countifs(Data!F:F,"&lt;&gt;",Data!$A:$A,$A15,Data!$D:$D,$B$30)))</f>
        <v/>
      </c>
      <c r="E15" s="12" t="str">
        <f>if(COUNTIFS(Data!G:G,"&lt;&gt;",Data!$A:$A,$A15,Data!$D:$D,$B$30)&lt;$B$31,"",(sumifs(Data!$D:$D,Data!G:G,"&lt;&gt;",Data!$A:$A,$A15,Data!$D:$D,$B$30)-sumifs(Data!G:G,Data!G:G,"&lt;&gt;",Data!$A:$A,$A15,Data!$D:$D,$B$30))/(sumifs(Data!$D:$D,Data!G:G,"&lt;&gt;",Data!$A:$A,$A15,Data!$D:$D,$B$30)-countifs(Data!G:G,"&lt;&gt;",Data!$A:$A,$A15,Data!$D:$D,$B$30)))</f>
        <v/>
      </c>
      <c r="F15" s="12" t="str">
        <f>if(COUNTIFS(Data!H:H,"&lt;&gt;",Data!$A:$A,$A15,Data!$D:$D,$B$30)&lt;$B$31,"",(sumifs(Data!$D:$D,Data!H:H,"&lt;&gt;",Data!$A:$A,$A15,Data!$D:$D,$B$30)-sumifs(Data!H:H,Data!H:H,"&lt;&gt;",Data!$A:$A,$A15,Data!$D:$D,$B$30))/(sumifs(Data!$D:$D,Data!H:H,"&lt;&gt;",Data!$A:$A,$A15,Data!$D:$D,$B$30)-countifs(Data!H:H,"&lt;&gt;",Data!$A:$A,$A15,Data!$D:$D,$B$30)))</f>
        <v/>
      </c>
      <c r="G15" s="12" t="str">
        <f>if(COUNTIFS(Data!I:I,"&lt;&gt;",Data!$A:$A,$A15,Data!$D:$D,$B$30)&lt;$B$31,"",(sumifs(Data!$D:$D,Data!I:I,"&lt;&gt;",Data!$A:$A,$A15,Data!$D:$D,$B$30)-sumifs(Data!I:I,Data!I:I,"&lt;&gt;",Data!$A:$A,$A15,Data!$D:$D,$B$30))/(sumifs(Data!$D:$D,Data!I:I,"&lt;&gt;",Data!$A:$A,$A15,Data!$D:$D,$B$30)-countifs(Data!I:I,"&lt;&gt;",Data!$A:$A,$A15,Data!$D:$D,$B$30)))</f>
        <v/>
      </c>
      <c r="H15" s="12" t="str">
        <f>if(COUNTIFS(Data!J:J,"&lt;&gt;",Data!$A:$A,$A15,Data!$D:$D,$B$30)&lt;$B$31,"",(sumifs(Data!$D:$D,Data!J:J,"&lt;&gt;",Data!$A:$A,$A15,Data!$D:$D,$B$30)-sumifs(Data!J:J,Data!J:J,"&lt;&gt;",Data!$A:$A,$A15,Data!$D:$D,$B$30))/(sumifs(Data!$D:$D,Data!J:J,"&lt;&gt;",Data!$A:$A,$A15,Data!$D:$D,$B$30)-countifs(Data!J:J,"&lt;&gt;",Data!$A:$A,$A15,Data!$D:$D,$B$30)))</f>
        <v/>
      </c>
      <c r="I15" s="12" t="str">
        <f>if(COUNTIFS(Data!K:K,"&lt;&gt;",Data!$A:$A,$A15,Data!$D:$D,$B$30)&lt;$B$31,"",(sumifs(Data!$D:$D,Data!K:K,"&lt;&gt;",Data!$A:$A,$A15,Data!$D:$D,$B$30)-sumifs(Data!K:K,Data!K:K,"&lt;&gt;",Data!$A:$A,$A15,Data!$D:$D,$B$30))/(sumifs(Data!$D:$D,Data!K:K,"&lt;&gt;",Data!$A:$A,$A15,Data!$D:$D,$B$30)-countifs(Data!K:K,"&lt;&gt;",Data!$A:$A,$A15,Data!$D:$D,$B$30)))</f>
        <v/>
      </c>
      <c r="J15" s="12" t="str">
        <f>if(COUNTIFS(Data!L:L,"&lt;&gt;",Data!$A:$A,$A15,Data!$D:$D,$B$30)&lt;$B$31,"",(sumifs(Data!$D:$D,Data!L:L,"&lt;&gt;",Data!$A:$A,$A15,Data!$D:$D,$B$30)-sumifs(Data!L:L,Data!L:L,"&lt;&gt;",Data!$A:$A,$A15,Data!$D:$D,$B$30))/(sumifs(Data!$D:$D,Data!L:L,"&lt;&gt;",Data!$A:$A,$A15,Data!$D:$D,$B$30)-countifs(Data!L:L,"&lt;&gt;",Data!$A:$A,$A15,Data!$D:$D,$B$30)))</f>
        <v/>
      </c>
      <c r="K15" s="12" t="str">
        <f>if(COUNTIFS(Data!M:M,"&lt;&gt;",Data!$A:$A,$A15,Data!$D:$D,$B$30)&lt;$B$31,"",(sumifs(Data!$D:$D,Data!M:M,"&lt;&gt;",Data!$A:$A,$A15,Data!$D:$D,$B$30)-sumifs(Data!M:M,Data!M:M,"&lt;&gt;",Data!$A:$A,$A15,Data!$D:$D,$B$30))/(sumifs(Data!$D:$D,Data!M:M,"&lt;&gt;",Data!$A:$A,$A15,Data!$D:$D,$B$30)-countifs(Data!M:M,"&lt;&gt;",Data!$A:$A,$A15,Data!$D:$D,$B$30)))</f>
        <v/>
      </c>
      <c r="L15" s="12" t="str">
        <f>if(COUNTIFS(Data!N:N,"&lt;&gt;",Data!$A:$A,$A15,Data!$D:$D,$B$30)&lt;$B$31,"",(sumifs(Data!$D:$D,Data!N:N,"&lt;&gt;",Data!$A:$A,$A15,Data!$D:$D,$B$30)-sumifs(Data!N:N,Data!N:N,"&lt;&gt;",Data!$A:$A,$A15,Data!$D:$D,$B$30))/(sumifs(Data!$D:$D,Data!N:N,"&lt;&gt;",Data!$A:$A,$A15,Data!$D:$D,$B$30)-countifs(Data!N:N,"&lt;&gt;",Data!$A:$A,$A15,Data!$D:$D,$B$30)))</f>
        <v/>
      </c>
      <c r="M15" s="12" t="str">
        <f>if(COUNTIFS(Data!O:O,"&lt;&gt;",Data!$A:$A,$A15,Data!$D:$D,$B$30)&lt;$B$31,"",(sumifs(Data!$D:$D,Data!O:O,"&lt;&gt;",Data!$A:$A,$A15,Data!$D:$D,$B$30)-sumifs(Data!O:O,Data!O:O,"&lt;&gt;",Data!$A:$A,$A15,Data!$D:$D,$B$30))/(sumifs(Data!$D:$D,Data!O:O,"&lt;&gt;",Data!$A:$A,$A15,Data!$D:$D,$B$30)-countifs(Data!O:O,"&lt;&gt;",Data!$A:$A,$A15,Data!$D:$D,$B$30)))</f>
        <v/>
      </c>
      <c r="N15" s="12" t="str">
        <f>if(COUNTIFS(Data!P:P,"&lt;&gt;",Data!$A:$A,$A15,Data!$D:$D,$B$30)&lt;$B$31,"",(sumifs(Data!$D:$D,Data!P:P,"&lt;&gt;",Data!$A:$A,$A15,Data!$D:$D,$B$30)-sumifs(Data!P:P,Data!P:P,"&lt;&gt;",Data!$A:$A,$A15,Data!$D:$D,$B$30))/(sumifs(Data!$D:$D,Data!P:P,"&lt;&gt;",Data!$A:$A,$A15,Data!$D:$D,$B$30)-countifs(Data!P:P,"&lt;&gt;",Data!$A:$A,$A15,Data!$D:$D,$B$30)))</f>
        <v/>
      </c>
      <c r="O15" s="12" t="str">
        <f>if(COUNTIFS(Data!Q:Q,"&lt;&gt;",Data!$A:$A,$A15,Data!$D:$D,$B$30)&lt;$B$31,"",(sumifs(Data!$D:$D,Data!Q:Q,"&lt;&gt;",Data!$A:$A,$A15,Data!$D:$D,$B$30)-sumifs(Data!Q:Q,Data!Q:Q,"&lt;&gt;",Data!$A:$A,$A15,Data!$D:$D,$B$30))/(sumifs(Data!$D:$D,Data!Q:Q,"&lt;&gt;",Data!$A:$A,$A15,Data!$D:$D,$B$30)-countifs(Data!Q:Q,"&lt;&gt;",Data!$A:$A,$A15,Data!$D:$D,$B$30)))</f>
        <v/>
      </c>
      <c r="P15" s="12" t="str">
        <f>if(COUNTIFS(Data!R:R,"&lt;&gt;",Data!$A:$A,$A15,Data!$D:$D,$B$30)&lt;$B$31,"",(sumifs(Data!$D:$D,Data!R:R,"&lt;&gt;",Data!$A:$A,$A15,Data!$D:$D,$B$30)-sumifs(Data!R:R,Data!R:R,"&lt;&gt;",Data!$A:$A,$A15,Data!$D:$D,$B$30))/(sumifs(Data!$D:$D,Data!R:R,"&lt;&gt;",Data!$A:$A,$A15,Data!$D:$D,$B$30)-countifs(Data!R:R,"&lt;&gt;",Data!$A:$A,$A15,Data!$D:$D,$B$30)))</f>
        <v/>
      </c>
      <c r="Q15" s="12" t="str">
        <f>if(COUNTIFS(Data!S:S,"&lt;&gt;",Data!$A:$A,$A15,Data!$D:$D,$B$30)&lt;$B$31,"",(sumifs(Data!$D:$D,Data!S:S,"&lt;&gt;",Data!$A:$A,$A15,Data!$D:$D,$B$30)-sumifs(Data!S:S,Data!S:S,"&lt;&gt;",Data!$A:$A,$A15,Data!$D:$D,$B$30))/(sumifs(Data!$D:$D,Data!S:S,"&lt;&gt;",Data!$A:$A,$A15,Data!$D:$D,$B$30)-countifs(Data!S:S,"&lt;&gt;",Data!$A:$A,$A15,Data!$D:$D,$B$30)))</f>
        <v/>
      </c>
      <c r="R15" s="12" t="str">
        <f>if(COUNTIFS(Data!T:T,"&lt;&gt;",Data!$A:$A,$A15,Data!$D:$D,$B$30)&lt;$B$31,"",(sumifs(Data!$D:$D,Data!T:T,"&lt;&gt;",Data!$A:$A,$A15,Data!$D:$D,$B$30)-sumifs(Data!T:T,Data!T:T,"&lt;&gt;",Data!$A:$A,$A15,Data!$D:$D,$B$30))/(sumifs(Data!$D:$D,Data!T:T,"&lt;&gt;",Data!$A:$A,$A15,Data!$D:$D,$B$30)-countifs(Data!T:T,"&lt;&gt;",Data!$A:$A,$A15,Data!$D:$D,$B$30)))</f>
        <v/>
      </c>
      <c r="S15" s="12" t="str">
        <f>if(COUNTIFS(Data!U:U,"&lt;&gt;",Data!$A:$A,$A15,Data!$D:$D,$B$30)&lt;$B$31,"",(sumifs(Data!$D:$D,Data!U:U,"&lt;&gt;",Data!$A:$A,$A15,Data!$D:$D,$B$30)-sumifs(Data!U:U,Data!U:U,"&lt;&gt;",Data!$A:$A,$A15,Data!$D:$D,$B$30))/(sumifs(Data!$D:$D,Data!U:U,"&lt;&gt;",Data!$A:$A,$A15,Data!$D:$D,$B$30)-countifs(Data!U:U,"&lt;&gt;",Data!$A:$A,$A15,Data!$D:$D,$B$30)))</f>
        <v/>
      </c>
      <c r="T15" s="12" t="str">
        <f>if(COUNTIFS(Data!V:V,"&lt;&gt;",Data!$A:$A,$A15,Data!$D:$D,$B$30)&lt;$B$31,"",(sumifs(Data!$D:$D,Data!V:V,"&lt;&gt;",Data!$A:$A,$A15,Data!$D:$D,$B$30)-sumifs(Data!V:V,Data!V:V,"&lt;&gt;",Data!$A:$A,$A15,Data!$D:$D,$B$30))/(sumifs(Data!$D:$D,Data!V:V,"&lt;&gt;",Data!$A:$A,$A15,Data!$D:$D,$B$30)-countifs(Data!V:V,"&lt;&gt;",Data!$A:$A,$A15,Data!$D:$D,$B$30)))</f>
        <v/>
      </c>
    </row>
    <row r="16">
      <c r="A16" s="1" t="s">
        <v>61</v>
      </c>
      <c r="B16" s="1">
        <f>countif(Data!A:A,"="&amp;A16)</f>
        <v>18</v>
      </c>
      <c r="C16" s="12">
        <f>if(COUNTIFS(Data!E:E,"&lt;&gt;",Data!$A:$A,$A16,Data!$D:$D,$B$30)&lt;$B$31,"",(sumifs(Data!$D:$D,Data!E:E,"&lt;&gt;",Data!$A:$A,$A16,Data!$D:$D,$B$30)-sumifs(Data!E:E,Data!E:E,"&lt;&gt;",Data!$A:$A,$A16,Data!$D:$D,$B$30))/(sumifs(Data!$D:$D,Data!E:E,"&lt;&gt;",Data!$A:$A,$A16,Data!$D:$D,$B$30)-countifs(Data!E:E,"&lt;&gt;",Data!$A:$A,$A16,Data!$D:$D,$B$30)))</f>
        <v>0.4166666667</v>
      </c>
      <c r="D16" s="12">
        <f>if(COUNTIFS(Data!F:F,"&lt;&gt;",Data!$A:$A,$A16,Data!$D:$D,$B$30)&lt;$B$31,"",(sumifs(Data!$D:$D,Data!F:F,"&lt;&gt;",Data!$A:$A,$A16,Data!$D:$D,$B$30)-sumifs(Data!F:F,Data!F:F,"&lt;&gt;",Data!$A:$A,$A16,Data!$D:$D,$B$30))/(sumifs(Data!$D:$D,Data!F:F,"&lt;&gt;",Data!$A:$A,$A16,Data!$D:$D,$B$30)-countifs(Data!F:F,"&lt;&gt;",Data!$A:$A,$A16,Data!$D:$D,$B$30)))</f>
        <v>0.7272727273</v>
      </c>
      <c r="E16" s="12" t="str">
        <f>if(COUNTIFS(Data!G:G,"&lt;&gt;",Data!$A:$A,$A16,Data!$D:$D,$B$30)&lt;$B$31,"",(sumifs(Data!$D:$D,Data!G:G,"&lt;&gt;",Data!$A:$A,$A16,Data!$D:$D,$B$30)-sumifs(Data!G:G,Data!G:G,"&lt;&gt;",Data!$A:$A,$A16,Data!$D:$D,$B$30))/(sumifs(Data!$D:$D,Data!G:G,"&lt;&gt;",Data!$A:$A,$A16,Data!$D:$D,$B$30)-countifs(Data!G:G,"&lt;&gt;",Data!$A:$A,$A16,Data!$D:$D,$B$30)))</f>
        <v/>
      </c>
      <c r="F16" s="12" t="str">
        <f>if(COUNTIFS(Data!H:H,"&lt;&gt;",Data!$A:$A,$A16,Data!$D:$D,$B$30)&lt;$B$31,"",(sumifs(Data!$D:$D,Data!H:H,"&lt;&gt;",Data!$A:$A,$A16,Data!$D:$D,$B$30)-sumifs(Data!H:H,Data!H:H,"&lt;&gt;",Data!$A:$A,$A16,Data!$D:$D,$B$30))/(sumifs(Data!$D:$D,Data!H:H,"&lt;&gt;",Data!$A:$A,$A16,Data!$D:$D,$B$30)-countifs(Data!H:H,"&lt;&gt;",Data!$A:$A,$A16,Data!$D:$D,$B$30)))</f>
        <v/>
      </c>
      <c r="G16" s="12" t="str">
        <f>if(COUNTIFS(Data!I:I,"&lt;&gt;",Data!$A:$A,$A16,Data!$D:$D,$B$30)&lt;$B$31,"",(sumifs(Data!$D:$D,Data!I:I,"&lt;&gt;",Data!$A:$A,$A16,Data!$D:$D,$B$30)-sumifs(Data!I:I,Data!I:I,"&lt;&gt;",Data!$A:$A,$A16,Data!$D:$D,$B$30))/(sumifs(Data!$D:$D,Data!I:I,"&lt;&gt;",Data!$A:$A,$A16,Data!$D:$D,$B$30)-countifs(Data!I:I,"&lt;&gt;",Data!$A:$A,$A16,Data!$D:$D,$B$30)))</f>
        <v/>
      </c>
      <c r="H16" s="12" t="str">
        <f>if(COUNTIFS(Data!J:J,"&lt;&gt;",Data!$A:$A,$A16,Data!$D:$D,$B$30)&lt;$B$31,"",(sumifs(Data!$D:$D,Data!J:J,"&lt;&gt;",Data!$A:$A,$A16,Data!$D:$D,$B$30)-sumifs(Data!J:J,Data!J:J,"&lt;&gt;",Data!$A:$A,$A16,Data!$D:$D,$B$30))/(sumifs(Data!$D:$D,Data!J:J,"&lt;&gt;",Data!$A:$A,$A16,Data!$D:$D,$B$30)-countifs(Data!J:J,"&lt;&gt;",Data!$A:$A,$A16,Data!$D:$D,$B$30)))</f>
        <v/>
      </c>
      <c r="I16" s="12" t="str">
        <f>if(COUNTIFS(Data!K:K,"&lt;&gt;",Data!$A:$A,$A16,Data!$D:$D,$B$30)&lt;$B$31,"",(sumifs(Data!$D:$D,Data!K:K,"&lt;&gt;",Data!$A:$A,$A16,Data!$D:$D,$B$30)-sumifs(Data!K:K,Data!K:K,"&lt;&gt;",Data!$A:$A,$A16,Data!$D:$D,$B$30))/(sumifs(Data!$D:$D,Data!K:K,"&lt;&gt;",Data!$A:$A,$A16,Data!$D:$D,$B$30)-countifs(Data!K:K,"&lt;&gt;",Data!$A:$A,$A16,Data!$D:$D,$B$30)))</f>
        <v/>
      </c>
      <c r="J16" s="12" t="str">
        <f>if(COUNTIFS(Data!L:L,"&lt;&gt;",Data!$A:$A,$A16,Data!$D:$D,$B$30)&lt;$B$31,"",(sumifs(Data!$D:$D,Data!L:L,"&lt;&gt;",Data!$A:$A,$A16,Data!$D:$D,$B$30)-sumifs(Data!L:L,Data!L:L,"&lt;&gt;",Data!$A:$A,$A16,Data!$D:$D,$B$30))/(sumifs(Data!$D:$D,Data!L:L,"&lt;&gt;",Data!$A:$A,$A16,Data!$D:$D,$B$30)-countifs(Data!L:L,"&lt;&gt;",Data!$A:$A,$A16,Data!$D:$D,$B$30)))</f>
        <v/>
      </c>
      <c r="K16" s="12" t="str">
        <f>if(COUNTIFS(Data!M:M,"&lt;&gt;",Data!$A:$A,$A16,Data!$D:$D,$B$30)&lt;$B$31,"",(sumifs(Data!$D:$D,Data!M:M,"&lt;&gt;",Data!$A:$A,$A16,Data!$D:$D,$B$30)-sumifs(Data!M:M,Data!M:M,"&lt;&gt;",Data!$A:$A,$A16,Data!$D:$D,$B$30))/(sumifs(Data!$D:$D,Data!M:M,"&lt;&gt;",Data!$A:$A,$A16,Data!$D:$D,$B$30)-countifs(Data!M:M,"&lt;&gt;",Data!$A:$A,$A16,Data!$D:$D,$B$30)))</f>
        <v/>
      </c>
      <c r="L16" s="12" t="str">
        <f>if(COUNTIFS(Data!N:N,"&lt;&gt;",Data!$A:$A,$A16,Data!$D:$D,$B$30)&lt;$B$31,"",(sumifs(Data!$D:$D,Data!N:N,"&lt;&gt;",Data!$A:$A,$A16,Data!$D:$D,$B$30)-sumifs(Data!N:N,Data!N:N,"&lt;&gt;",Data!$A:$A,$A16,Data!$D:$D,$B$30))/(sumifs(Data!$D:$D,Data!N:N,"&lt;&gt;",Data!$A:$A,$A16,Data!$D:$D,$B$30)-countifs(Data!N:N,"&lt;&gt;",Data!$A:$A,$A16,Data!$D:$D,$B$30)))</f>
        <v/>
      </c>
      <c r="M16" s="12" t="str">
        <f>if(COUNTIFS(Data!O:O,"&lt;&gt;",Data!$A:$A,$A16,Data!$D:$D,$B$30)&lt;$B$31,"",(sumifs(Data!$D:$D,Data!O:O,"&lt;&gt;",Data!$A:$A,$A16,Data!$D:$D,$B$30)-sumifs(Data!O:O,Data!O:O,"&lt;&gt;",Data!$A:$A,$A16,Data!$D:$D,$B$30))/(sumifs(Data!$D:$D,Data!O:O,"&lt;&gt;",Data!$A:$A,$A16,Data!$D:$D,$B$30)-countifs(Data!O:O,"&lt;&gt;",Data!$A:$A,$A16,Data!$D:$D,$B$30)))</f>
        <v/>
      </c>
      <c r="N16" s="12" t="str">
        <f>if(COUNTIFS(Data!P:P,"&lt;&gt;",Data!$A:$A,$A16,Data!$D:$D,$B$30)&lt;$B$31,"",(sumifs(Data!$D:$D,Data!P:P,"&lt;&gt;",Data!$A:$A,$A16,Data!$D:$D,$B$30)-sumifs(Data!P:P,Data!P:P,"&lt;&gt;",Data!$A:$A,$A16,Data!$D:$D,$B$30))/(sumifs(Data!$D:$D,Data!P:P,"&lt;&gt;",Data!$A:$A,$A16,Data!$D:$D,$B$30)-countifs(Data!P:P,"&lt;&gt;",Data!$A:$A,$A16,Data!$D:$D,$B$30)))</f>
        <v/>
      </c>
      <c r="O16" s="12" t="str">
        <f>if(COUNTIFS(Data!Q:Q,"&lt;&gt;",Data!$A:$A,$A16,Data!$D:$D,$B$30)&lt;$B$31,"",(sumifs(Data!$D:$D,Data!Q:Q,"&lt;&gt;",Data!$A:$A,$A16,Data!$D:$D,$B$30)-sumifs(Data!Q:Q,Data!Q:Q,"&lt;&gt;",Data!$A:$A,$A16,Data!$D:$D,$B$30))/(sumifs(Data!$D:$D,Data!Q:Q,"&lt;&gt;",Data!$A:$A,$A16,Data!$D:$D,$B$30)-countifs(Data!Q:Q,"&lt;&gt;",Data!$A:$A,$A16,Data!$D:$D,$B$30)))</f>
        <v/>
      </c>
      <c r="P16" s="12" t="str">
        <f>if(COUNTIFS(Data!R:R,"&lt;&gt;",Data!$A:$A,$A16,Data!$D:$D,$B$30)&lt;$B$31,"",(sumifs(Data!$D:$D,Data!R:R,"&lt;&gt;",Data!$A:$A,$A16,Data!$D:$D,$B$30)-sumifs(Data!R:R,Data!R:R,"&lt;&gt;",Data!$A:$A,$A16,Data!$D:$D,$B$30))/(sumifs(Data!$D:$D,Data!R:R,"&lt;&gt;",Data!$A:$A,$A16,Data!$D:$D,$B$30)-countifs(Data!R:R,"&lt;&gt;",Data!$A:$A,$A16,Data!$D:$D,$B$30)))</f>
        <v/>
      </c>
      <c r="Q16" s="12" t="str">
        <f>if(COUNTIFS(Data!S:S,"&lt;&gt;",Data!$A:$A,$A16,Data!$D:$D,$B$30)&lt;$B$31,"",(sumifs(Data!$D:$D,Data!S:S,"&lt;&gt;",Data!$A:$A,$A16,Data!$D:$D,$B$30)-sumifs(Data!S:S,Data!S:S,"&lt;&gt;",Data!$A:$A,$A16,Data!$D:$D,$B$30))/(sumifs(Data!$D:$D,Data!S:S,"&lt;&gt;",Data!$A:$A,$A16,Data!$D:$D,$B$30)-countifs(Data!S:S,"&lt;&gt;",Data!$A:$A,$A16,Data!$D:$D,$B$30)))</f>
        <v/>
      </c>
      <c r="R16" s="12" t="str">
        <f>if(COUNTIFS(Data!T:T,"&lt;&gt;",Data!$A:$A,$A16,Data!$D:$D,$B$30)&lt;$B$31,"",(sumifs(Data!$D:$D,Data!T:T,"&lt;&gt;",Data!$A:$A,$A16,Data!$D:$D,$B$30)-sumifs(Data!T:T,Data!T:T,"&lt;&gt;",Data!$A:$A,$A16,Data!$D:$D,$B$30))/(sumifs(Data!$D:$D,Data!T:T,"&lt;&gt;",Data!$A:$A,$A16,Data!$D:$D,$B$30)-countifs(Data!T:T,"&lt;&gt;",Data!$A:$A,$A16,Data!$D:$D,$B$30)))</f>
        <v/>
      </c>
      <c r="S16" s="12" t="str">
        <f>if(COUNTIFS(Data!U:U,"&lt;&gt;",Data!$A:$A,$A16,Data!$D:$D,$B$30)&lt;$B$31,"",(sumifs(Data!$D:$D,Data!U:U,"&lt;&gt;",Data!$A:$A,$A16,Data!$D:$D,$B$30)-sumifs(Data!U:U,Data!U:U,"&lt;&gt;",Data!$A:$A,$A16,Data!$D:$D,$B$30))/(sumifs(Data!$D:$D,Data!U:U,"&lt;&gt;",Data!$A:$A,$A16,Data!$D:$D,$B$30)-countifs(Data!U:U,"&lt;&gt;",Data!$A:$A,$A16,Data!$D:$D,$B$30)))</f>
        <v/>
      </c>
      <c r="T16" s="12" t="str">
        <f>if(COUNTIFS(Data!V:V,"&lt;&gt;",Data!$A:$A,$A16,Data!$D:$D,$B$30)&lt;$B$31,"",(sumifs(Data!$D:$D,Data!V:V,"&lt;&gt;",Data!$A:$A,$A16,Data!$D:$D,$B$30)-sumifs(Data!V:V,Data!V:V,"&lt;&gt;",Data!$A:$A,$A16,Data!$D:$D,$B$30))/(sumifs(Data!$D:$D,Data!V:V,"&lt;&gt;",Data!$A:$A,$A16,Data!$D:$D,$B$30)-countifs(Data!V:V,"&lt;&gt;",Data!$A:$A,$A16,Data!$D:$D,$B$30)))</f>
        <v/>
      </c>
    </row>
    <row r="17">
      <c r="A17" s="1" t="s">
        <v>62</v>
      </c>
      <c r="B17" s="1">
        <f>countif(Data!A:A,"="&amp;A17)</f>
        <v>29</v>
      </c>
      <c r="C17" s="12">
        <f>if(COUNTIFS(Data!E:E,"&lt;&gt;",Data!$A:$A,$A17,Data!$D:$D,$B$30)&lt;$B$31,"",(sumifs(Data!$D:$D,Data!E:E,"&lt;&gt;",Data!$A:$A,$A17,Data!$D:$D,$B$30)-sumifs(Data!E:E,Data!E:E,"&lt;&gt;",Data!$A:$A,$A17,Data!$D:$D,$B$30))/(sumifs(Data!$D:$D,Data!E:E,"&lt;&gt;",Data!$A:$A,$A17,Data!$D:$D,$B$30)-countifs(Data!E:E,"&lt;&gt;",Data!$A:$A,$A17,Data!$D:$D,$B$30)))</f>
        <v>0.4736842105</v>
      </c>
      <c r="D17" s="12">
        <f>if(COUNTIFS(Data!F:F,"&lt;&gt;",Data!$A:$A,$A17,Data!$D:$D,$B$30)&lt;$B$31,"",(sumifs(Data!$D:$D,Data!F:F,"&lt;&gt;",Data!$A:$A,$A17,Data!$D:$D,$B$30)-sumifs(Data!F:F,Data!F:F,"&lt;&gt;",Data!$A:$A,$A17,Data!$D:$D,$B$30))/(sumifs(Data!$D:$D,Data!F:F,"&lt;&gt;",Data!$A:$A,$A17,Data!$D:$D,$B$30)-countifs(Data!F:F,"&lt;&gt;",Data!$A:$A,$A17,Data!$D:$D,$B$30)))</f>
        <v>0.5526315789</v>
      </c>
      <c r="E17" s="12" t="str">
        <f>if(COUNTIFS(Data!G:G,"&lt;&gt;",Data!$A:$A,$A17,Data!$D:$D,$B$30)&lt;$B$31,"",(sumifs(Data!$D:$D,Data!G:G,"&lt;&gt;",Data!$A:$A,$A17,Data!$D:$D,$B$30)-sumifs(Data!G:G,Data!G:G,"&lt;&gt;",Data!$A:$A,$A17,Data!$D:$D,$B$30))/(sumifs(Data!$D:$D,Data!G:G,"&lt;&gt;",Data!$A:$A,$A17,Data!$D:$D,$B$30)-countifs(Data!G:G,"&lt;&gt;",Data!$A:$A,$A17,Data!$D:$D,$B$30)))</f>
        <v/>
      </c>
      <c r="F17" s="12">
        <f>if(COUNTIFS(Data!H:H,"&lt;&gt;",Data!$A:$A,$A17,Data!$D:$D,$B$30)&lt;$B$31,"",(sumifs(Data!$D:$D,Data!H:H,"&lt;&gt;",Data!$A:$A,$A17,Data!$D:$D,$B$30)-sumifs(Data!H:H,Data!H:H,"&lt;&gt;",Data!$A:$A,$A17,Data!$D:$D,$B$30))/(sumifs(Data!$D:$D,Data!H:H,"&lt;&gt;",Data!$A:$A,$A17,Data!$D:$D,$B$30)-countifs(Data!H:H,"&lt;&gt;",Data!$A:$A,$A17,Data!$D:$D,$B$30)))</f>
        <v>0.5357142857</v>
      </c>
      <c r="G17" s="12" t="str">
        <f>if(COUNTIFS(Data!I:I,"&lt;&gt;",Data!$A:$A,$A17,Data!$D:$D,$B$30)&lt;$B$31,"",(sumifs(Data!$D:$D,Data!I:I,"&lt;&gt;",Data!$A:$A,$A17,Data!$D:$D,$B$30)-sumifs(Data!I:I,Data!I:I,"&lt;&gt;",Data!$A:$A,$A17,Data!$D:$D,$B$30))/(sumifs(Data!$D:$D,Data!I:I,"&lt;&gt;",Data!$A:$A,$A17,Data!$D:$D,$B$30)-countifs(Data!I:I,"&lt;&gt;",Data!$A:$A,$A17,Data!$D:$D,$B$30)))</f>
        <v/>
      </c>
      <c r="H17" s="12" t="str">
        <f>if(COUNTIFS(Data!J:J,"&lt;&gt;",Data!$A:$A,$A17,Data!$D:$D,$B$30)&lt;$B$31,"",(sumifs(Data!$D:$D,Data!J:J,"&lt;&gt;",Data!$A:$A,$A17,Data!$D:$D,$B$30)-sumifs(Data!J:J,Data!J:J,"&lt;&gt;",Data!$A:$A,$A17,Data!$D:$D,$B$30))/(sumifs(Data!$D:$D,Data!J:J,"&lt;&gt;",Data!$A:$A,$A17,Data!$D:$D,$B$30)-countifs(Data!J:J,"&lt;&gt;",Data!$A:$A,$A17,Data!$D:$D,$B$30)))</f>
        <v/>
      </c>
      <c r="I17" s="12" t="str">
        <f>if(COUNTIFS(Data!K:K,"&lt;&gt;",Data!$A:$A,$A17,Data!$D:$D,$B$30)&lt;$B$31,"",(sumifs(Data!$D:$D,Data!K:K,"&lt;&gt;",Data!$A:$A,$A17,Data!$D:$D,$B$30)-sumifs(Data!K:K,Data!K:K,"&lt;&gt;",Data!$A:$A,$A17,Data!$D:$D,$B$30))/(sumifs(Data!$D:$D,Data!K:K,"&lt;&gt;",Data!$A:$A,$A17,Data!$D:$D,$B$30)-countifs(Data!K:K,"&lt;&gt;",Data!$A:$A,$A17,Data!$D:$D,$B$30)))</f>
        <v/>
      </c>
      <c r="J17" s="12" t="str">
        <f>if(COUNTIFS(Data!L:L,"&lt;&gt;",Data!$A:$A,$A17,Data!$D:$D,$B$30)&lt;$B$31,"",(sumifs(Data!$D:$D,Data!L:L,"&lt;&gt;",Data!$A:$A,$A17,Data!$D:$D,$B$30)-sumifs(Data!L:L,Data!L:L,"&lt;&gt;",Data!$A:$A,$A17,Data!$D:$D,$B$30))/(sumifs(Data!$D:$D,Data!L:L,"&lt;&gt;",Data!$A:$A,$A17,Data!$D:$D,$B$30)-countifs(Data!L:L,"&lt;&gt;",Data!$A:$A,$A17,Data!$D:$D,$B$30)))</f>
        <v/>
      </c>
      <c r="K17" s="12" t="str">
        <f>if(COUNTIFS(Data!M:M,"&lt;&gt;",Data!$A:$A,$A17,Data!$D:$D,$B$30)&lt;$B$31,"",(sumifs(Data!$D:$D,Data!M:M,"&lt;&gt;",Data!$A:$A,$A17,Data!$D:$D,$B$30)-sumifs(Data!M:M,Data!M:M,"&lt;&gt;",Data!$A:$A,$A17,Data!$D:$D,$B$30))/(sumifs(Data!$D:$D,Data!M:M,"&lt;&gt;",Data!$A:$A,$A17,Data!$D:$D,$B$30)-countifs(Data!M:M,"&lt;&gt;",Data!$A:$A,$A17,Data!$D:$D,$B$30)))</f>
        <v/>
      </c>
      <c r="L17" s="12" t="str">
        <f>if(COUNTIFS(Data!N:N,"&lt;&gt;",Data!$A:$A,$A17,Data!$D:$D,$B$30)&lt;$B$31,"",(sumifs(Data!$D:$D,Data!N:N,"&lt;&gt;",Data!$A:$A,$A17,Data!$D:$D,$B$30)-sumifs(Data!N:N,Data!N:N,"&lt;&gt;",Data!$A:$A,$A17,Data!$D:$D,$B$30))/(sumifs(Data!$D:$D,Data!N:N,"&lt;&gt;",Data!$A:$A,$A17,Data!$D:$D,$B$30)-countifs(Data!N:N,"&lt;&gt;",Data!$A:$A,$A17,Data!$D:$D,$B$30)))</f>
        <v/>
      </c>
      <c r="M17" s="12" t="str">
        <f>if(COUNTIFS(Data!O:O,"&lt;&gt;",Data!$A:$A,$A17,Data!$D:$D,$B$30)&lt;$B$31,"",(sumifs(Data!$D:$D,Data!O:O,"&lt;&gt;",Data!$A:$A,$A17,Data!$D:$D,$B$30)-sumifs(Data!O:O,Data!O:O,"&lt;&gt;",Data!$A:$A,$A17,Data!$D:$D,$B$30))/(sumifs(Data!$D:$D,Data!O:O,"&lt;&gt;",Data!$A:$A,$A17,Data!$D:$D,$B$30)-countifs(Data!O:O,"&lt;&gt;",Data!$A:$A,$A17,Data!$D:$D,$B$30)))</f>
        <v/>
      </c>
      <c r="N17" s="12" t="str">
        <f>if(COUNTIFS(Data!P:P,"&lt;&gt;",Data!$A:$A,$A17,Data!$D:$D,$B$30)&lt;$B$31,"",(sumifs(Data!$D:$D,Data!P:P,"&lt;&gt;",Data!$A:$A,$A17,Data!$D:$D,$B$30)-sumifs(Data!P:P,Data!P:P,"&lt;&gt;",Data!$A:$A,$A17,Data!$D:$D,$B$30))/(sumifs(Data!$D:$D,Data!P:P,"&lt;&gt;",Data!$A:$A,$A17,Data!$D:$D,$B$30)-countifs(Data!P:P,"&lt;&gt;",Data!$A:$A,$A17,Data!$D:$D,$B$30)))</f>
        <v/>
      </c>
      <c r="O17" s="12" t="str">
        <f>if(COUNTIFS(Data!Q:Q,"&lt;&gt;",Data!$A:$A,$A17,Data!$D:$D,$B$30)&lt;$B$31,"",(sumifs(Data!$D:$D,Data!Q:Q,"&lt;&gt;",Data!$A:$A,$A17,Data!$D:$D,$B$30)-sumifs(Data!Q:Q,Data!Q:Q,"&lt;&gt;",Data!$A:$A,$A17,Data!$D:$D,$B$30))/(sumifs(Data!$D:$D,Data!Q:Q,"&lt;&gt;",Data!$A:$A,$A17,Data!$D:$D,$B$30)-countifs(Data!Q:Q,"&lt;&gt;",Data!$A:$A,$A17,Data!$D:$D,$B$30)))</f>
        <v/>
      </c>
      <c r="P17" s="12" t="str">
        <f>if(COUNTIFS(Data!R:R,"&lt;&gt;",Data!$A:$A,$A17,Data!$D:$D,$B$30)&lt;$B$31,"",(sumifs(Data!$D:$D,Data!R:R,"&lt;&gt;",Data!$A:$A,$A17,Data!$D:$D,$B$30)-sumifs(Data!R:R,Data!R:R,"&lt;&gt;",Data!$A:$A,$A17,Data!$D:$D,$B$30))/(sumifs(Data!$D:$D,Data!R:R,"&lt;&gt;",Data!$A:$A,$A17,Data!$D:$D,$B$30)-countifs(Data!R:R,"&lt;&gt;",Data!$A:$A,$A17,Data!$D:$D,$B$30)))</f>
        <v/>
      </c>
      <c r="Q17" s="12" t="str">
        <f>if(COUNTIFS(Data!S:S,"&lt;&gt;",Data!$A:$A,$A17,Data!$D:$D,$B$30)&lt;$B$31,"",(sumifs(Data!$D:$D,Data!S:S,"&lt;&gt;",Data!$A:$A,$A17,Data!$D:$D,$B$30)-sumifs(Data!S:S,Data!S:S,"&lt;&gt;",Data!$A:$A,$A17,Data!$D:$D,$B$30))/(sumifs(Data!$D:$D,Data!S:S,"&lt;&gt;",Data!$A:$A,$A17,Data!$D:$D,$B$30)-countifs(Data!S:S,"&lt;&gt;",Data!$A:$A,$A17,Data!$D:$D,$B$30)))</f>
        <v/>
      </c>
      <c r="R17" s="12" t="str">
        <f>if(COUNTIFS(Data!T:T,"&lt;&gt;",Data!$A:$A,$A17,Data!$D:$D,$B$30)&lt;$B$31,"",(sumifs(Data!$D:$D,Data!T:T,"&lt;&gt;",Data!$A:$A,$A17,Data!$D:$D,$B$30)-sumifs(Data!T:T,Data!T:T,"&lt;&gt;",Data!$A:$A,$A17,Data!$D:$D,$B$30))/(sumifs(Data!$D:$D,Data!T:T,"&lt;&gt;",Data!$A:$A,$A17,Data!$D:$D,$B$30)-countifs(Data!T:T,"&lt;&gt;",Data!$A:$A,$A17,Data!$D:$D,$B$30)))</f>
        <v/>
      </c>
      <c r="S17" s="12" t="str">
        <f>if(COUNTIFS(Data!U:U,"&lt;&gt;",Data!$A:$A,$A17,Data!$D:$D,$B$30)&lt;$B$31,"",(sumifs(Data!$D:$D,Data!U:U,"&lt;&gt;",Data!$A:$A,$A17,Data!$D:$D,$B$30)-sumifs(Data!U:U,Data!U:U,"&lt;&gt;",Data!$A:$A,$A17,Data!$D:$D,$B$30))/(sumifs(Data!$D:$D,Data!U:U,"&lt;&gt;",Data!$A:$A,$A17,Data!$D:$D,$B$30)-countifs(Data!U:U,"&lt;&gt;",Data!$A:$A,$A17,Data!$D:$D,$B$30)))</f>
        <v/>
      </c>
      <c r="T17" s="12" t="str">
        <f>if(COUNTIFS(Data!V:V,"&lt;&gt;",Data!$A:$A,$A17,Data!$D:$D,$B$30)&lt;$B$31,"",(sumifs(Data!$D:$D,Data!V:V,"&lt;&gt;",Data!$A:$A,$A17,Data!$D:$D,$B$30)-sumifs(Data!V:V,Data!V:V,"&lt;&gt;",Data!$A:$A,$A17,Data!$D:$D,$B$30))/(sumifs(Data!$D:$D,Data!V:V,"&lt;&gt;",Data!$A:$A,$A17,Data!$D:$D,$B$30)-countifs(Data!V:V,"&lt;&gt;",Data!$A:$A,$A17,Data!$D:$D,$B$30)))</f>
        <v/>
      </c>
    </row>
    <row r="18">
      <c r="A18" s="1" t="s">
        <v>107</v>
      </c>
      <c r="B18" s="1">
        <f>countif(Data!A:A,"="&amp;A18)</f>
        <v>0</v>
      </c>
      <c r="C18" s="12" t="str">
        <f>if(COUNTIFS(Data!E:E,"&lt;&gt;",Data!$A:$A,$A18,Data!$D:$D,$B$30)&lt;$B$31,"",(sumifs(Data!$D:$D,Data!E:E,"&lt;&gt;",Data!$A:$A,$A18,Data!$D:$D,$B$30)-sumifs(Data!E:E,Data!E:E,"&lt;&gt;",Data!$A:$A,$A18,Data!$D:$D,$B$30))/(sumifs(Data!$D:$D,Data!E:E,"&lt;&gt;",Data!$A:$A,$A18,Data!$D:$D,$B$30)-countifs(Data!E:E,"&lt;&gt;",Data!$A:$A,$A18,Data!$D:$D,$B$30)))</f>
        <v/>
      </c>
      <c r="D18" s="12" t="str">
        <f>if(COUNTIFS(Data!F:F,"&lt;&gt;",Data!$A:$A,$A18,Data!$D:$D,$B$30)&lt;$B$31,"",(sumifs(Data!$D:$D,Data!F:F,"&lt;&gt;",Data!$A:$A,$A18,Data!$D:$D,$B$30)-sumifs(Data!F:F,Data!F:F,"&lt;&gt;",Data!$A:$A,$A18,Data!$D:$D,$B$30))/(sumifs(Data!$D:$D,Data!F:F,"&lt;&gt;",Data!$A:$A,$A18,Data!$D:$D,$B$30)-countifs(Data!F:F,"&lt;&gt;",Data!$A:$A,$A18,Data!$D:$D,$B$30)))</f>
        <v/>
      </c>
      <c r="E18" s="12" t="str">
        <f>if(COUNTIFS(Data!G:G,"&lt;&gt;",Data!$A:$A,$A18,Data!$D:$D,$B$30)&lt;$B$31,"",(sumifs(Data!$D:$D,Data!G:G,"&lt;&gt;",Data!$A:$A,$A18,Data!$D:$D,$B$30)-sumifs(Data!G:G,Data!G:G,"&lt;&gt;",Data!$A:$A,$A18,Data!$D:$D,$B$30))/(sumifs(Data!$D:$D,Data!G:G,"&lt;&gt;",Data!$A:$A,$A18,Data!$D:$D,$B$30)-countifs(Data!G:G,"&lt;&gt;",Data!$A:$A,$A18,Data!$D:$D,$B$30)))</f>
        <v/>
      </c>
      <c r="F18" s="12" t="str">
        <f>if(COUNTIFS(Data!H:H,"&lt;&gt;",Data!$A:$A,$A18,Data!$D:$D,$B$30)&lt;$B$31,"",(sumifs(Data!$D:$D,Data!H:H,"&lt;&gt;",Data!$A:$A,$A18,Data!$D:$D,$B$30)-sumifs(Data!H:H,Data!H:H,"&lt;&gt;",Data!$A:$A,$A18,Data!$D:$D,$B$30))/(sumifs(Data!$D:$D,Data!H:H,"&lt;&gt;",Data!$A:$A,$A18,Data!$D:$D,$B$30)-countifs(Data!H:H,"&lt;&gt;",Data!$A:$A,$A18,Data!$D:$D,$B$30)))</f>
        <v/>
      </c>
      <c r="G18" s="12" t="str">
        <f>if(COUNTIFS(Data!I:I,"&lt;&gt;",Data!$A:$A,$A18,Data!$D:$D,$B$30)&lt;$B$31,"",(sumifs(Data!$D:$D,Data!I:I,"&lt;&gt;",Data!$A:$A,$A18,Data!$D:$D,$B$30)-sumifs(Data!I:I,Data!I:I,"&lt;&gt;",Data!$A:$A,$A18,Data!$D:$D,$B$30))/(sumifs(Data!$D:$D,Data!I:I,"&lt;&gt;",Data!$A:$A,$A18,Data!$D:$D,$B$30)-countifs(Data!I:I,"&lt;&gt;",Data!$A:$A,$A18,Data!$D:$D,$B$30)))</f>
        <v/>
      </c>
      <c r="H18" s="12" t="str">
        <f>if(COUNTIFS(Data!J:J,"&lt;&gt;",Data!$A:$A,$A18,Data!$D:$D,$B$30)&lt;$B$31,"",(sumifs(Data!$D:$D,Data!J:J,"&lt;&gt;",Data!$A:$A,$A18,Data!$D:$D,$B$30)-sumifs(Data!J:J,Data!J:J,"&lt;&gt;",Data!$A:$A,$A18,Data!$D:$D,$B$30))/(sumifs(Data!$D:$D,Data!J:J,"&lt;&gt;",Data!$A:$A,$A18,Data!$D:$D,$B$30)-countifs(Data!J:J,"&lt;&gt;",Data!$A:$A,$A18,Data!$D:$D,$B$30)))</f>
        <v/>
      </c>
      <c r="I18" s="12" t="str">
        <f>if(COUNTIFS(Data!K:K,"&lt;&gt;",Data!$A:$A,$A18,Data!$D:$D,$B$30)&lt;$B$31,"",(sumifs(Data!$D:$D,Data!K:K,"&lt;&gt;",Data!$A:$A,$A18,Data!$D:$D,$B$30)-sumifs(Data!K:K,Data!K:K,"&lt;&gt;",Data!$A:$A,$A18,Data!$D:$D,$B$30))/(sumifs(Data!$D:$D,Data!K:K,"&lt;&gt;",Data!$A:$A,$A18,Data!$D:$D,$B$30)-countifs(Data!K:K,"&lt;&gt;",Data!$A:$A,$A18,Data!$D:$D,$B$30)))</f>
        <v/>
      </c>
      <c r="J18" s="12" t="str">
        <f>if(COUNTIFS(Data!L:L,"&lt;&gt;",Data!$A:$A,$A18,Data!$D:$D,$B$30)&lt;$B$31,"",(sumifs(Data!$D:$D,Data!L:L,"&lt;&gt;",Data!$A:$A,$A18,Data!$D:$D,$B$30)-sumifs(Data!L:L,Data!L:L,"&lt;&gt;",Data!$A:$A,$A18,Data!$D:$D,$B$30))/(sumifs(Data!$D:$D,Data!L:L,"&lt;&gt;",Data!$A:$A,$A18,Data!$D:$D,$B$30)-countifs(Data!L:L,"&lt;&gt;",Data!$A:$A,$A18,Data!$D:$D,$B$30)))</f>
        <v/>
      </c>
      <c r="K18" s="12" t="str">
        <f>if(COUNTIFS(Data!M:M,"&lt;&gt;",Data!$A:$A,$A18,Data!$D:$D,$B$30)&lt;$B$31,"",(sumifs(Data!$D:$D,Data!M:M,"&lt;&gt;",Data!$A:$A,$A18,Data!$D:$D,$B$30)-sumifs(Data!M:M,Data!M:M,"&lt;&gt;",Data!$A:$A,$A18,Data!$D:$D,$B$30))/(sumifs(Data!$D:$D,Data!M:M,"&lt;&gt;",Data!$A:$A,$A18,Data!$D:$D,$B$30)-countifs(Data!M:M,"&lt;&gt;",Data!$A:$A,$A18,Data!$D:$D,$B$30)))</f>
        <v/>
      </c>
      <c r="L18" s="12" t="str">
        <f>if(COUNTIFS(Data!N:N,"&lt;&gt;",Data!$A:$A,$A18,Data!$D:$D,$B$30)&lt;$B$31,"",(sumifs(Data!$D:$D,Data!N:N,"&lt;&gt;",Data!$A:$A,$A18,Data!$D:$D,$B$30)-sumifs(Data!N:N,Data!N:N,"&lt;&gt;",Data!$A:$A,$A18,Data!$D:$D,$B$30))/(sumifs(Data!$D:$D,Data!N:N,"&lt;&gt;",Data!$A:$A,$A18,Data!$D:$D,$B$30)-countifs(Data!N:N,"&lt;&gt;",Data!$A:$A,$A18,Data!$D:$D,$B$30)))</f>
        <v/>
      </c>
      <c r="M18" s="12" t="str">
        <f>if(COUNTIFS(Data!O:O,"&lt;&gt;",Data!$A:$A,$A18,Data!$D:$D,$B$30)&lt;$B$31,"",(sumifs(Data!$D:$D,Data!O:O,"&lt;&gt;",Data!$A:$A,$A18,Data!$D:$D,$B$30)-sumifs(Data!O:O,Data!O:O,"&lt;&gt;",Data!$A:$A,$A18,Data!$D:$D,$B$30))/(sumifs(Data!$D:$D,Data!O:O,"&lt;&gt;",Data!$A:$A,$A18,Data!$D:$D,$B$30)-countifs(Data!O:O,"&lt;&gt;",Data!$A:$A,$A18,Data!$D:$D,$B$30)))</f>
        <v/>
      </c>
      <c r="N18" s="12" t="str">
        <f>if(COUNTIFS(Data!P:P,"&lt;&gt;",Data!$A:$A,$A18,Data!$D:$D,$B$30)&lt;$B$31,"",(sumifs(Data!$D:$D,Data!P:P,"&lt;&gt;",Data!$A:$A,$A18,Data!$D:$D,$B$30)-sumifs(Data!P:P,Data!P:P,"&lt;&gt;",Data!$A:$A,$A18,Data!$D:$D,$B$30))/(sumifs(Data!$D:$D,Data!P:P,"&lt;&gt;",Data!$A:$A,$A18,Data!$D:$D,$B$30)-countifs(Data!P:P,"&lt;&gt;",Data!$A:$A,$A18,Data!$D:$D,$B$30)))</f>
        <v/>
      </c>
      <c r="O18" s="12" t="str">
        <f>if(COUNTIFS(Data!Q:Q,"&lt;&gt;",Data!$A:$A,$A18,Data!$D:$D,$B$30)&lt;$B$31,"",(sumifs(Data!$D:$D,Data!Q:Q,"&lt;&gt;",Data!$A:$A,$A18,Data!$D:$D,$B$30)-sumifs(Data!Q:Q,Data!Q:Q,"&lt;&gt;",Data!$A:$A,$A18,Data!$D:$D,$B$30))/(sumifs(Data!$D:$D,Data!Q:Q,"&lt;&gt;",Data!$A:$A,$A18,Data!$D:$D,$B$30)-countifs(Data!Q:Q,"&lt;&gt;",Data!$A:$A,$A18,Data!$D:$D,$B$30)))</f>
        <v/>
      </c>
      <c r="P18" s="12" t="str">
        <f>if(COUNTIFS(Data!R:R,"&lt;&gt;",Data!$A:$A,$A18,Data!$D:$D,$B$30)&lt;$B$31,"",(sumifs(Data!$D:$D,Data!R:R,"&lt;&gt;",Data!$A:$A,$A18,Data!$D:$D,$B$30)-sumifs(Data!R:R,Data!R:R,"&lt;&gt;",Data!$A:$A,$A18,Data!$D:$D,$B$30))/(sumifs(Data!$D:$D,Data!R:R,"&lt;&gt;",Data!$A:$A,$A18,Data!$D:$D,$B$30)-countifs(Data!R:R,"&lt;&gt;",Data!$A:$A,$A18,Data!$D:$D,$B$30)))</f>
        <v/>
      </c>
      <c r="Q18" s="12" t="str">
        <f>if(COUNTIFS(Data!S:S,"&lt;&gt;",Data!$A:$A,$A18,Data!$D:$D,$B$30)&lt;$B$31,"",(sumifs(Data!$D:$D,Data!S:S,"&lt;&gt;",Data!$A:$A,$A18,Data!$D:$D,$B$30)-sumifs(Data!S:S,Data!S:S,"&lt;&gt;",Data!$A:$A,$A18,Data!$D:$D,$B$30))/(sumifs(Data!$D:$D,Data!S:S,"&lt;&gt;",Data!$A:$A,$A18,Data!$D:$D,$B$30)-countifs(Data!S:S,"&lt;&gt;",Data!$A:$A,$A18,Data!$D:$D,$B$30)))</f>
        <v/>
      </c>
      <c r="R18" s="12" t="str">
        <f>if(COUNTIFS(Data!T:T,"&lt;&gt;",Data!$A:$A,$A18,Data!$D:$D,$B$30)&lt;$B$31,"",(sumifs(Data!$D:$D,Data!T:T,"&lt;&gt;",Data!$A:$A,$A18,Data!$D:$D,$B$30)-sumifs(Data!T:T,Data!T:T,"&lt;&gt;",Data!$A:$A,$A18,Data!$D:$D,$B$30))/(sumifs(Data!$D:$D,Data!T:T,"&lt;&gt;",Data!$A:$A,$A18,Data!$D:$D,$B$30)-countifs(Data!T:T,"&lt;&gt;",Data!$A:$A,$A18,Data!$D:$D,$B$30)))</f>
        <v/>
      </c>
      <c r="S18" s="12" t="str">
        <f>if(COUNTIFS(Data!U:U,"&lt;&gt;",Data!$A:$A,$A18,Data!$D:$D,$B$30)&lt;$B$31,"",(sumifs(Data!$D:$D,Data!U:U,"&lt;&gt;",Data!$A:$A,$A18,Data!$D:$D,$B$30)-sumifs(Data!U:U,Data!U:U,"&lt;&gt;",Data!$A:$A,$A18,Data!$D:$D,$B$30))/(sumifs(Data!$D:$D,Data!U:U,"&lt;&gt;",Data!$A:$A,$A18,Data!$D:$D,$B$30)-countifs(Data!U:U,"&lt;&gt;",Data!$A:$A,$A18,Data!$D:$D,$B$30)))</f>
        <v/>
      </c>
      <c r="T18" s="12" t="str">
        <f>if(COUNTIFS(Data!V:V,"&lt;&gt;",Data!$A:$A,$A18,Data!$D:$D,$B$30)&lt;$B$31,"",(sumifs(Data!$D:$D,Data!V:V,"&lt;&gt;",Data!$A:$A,$A18,Data!$D:$D,$B$30)-sumifs(Data!V:V,Data!V:V,"&lt;&gt;",Data!$A:$A,$A18,Data!$D:$D,$B$30))/(sumifs(Data!$D:$D,Data!V:V,"&lt;&gt;",Data!$A:$A,$A18,Data!$D:$D,$B$30)-countifs(Data!V:V,"&lt;&gt;",Data!$A:$A,$A18,Data!$D:$D,$B$30)))</f>
        <v/>
      </c>
    </row>
    <row r="19">
      <c r="A19" s="1" t="s">
        <v>68</v>
      </c>
      <c r="B19" s="1">
        <f>countif(Data!A:A,"="&amp;A19)</f>
        <v>9</v>
      </c>
      <c r="C19" s="12" t="str">
        <f>if(COUNTIFS(Data!E:E,"&lt;&gt;",Data!$A:$A,$A19,Data!$D:$D,$B$30)&lt;$B$31,"",(sumifs(Data!$D:$D,Data!E:E,"&lt;&gt;",Data!$A:$A,$A19,Data!$D:$D,$B$30)-sumifs(Data!E:E,Data!E:E,"&lt;&gt;",Data!$A:$A,$A19,Data!$D:$D,$B$30))/(sumifs(Data!$D:$D,Data!E:E,"&lt;&gt;",Data!$A:$A,$A19,Data!$D:$D,$B$30)-countifs(Data!E:E,"&lt;&gt;",Data!$A:$A,$A19,Data!$D:$D,$B$30)))</f>
        <v/>
      </c>
      <c r="D19" s="12" t="str">
        <f>if(COUNTIFS(Data!F:F,"&lt;&gt;",Data!$A:$A,$A19,Data!$D:$D,$B$30)&lt;$B$31,"",(sumifs(Data!$D:$D,Data!F:F,"&lt;&gt;",Data!$A:$A,$A19,Data!$D:$D,$B$30)-sumifs(Data!F:F,Data!F:F,"&lt;&gt;",Data!$A:$A,$A19,Data!$D:$D,$B$30))/(sumifs(Data!$D:$D,Data!F:F,"&lt;&gt;",Data!$A:$A,$A19,Data!$D:$D,$B$30)-countifs(Data!F:F,"&lt;&gt;",Data!$A:$A,$A19,Data!$D:$D,$B$30)))</f>
        <v/>
      </c>
      <c r="E19" s="12" t="str">
        <f>if(COUNTIFS(Data!G:G,"&lt;&gt;",Data!$A:$A,$A19,Data!$D:$D,$B$30)&lt;$B$31,"",(sumifs(Data!$D:$D,Data!G:G,"&lt;&gt;",Data!$A:$A,$A19,Data!$D:$D,$B$30)-sumifs(Data!G:G,Data!G:G,"&lt;&gt;",Data!$A:$A,$A19,Data!$D:$D,$B$30))/(sumifs(Data!$D:$D,Data!G:G,"&lt;&gt;",Data!$A:$A,$A19,Data!$D:$D,$B$30)-countifs(Data!G:G,"&lt;&gt;",Data!$A:$A,$A19,Data!$D:$D,$B$30)))</f>
        <v/>
      </c>
      <c r="F19" s="12" t="str">
        <f>if(COUNTIFS(Data!H:H,"&lt;&gt;",Data!$A:$A,$A19,Data!$D:$D,$B$30)&lt;$B$31,"",(sumifs(Data!$D:$D,Data!H:H,"&lt;&gt;",Data!$A:$A,$A19,Data!$D:$D,$B$30)-sumifs(Data!H:H,Data!H:H,"&lt;&gt;",Data!$A:$A,$A19,Data!$D:$D,$B$30))/(sumifs(Data!$D:$D,Data!H:H,"&lt;&gt;",Data!$A:$A,$A19,Data!$D:$D,$B$30)-countifs(Data!H:H,"&lt;&gt;",Data!$A:$A,$A19,Data!$D:$D,$B$30)))</f>
        <v/>
      </c>
      <c r="G19" s="12" t="str">
        <f>if(COUNTIFS(Data!I:I,"&lt;&gt;",Data!$A:$A,$A19,Data!$D:$D,$B$30)&lt;$B$31,"",(sumifs(Data!$D:$D,Data!I:I,"&lt;&gt;",Data!$A:$A,$A19,Data!$D:$D,$B$30)-sumifs(Data!I:I,Data!I:I,"&lt;&gt;",Data!$A:$A,$A19,Data!$D:$D,$B$30))/(sumifs(Data!$D:$D,Data!I:I,"&lt;&gt;",Data!$A:$A,$A19,Data!$D:$D,$B$30)-countifs(Data!I:I,"&lt;&gt;",Data!$A:$A,$A19,Data!$D:$D,$B$30)))</f>
        <v/>
      </c>
      <c r="H19" s="12" t="str">
        <f>if(COUNTIFS(Data!J:J,"&lt;&gt;",Data!$A:$A,$A19,Data!$D:$D,$B$30)&lt;$B$31,"",(sumifs(Data!$D:$D,Data!J:J,"&lt;&gt;",Data!$A:$A,$A19,Data!$D:$D,$B$30)-sumifs(Data!J:J,Data!J:J,"&lt;&gt;",Data!$A:$A,$A19,Data!$D:$D,$B$30))/(sumifs(Data!$D:$D,Data!J:J,"&lt;&gt;",Data!$A:$A,$A19,Data!$D:$D,$B$30)-countifs(Data!J:J,"&lt;&gt;",Data!$A:$A,$A19,Data!$D:$D,$B$30)))</f>
        <v/>
      </c>
      <c r="I19" s="12" t="str">
        <f>if(COUNTIFS(Data!K:K,"&lt;&gt;",Data!$A:$A,$A19,Data!$D:$D,$B$30)&lt;$B$31,"",(sumifs(Data!$D:$D,Data!K:K,"&lt;&gt;",Data!$A:$A,$A19,Data!$D:$D,$B$30)-sumifs(Data!K:K,Data!K:K,"&lt;&gt;",Data!$A:$A,$A19,Data!$D:$D,$B$30))/(sumifs(Data!$D:$D,Data!K:K,"&lt;&gt;",Data!$A:$A,$A19,Data!$D:$D,$B$30)-countifs(Data!K:K,"&lt;&gt;",Data!$A:$A,$A19,Data!$D:$D,$B$30)))</f>
        <v/>
      </c>
      <c r="J19" s="12" t="str">
        <f>if(COUNTIFS(Data!L:L,"&lt;&gt;",Data!$A:$A,$A19,Data!$D:$D,$B$30)&lt;$B$31,"",(sumifs(Data!$D:$D,Data!L:L,"&lt;&gt;",Data!$A:$A,$A19,Data!$D:$D,$B$30)-sumifs(Data!L:L,Data!L:L,"&lt;&gt;",Data!$A:$A,$A19,Data!$D:$D,$B$30))/(sumifs(Data!$D:$D,Data!L:L,"&lt;&gt;",Data!$A:$A,$A19,Data!$D:$D,$B$30)-countifs(Data!L:L,"&lt;&gt;",Data!$A:$A,$A19,Data!$D:$D,$B$30)))</f>
        <v/>
      </c>
      <c r="K19" s="12" t="str">
        <f>if(COUNTIFS(Data!M:M,"&lt;&gt;",Data!$A:$A,$A19,Data!$D:$D,$B$30)&lt;$B$31,"",(sumifs(Data!$D:$D,Data!M:M,"&lt;&gt;",Data!$A:$A,$A19,Data!$D:$D,$B$30)-sumifs(Data!M:M,Data!M:M,"&lt;&gt;",Data!$A:$A,$A19,Data!$D:$D,$B$30))/(sumifs(Data!$D:$D,Data!M:M,"&lt;&gt;",Data!$A:$A,$A19,Data!$D:$D,$B$30)-countifs(Data!M:M,"&lt;&gt;",Data!$A:$A,$A19,Data!$D:$D,$B$30)))</f>
        <v/>
      </c>
      <c r="L19" s="12" t="str">
        <f>if(COUNTIFS(Data!N:N,"&lt;&gt;",Data!$A:$A,$A19,Data!$D:$D,$B$30)&lt;$B$31,"",(sumifs(Data!$D:$D,Data!N:N,"&lt;&gt;",Data!$A:$A,$A19,Data!$D:$D,$B$30)-sumifs(Data!N:N,Data!N:N,"&lt;&gt;",Data!$A:$A,$A19,Data!$D:$D,$B$30))/(sumifs(Data!$D:$D,Data!N:N,"&lt;&gt;",Data!$A:$A,$A19,Data!$D:$D,$B$30)-countifs(Data!N:N,"&lt;&gt;",Data!$A:$A,$A19,Data!$D:$D,$B$30)))</f>
        <v/>
      </c>
      <c r="M19" s="12" t="str">
        <f>if(COUNTIFS(Data!O:O,"&lt;&gt;",Data!$A:$A,$A19,Data!$D:$D,$B$30)&lt;$B$31,"",(sumifs(Data!$D:$D,Data!O:O,"&lt;&gt;",Data!$A:$A,$A19,Data!$D:$D,$B$30)-sumifs(Data!O:O,Data!O:O,"&lt;&gt;",Data!$A:$A,$A19,Data!$D:$D,$B$30))/(sumifs(Data!$D:$D,Data!O:O,"&lt;&gt;",Data!$A:$A,$A19,Data!$D:$D,$B$30)-countifs(Data!O:O,"&lt;&gt;",Data!$A:$A,$A19,Data!$D:$D,$B$30)))</f>
        <v/>
      </c>
      <c r="N19" s="12" t="str">
        <f>if(COUNTIFS(Data!P:P,"&lt;&gt;",Data!$A:$A,$A19,Data!$D:$D,$B$30)&lt;$B$31,"",(sumifs(Data!$D:$D,Data!P:P,"&lt;&gt;",Data!$A:$A,$A19,Data!$D:$D,$B$30)-sumifs(Data!P:P,Data!P:P,"&lt;&gt;",Data!$A:$A,$A19,Data!$D:$D,$B$30))/(sumifs(Data!$D:$D,Data!P:P,"&lt;&gt;",Data!$A:$A,$A19,Data!$D:$D,$B$30)-countifs(Data!P:P,"&lt;&gt;",Data!$A:$A,$A19,Data!$D:$D,$B$30)))</f>
        <v/>
      </c>
      <c r="O19" s="12" t="str">
        <f>if(COUNTIFS(Data!Q:Q,"&lt;&gt;",Data!$A:$A,$A19,Data!$D:$D,$B$30)&lt;$B$31,"",(sumifs(Data!$D:$D,Data!Q:Q,"&lt;&gt;",Data!$A:$A,$A19,Data!$D:$D,$B$30)-sumifs(Data!Q:Q,Data!Q:Q,"&lt;&gt;",Data!$A:$A,$A19,Data!$D:$D,$B$30))/(sumifs(Data!$D:$D,Data!Q:Q,"&lt;&gt;",Data!$A:$A,$A19,Data!$D:$D,$B$30)-countifs(Data!Q:Q,"&lt;&gt;",Data!$A:$A,$A19,Data!$D:$D,$B$30)))</f>
        <v/>
      </c>
      <c r="P19" s="12" t="str">
        <f>if(COUNTIFS(Data!R:R,"&lt;&gt;",Data!$A:$A,$A19,Data!$D:$D,$B$30)&lt;$B$31,"",(sumifs(Data!$D:$D,Data!R:R,"&lt;&gt;",Data!$A:$A,$A19,Data!$D:$D,$B$30)-sumifs(Data!R:R,Data!R:R,"&lt;&gt;",Data!$A:$A,$A19,Data!$D:$D,$B$30))/(sumifs(Data!$D:$D,Data!R:R,"&lt;&gt;",Data!$A:$A,$A19,Data!$D:$D,$B$30)-countifs(Data!R:R,"&lt;&gt;",Data!$A:$A,$A19,Data!$D:$D,$B$30)))</f>
        <v/>
      </c>
      <c r="Q19" s="12" t="str">
        <f>if(COUNTIFS(Data!S:S,"&lt;&gt;",Data!$A:$A,$A19,Data!$D:$D,$B$30)&lt;$B$31,"",(sumifs(Data!$D:$D,Data!S:S,"&lt;&gt;",Data!$A:$A,$A19,Data!$D:$D,$B$30)-sumifs(Data!S:S,Data!S:S,"&lt;&gt;",Data!$A:$A,$A19,Data!$D:$D,$B$30))/(sumifs(Data!$D:$D,Data!S:S,"&lt;&gt;",Data!$A:$A,$A19,Data!$D:$D,$B$30)-countifs(Data!S:S,"&lt;&gt;",Data!$A:$A,$A19,Data!$D:$D,$B$30)))</f>
        <v/>
      </c>
      <c r="R19" s="12" t="str">
        <f>if(COUNTIFS(Data!T:T,"&lt;&gt;",Data!$A:$A,$A19,Data!$D:$D,$B$30)&lt;$B$31,"",(sumifs(Data!$D:$D,Data!T:T,"&lt;&gt;",Data!$A:$A,$A19,Data!$D:$D,$B$30)-sumifs(Data!T:T,Data!T:T,"&lt;&gt;",Data!$A:$A,$A19,Data!$D:$D,$B$30))/(sumifs(Data!$D:$D,Data!T:T,"&lt;&gt;",Data!$A:$A,$A19,Data!$D:$D,$B$30)-countifs(Data!T:T,"&lt;&gt;",Data!$A:$A,$A19,Data!$D:$D,$B$30)))</f>
        <v/>
      </c>
      <c r="S19" s="12" t="str">
        <f>if(COUNTIFS(Data!U:U,"&lt;&gt;",Data!$A:$A,$A19,Data!$D:$D,$B$30)&lt;$B$31,"",(sumifs(Data!$D:$D,Data!U:U,"&lt;&gt;",Data!$A:$A,$A19,Data!$D:$D,$B$30)-sumifs(Data!U:U,Data!U:U,"&lt;&gt;",Data!$A:$A,$A19,Data!$D:$D,$B$30))/(sumifs(Data!$D:$D,Data!U:U,"&lt;&gt;",Data!$A:$A,$A19,Data!$D:$D,$B$30)-countifs(Data!U:U,"&lt;&gt;",Data!$A:$A,$A19,Data!$D:$D,$B$30)))</f>
        <v/>
      </c>
      <c r="T19" s="12" t="str">
        <f>if(COUNTIFS(Data!V:V,"&lt;&gt;",Data!$A:$A,$A19,Data!$D:$D,$B$30)&lt;$B$31,"",(sumifs(Data!$D:$D,Data!V:V,"&lt;&gt;",Data!$A:$A,$A19,Data!$D:$D,$B$30)-sumifs(Data!V:V,Data!V:V,"&lt;&gt;",Data!$A:$A,$A19,Data!$D:$D,$B$30))/(sumifs(Data!$D:$D,Data!V:V,"&lt;&gt;",Data!$A:$A,$A19,Data!$D:$D,$B$30)-countifs(Data!V:V,"&lt;&gt;",Data!$A:$A,$A19,Data!$D:$D,$B$30)))</f>
        <v/>
      </c>
    </row>
    <row r="20">
      <c r="A20" s="1" t="s">
        <v>71</v>
      </c>
      <c r="B20" s="1">
        <f>countif(Data!A:A,"="&amp;A20)</f>
        <v>19</v>
      </c>
      <c r="C20" s="12">
        <f>if(COUNTIFS(Data!E:E,"&lt;&gt;",Data!$A:$A,$A20,Data!$D:$D,$B$30)&lt;$B$31,"",(sumifs(Data!$D:$D,Data!E:E,"&lt;&gt;",Data!$A:$A,$A20,Data!$D:$D,$B$30)-sumifs(Data!E:E,Data!E:E,"&lt;&gt;",Data!$A:$A,$A20,Data!$D:$D,$B$30))/(sumifs(Data!$D:$D,Data!E:E,"&lt;&gt;",Data!$A:$A,$A20,Data!$D:$D,$B$30)-countifs(Data!E:E,"&lt;&gt;",Data!$A:$A,$A20,Data!$D:$D,$B$30)))</f>
        <v>0.4090909091</v>
      </c>
      <c r="D20" s="12">
        <f>if(COUNTIFS(Data!F:F,"&lt;&gt;",Data!$A:$A,$A20,Data!$D:$D,$B$30)&lt;$B$31,"",(sumifs(Data!$D:$D,Data!F:F,"&lt;&gt;",Data!$A:$A,$A20,Data!$D:$D,$B$30)-sumifs(Data!F:F,Data!F:F,"&lt;&gt;",Data!$A:$A,$A20,Data!$D:$D,$B$30))/(sumifs(Data!$D:$D,Data!F:F,"&lt;&gt;",Data!$A:$A,$A20,Data!$D:$D,$B$30)-countifs(Data!F:F,"&lt;&gt;",Data!$A:$A,$A20,Data!$D:$D,$B$30)))</f>
        <v>0.5454545455</v>
      </c>
      <c r="E20" s="12" t="str">
        <f>if(COUNTIFS(Data!G:G,"&lt;&gt;",Data!$A:$A,$A20,Data!$D:$D,$B$30)&lt;$B$31,"",(sumifs(Data!$D:$D,Data!G:G,"&lt;&gt;",Data!$A:$A,$A20,Data!$D:$D,$B$30)-sumifs(Data!G:G,Data!G:G,"&lt;&gt;",Data!$A:$A,$A20,Data!$D:$D,$B$30))/(sumifs(Data!$D:$D,Data!G:G,"&lt;&gt;",Data!$A:$A,$A20,Data!$D:$D,$B$30)-countifs(Data!G:G,"&lt;&gt;",Data!$A:$A,$A20,Data!$D:$D,$B$30)))</f>
        <v/>
      </c>
      <c r="F20" s="12">
        <f>if(COUNTIFS(Data!H:H,"&lt;&gt;",Data!$A:$A,$A20,Data!$D:$D,$B$30)&lt;$B$31,"",(sumifs(Data!$D:$D,Data!H:H,"&lt;&gt;",Data!$A:$A,$A20,Data!$D:$D,$B$30)-sumifs(Data!H:H,Data!H:H,"&lt;&gt;",Data!$A:$A,$A20,Data!$D:$D,$B$30))/(sumifs(Data!$D:$D,Data!H:H,"&lt;&gt;",Data!$A:$A,$A20,Data!$D:$D,$B$30)-countifs(Data!H:H,"&lt;&gt;",Data!$A:$A,$A20,Data!$D:$D,$B$30)))</f>
        <v>0.45</v>
      </c>
      <c r="G20" s="12" t="str">
        <f>if(COUNTIFS(Data!I:I,"&lt;&gt;",Data!$A:$A,$A20,Data!$D:$D,$B$30)&lt;$B$31,"",(sumifs(Data!$D:$D,Data!I:I,"&lt;&gt;",Data!$A:$A,$A20,Data!$D:$D,$B$30)-sumifs(Data!I:I,Data!I:I,"&lt;&gt;",Data!$A:$A,$A20,Data!$D:$D,$B$30))/(sumifs(Data!$D:$D,Data!I:I,"&lt;&gt;",Data!$A:$A,$A20,Data!$D:$D,$B$30)-countifs(Data!I:I,"&lt;&gt;",Data!$A:$A,$A20,Data!$D:$D,$B$30)))</f>
        <v/>
      </c>
      <c r="H20" s="12" t="str">
        <f>if(COUNTIFS(Data!J:J,"&lt;&gt;",Data!$A:$A,$A20,Data!$D:$D,$B$30)&lt;$B$31,"",(sumifs(Data!$D:$D,Data!J:J,"&lt;&gt;",Data!$A:$A,$A20,Data!$D:$D,$B$30)-sumifs(Data!J:J,Data!J:J,"&lt;&gt;",Data!$A:$A,$A20,Data!$D:$D,$B$30))/(sumifs(Data!$D:$D,Data!J:J,"&lt;&gt;",Data!$A:$A,$A20,Data!$D:$D,$B$30)-countifs(Data!J:J,"&lt;&gt;",Data!$A:$A,$A20,Data!$D:$D,$B$30)))</f>
        <v/>
      </c>
      <c r="I20" s="12" t="str">
        <f>if(COUNTIFS(Data!K:K,"&lt;&gt;",Data!$A:$A,$A20,Data!$D:$D,$B$30)&lt;$B$31,"",(sumifs(Data!$D:$D,Data!K:K,"&lt;&gt;",Data!$A:$A,$A20,Data!$D:$D,$B$30)-sumifs(Data!K:K,Data!K:K,"&lt;&gt;",Data!$A:$A,$A20,Data!$D:$D,$B$30))/(sumifs(Data!$D:$D,Data!K:K,"&lt;&gt;",Data!$A:$A,$A20,Data!$D:$D,$B$30)-countifs(Data!K:K,"&lt;&gt;",Data!$A:$A,$A20,Data!$D:$D,$B$30)))</f>
        <v/>
      </c>
      <c r="J20" s="12" t="str">
        <f>if(COUNTIFS(Data!L:L,"&lt;&gt;",Data!$A:$A,$A20,Data!$D:$D,$B$30)&lt;$B$31,"",(sumifs(Data!$D:$D,Data!L:L,"&lt;&gt;",Data!$A:$A,$A20,Data!$D:$D,$B$30)-sumifs(Data!L:L,Data!L:L,"&lt;&gt;",Data!$A:$A,$A20,Data!$D:$D,$B$30))/(sumifs(Data!$D:$D,Data!L:L,"&lt;&gt;",Data!$A:$A,$A20,Data!$D:$D,$B$30)-countifs(Data!L:L,"&lt;&gt;",Data!$A:$A,$A20,Data!$D:$D,$B$30)))</f>
        <v/>
      </c>
      <c r="K20" s="12" t="str">
        <f>if(COUNTIFS(Data!M:M,"&lt;&gt;",Data!$A:$A,$A20,Data!$D:$D,$B$30)&lt;$B$31,"",(sumifs(Data!$D:$D,Data!M:M,"&lt;&gt;",Data!$A:$A,$A20,Data!$D:$D,$B$30)-sumifs(Data!M:M,Data!M:M,"&lt;&gt;",Data!$A:$A,$A20,Data!$D:$D,$B$30))/(sumifs(Data!$D:$D,Data!M:M,"&lt;&gt;",Data!$A:$A,$A20,Data!$D:$D,$B$30)-countifs(Data!M:M,"&lt;&gt;",Data!$A:$A,$A20,Data!$D:$D,$B$30)))</f>
        <v/>
      </c>
      <c r="L20" s="12" t="str">
        <f>if(COUNTIFS(Data!N:N,"&lt;&gt;",Data!$A:$A,$A20,Data!$D:$D,$B$30)&lt;$B$31,"",(sumifs(Data!$D:$D,Data!N:N,"&lt;&gt;",Data!$A:$A,$A20,Data!$D:$D,$B$30)-sumifs(Data!N:N,Data!N:N,"&lt;&gt;",Data!$A:$A,$A20,Data!$D:$D,$B$30))/(sumifs(Data!$D:$D,Data!N:N,"&lt;&gt;",Data!$A:$A,$A20,Data!$D:$D,$B$30)-countifs(Data!N:N,"&lt;&gt;",Data!$A:$A,$A20,Data!$D:$D,$B$30)))</f>
        <v/>
      </c>
      <c r="M20" s="12" t="str">
        <f>if(COUNTIFS(Data!O:O,"&lt;&gt;",Data!$A:$A,$A20,Data!$D:$D,$B$30)&lt;$B$31,"",(sumifs(Data!$D:$D,Data!O:O,"&lt;&gt;",Data!$A:$A,$A20,Data!$D:$D,$B$30)-sumifs(Data!O:O,Data!O:O,"&lt;&gt;",Data!$A:$A,$A20,Data!$D:$D,$B$30))/(sumifs(Data!$D:$D,Data!O:O,"&lt;&gt;",Data!$A:$A,$A20,Data!$D:$D,$B$30)-countifs(Data!O:O,"&lt;&gt;",Data!$A:$A,$A20,Data!$D:$D,$B$30)))</f>
        <v/>
      </c>
      <c r="N20" s="12" t="str">
        <f>if(COUNTIFS(Data!P:P,"&lt;&gt;",Data!$A:$A,$A20,Data!$D:$D,$B$30)&lt;$B$31,"",(sumifs(Data!$D:$D,Data!P:P,"&lt;&gt;",Data!$A:$A,$A20,Data!$D:$D,$B$30)-sumifs(Data!P:P,Data!P:P,"&lt;&gt;",Data!$A:$A,$A20,Data!$D:$D,$B$30))/(sumifs(Data!$D:$D,Data!P:P,"&lt;&gt;",Data!$A:$A,$A20,Data!$D:$D,$B$30)-countifs(Data!P:P,"&lt;&gt;",Data!$A:$A,$A20,Data!$D:$D,$B$30)))</f>
        <v/>
      </c>
      <c r="O20" s="12" t="str">
        <f>if(COUNTIFS(Data!Q:Q,"&lt;&gt;",Data!$A:$A,$A20,Data!$D:$D,$B$30)&lt;$B$31,"",(sumifs(Data!$D:$D,Data!Q:Q,"&lt;&gt;",Data!$A:$A,$A20,Data!$D:$D,$B$30)-sumifs(Data!Q:Q,Data!Q:Q,"&lt;&gt;",Data!$A:$A,$A20,Data!$D:$D,$B$30))/(sumifs(Data!$D:$D,Data!Q:Q,"&lt;&gt;",Data!$A:$A,$A20,Data!$D:$D,$B$30)-countifs(Data!Q:Q,"&lt;&gt;",Data!$A:$A,$A20,Data!$D:$D,$B$30)))</f>
        <v/>
      </c>
      <c r="P20" s="12" t="str">
        <f>if(COUNTIFS(Data!R:R,"&lt;&gt;",Data!$A:$A,$A20,Data!$D:$D,$B$30)&lt;$B$31,"",(sumifs(Data!$D:$D,Data!R:R,"&lt;&gt;",Data!$A:$A,$A20,Data!$D:$D,$B$30)-sumifs(Data!R:R,Data!R:R,"&lt;&gt;",Data!$A:$A,$A20,Data!$D:$D,$B$30))/(sumifs(Data!$D:$D,Data!R:R,"&lt;&gt;",Data!$A:$A,$A20,Data!$D:$D,$B$30)-countifs(Data!R:R,"&lt;&gt;",Data!$A:$A,$A20,Data!$D:$D,$B$30)))</f>
        <v/>
      </c>
      <c r="Q20" s="12" t="str">
        <f>if(COUNTIFS(Data!S:S,"&lt;&gt;",Data!$A:$A,$A20,Data!$D:$D,$B$30)&lt;$B$31,"",(sumifs(Data!$D:$D,Data!S:S,"&lt;&gt;",Data!$A:$A,$A20,Data!$D:$D,$B$30)-sumifs(Data!S:S,Data!S:S,"&lt;&gt;",Data!$A:$A,$A20,Data!$D:$D,$B$30))/(sumifs(Data!$D:$D,Data!S:S,"&lt;&gt;",Data!$A:$A,$A20,Data!$D:$D,$B$30)-countifs(Data!S:S,"&lt;&gt;",Data!$A:$A,$A20,Data!$D:$D,$B$30)))</f>
        <v/>
      </c>
      <c r="R20" s="12" t="str">
        <f>if(COUNTIFS(Data!T:T,"&lt;&gt;",Data!$A:$A,$A20,Data!$D:$D,$B$30)&lt;$B$31,"",(sumifs(Data!$D:$D,Data!T:T,"&lt;&gt;",Data!$A:$A,$A20,Data!$D:$D,$B$30)-sumifs(Data!T:T,Data!T:T,"&lt;&gt;",Data!$A:$A,$A20,Data!$D:$D,$B$30))/(sumifs(Data!$D:$D,Data!T:T,"&lt;&gt;",Data!$A:$A,$A20,Data!$D:$D,$B$30)-countifs(Data!T:T,"&lt;&gt;",Data!$A:$A,$A20,Data!$D:$D,$B$30)))</f>
        <v/>
      </c>
      <c r="S20" s="12" t="str">
        <f>if(COUNTIFS(Data!U:U,"&lt;&gt;",Data!$A:$A,$A20,Data!$D:$D,$B$30)&lt;$B$31,"",(sumifs(Data!$D:$D,Data!U:U,"&lt;&gt;",Data!$A:$A,$A20,Data!$D:$D,$B$30)-sumifs(Data!U:U,Data!U:U,"&lt;&gt;",Data!$A:$A,$A20,Data!$D:$D,$B$30))/(sumifs(Data!$D:$D,Data!U:U,"&lt;&gt;",Data!$A:$A,$A20,Data!$D:$D,$B$30)-countifs(Data!U:U,"&lt;&gt;",Data!$A:$A,$A20,Data!$D:$D,$B$30)))</f>
        <v/>
      </c>
      <c r="T20" s="12" t="str">
        <f>if(COUNTIFS(Data!V:V,"&lt;&gt;",Data!$A:$A,$A20,Data!$D:$D,$B$30)&lt;$B$31,"",(sumifs(Data!$D:$D,Data!V:V,"&lt;&gt;",Data!$A:$A,$A20,Data!$D:$D,$B$30)-sumifs(Data!V:V,Data!V:V,"&lt;&gt;",Data!$A:$A,$A20,Data!$D:$D,$B$30))/(sumifs(Data!$D:$D,Data!V:V,"&lt;&gt;",Data!$A:$A,$A20,Data!$D:$D,$B$30)-countifs(Data!V:V,"&lt;&gt;",Data!$A:$A,$A20,Data!$D:$D,$B$30)))</f>
        <v/>
      </c>
    </row>
    <row r="21">
      <c r="A21" s="1" t="s">
        <v>72</v>
      </c>
      <c r="B21" s="1">
        <f>countif(Data!A:A,"="&amp;A21)</f>
        <v>1</v>
      </c>
      <c r="C21" s="12" t="str">
        <f>if(COUNTIFS(Data!E:E,"&lt;&gt;",Data!$A:$A,$A21,Data!$D:$D,$B$30)&lt;$B$31,"",(sumifs(Data!$D:$D,Data!E:E,"&lt;&gt;",Data!$A:$A,$A21,Data!$D:$D,$B$30)-sumifs(Data!E:E,Data!E:E,"&lt;&gt;",Data!$A:$A,$A21,Data!$D:$D,$B$30))/(sumifs(Data!$D:$D,Data!E:E,"&lt;&gt;",Data!$A:$A,$A21,Data!$D:$D,$B$30)-countifs(Data!E:E,"&lt;&gt;",Data!$A:$A,$A21,Data!$D:$D,$B$30)))</f>
        <v/>
      </c>
      <c r="D21" s="12" t="str">
        <f>if(COUNTIFS(Data!F:F,"&lt;&gt;",Data!$A:$A,$A21,Data!$D:$D,$B$30)&lt;$B$31,"",(sumifs(Data!$D:$D,Data!F:F,"&lt;&gt;",Data!$A:$A,$A21,Data!$D:$D,$B$30)-sumifs(Data!F:F,Data!F:F,"&lt;&gt;",Data!$A:$A,$A21,Data!$D:$D,$B$30))/(sumifs(Data!$D:$D,Data!F:F,"&lt;&gt;",Data!$A:$A,$A21,Data!$D:$D,$B$30)-countifs(Data!F:F,"&lt;&gt;",Data!$A:$A,$A21,Data!$D:$D,$B$30)))</f>
        <v/>
      </c>
      <c r="E21" s="12" t="str">
        <f>if(COUNTIFS(Data!G:G,"&lt;&gt;",Data!$A:$A,$A21,Data!$D:$D,$B$30)&lt;$B$31,"",(sumifs(Data!$D:$D,Data!G:G,"&lt;&gt;",Data!$A:$A,$A21,Data!$D:$D,$B$30)-sumifs(Data!G:G,Data!G:G,"&lt;&gt;",Data!$A:$A,$A21,Data!$D:$D,$B$30))/(sumifs(Data!$D:$D,Data!G:G,"&lt;&gt;",Data!$A:$A,$A21,Data!$D:$D,$B$30)-countifs(Data!G:G,"&lt;&gt;",Data!$A:$A,$A21,Data!$D:$D,$B$30)))</f>
        <v/>
      </c>
      <c r="F21" s="12" t="str">
        <f>if(COUNTIFS(Data!H:H,"&lt;&gt;",Data!$A:$A,$A21,Data!$D:$D,$B$30)&lt;$B$31,"",(sumifs(Data!$D:$D,Data!H:H,"&lt;&gt;",Data!$A:$A,$A21,Data!$D:$D,$B$30)-sumifs(Data!H:H,Data!H:H,"&lt;&gt;",Data!$A:$A,$A21,Data!$D:$D,$B$30))/(sumifs(Data!$D:$D,Data!H:H,"&lt;&gt;",Data!$A:$A,$A21,Data!$D:$D,$B$30)-countifs(Data!H:H,"&lt;&gt;",Data!$A:$A,$A21,Data!$D:$D,$B$30)))</f>
        <v/>
      </c>
      <c r="G21" s="12" t="str">
        <f>if(COUNTIFS(Data!I:I,"&lt;&gt;",Data!$A:$A,$A21,Data!$D:$D,$B$30)&lt;$B$31,"",(sumifs(Data!$D:$D,Data!I:I,"&lt;&gt;",Data!$A:$A,$A21,Data!$D:$D,$B$30)-sumifs(Data!I:I,Data!I:I,"&lt;&gt;",Data!$A:$A,$A21,Data!$D:$D,$B$30))/(sumifs(Data!$D:$D,Data!I:I,"&lt;&gt;",Data!$A:$A,$A21,Data!$D:$D,$B$30)-countifs(Data!I:I,"&lt;&gt;",Data!$A:$A,$A21,Data!$D:$D,$B$30)))</f>
        <v/>
      </c>
      <c r="H21" s="12" t="str">
        <f>if(COUNTIFS(Data!J:J,"&lt;&gt;",Data!$A:$A,$A21,Data!$D:$D,$B$30)&lt;$B$31,"",(sumifs(Data!$D:$D,Data!J:J,"&lt;&gt;",Data!$A:$A,$A21,Data!$D:$D,$B$30)-sumifs(Data!J:J,Data!J:J,"&lt;&gt;",Data!$A:$A,$A21,Data!$D:$D,$B$30))/(sumifs(Data!$D:$D,Data!J:J,"&lt;&gt;",Data!$A:$A,$A21,Data!$D:$D,$B$30)-countifs(Data!J:J,"&lt;&gt;",Data!$A:$A,$A21,Data!$D:$D,$B$30)))</f>
        <v/>
      </c>
      <c r="I21" s="12" t="str">
        <f>if(COUNTIFS(Data!K:K,"&lt;&gt;",Data!$A:$A,$A21,Data!$D:$D,$B$30)&lt;$B$31,"",(sumifs(Data!$D:$D,Data!K:K,"&lt;&gt;",Data!$A:$A,$A21,Data!$D:$D,$B$30)-sumifs(Data!K:K,Data!K:K,"&lt;&gt;",Data!$A:$A,$A21,Data!$D:$D,$B$30))/(sumifs(Data!$D:$D,Data!K:K,"&lt;&gt;",Data!$A:$A,$A21,Data!$D:$D,$B$30)-countifs(Data!K:K,"&lt;&gt;",Data!$A:$A,$A21,Data!$D:$D,$B$30)))</f>
        <v/>
      </c>
      <c r="J21" s="12" t="str">
        <f>if(COUNTIFS(Data!L:L,"&lt;&gt;",Data!$A:$A,$A21,Data!$D:$D,$B$30)&lt;$B$31,"",(sumifs(Data!$D:$D,Data!L:L,"&lt;&gt;",Data!$A:$A,$A21,Data!$D:$D,$B$30)-sumifs(Data!L:L,Data!L:L,"&lt;&gt;",Data!$A:$A,$A21,Data!$D:$D,$B$30))/(sumifs(Data!$D:$D,Data!L:L,"&lt;&gt;",Data!$A:$A,$A21,Data!$D:$D,$B$30)-countifs(Data!L:L,"&lt;&gt;",Data!$A:$A,$A21,Data!$D:$D,$B$30)))</f>
        <v/>
      </c>
      <c r="K21" s="12" t="str">
        <f>if(COUNTIFS(Data!M:M,"&lt;&gt;",Data!$A:$A,$A21,Data!$D:$D,$B$30)&lt;$B$31,"",(sumifs(Data!$D:$D,Data!M:M,"&lt;&gt;",Data!$A:$A,$A21,Data!$D:$D,$B$30)-sumifs(Data!M:M,Data!M:M,"&lt;&gt;",Data!$A:$A,$A21,Data!$D:$D,$B$30))/(sumifs(Data!$D:$D,Data!M:M,"&lt;&gt;",Data!$A:$A,$A21,Data!$D:$D,$B$30)-countifs(Data!M:M,"&lt;&gt;",Data!$A:$A,$A21,Data!$D:$D,$B$30)))</f>
        <v/>
      </c>
      <c r="L21" s="12" t="str">
        <f>if(COUNTIFS(Data!N:N,"&lt;&gt;",Data!$A:$A,$A21,Data!$D:$D,$B$30)&lt;$B$31,"",(sumifs(Data!$D:$D,Data!N:N,"&lt;&gt;",Data!$A:$A,$A21,Data!$D:$D,$B$30)-sumifs(Data!N:N,Data!N:N,"&lt;&gt;",Data!$A:$A,$A21,Data!$D:$D,$B$30))/(sumifs(Data!$D:$D,Data!N:N,"&lt;&gt;",Data!$A:$A,$A21,Data!$D:$D,$B$30)-countifs(Data!N:N,"&lt;&gt;",Data!$A:$A,$A21,Data!$D:$D,$B$30)))</f>
        <v/>
      </c>
      <c r="M21" s="12" t="str">
        <f>if(COUNTIFS(Data!O:O,"&lt;&gt;",Data!$A:$A,$A21,Data!$D:$D,$B$30)&lt;$B$31,"",(sumifs(Data!$D:$D,Data!O:O,"&lt;&gt;",Data!$A:$A,$A21,Data!$D:$D,$B$30)-sumifs(Data!O:O,Data!O:O,"&lt;&gt;",Data!$A:$A,$A21,Data!$D:$D,$B$30))/(sumifs(Data!$D:$D,Data!O:O,"&lt;&gt;",Data!$A:$A,$A21,Data!$D:$D,$B$30)-countifs(Data!O:O,"&lt;&gt;",Data!$A:$A,$A21,Data!$D:$D,$B$30)))</f>
        <v/>
      </c>
      <c r="N21" s="12" t="str">
        <f>if(COUNTIFS(Data!P:P,"&lt;&gt;",Data!$A:$A,$A21,Data!$D:$D,$B$30)&lt;$B$31,"",(sumifs(Data!$D:$D,Data!P:P,"&lt;&gt;",Data!$A:$A,$A21,Data!$D:$D,$B$30)-sumifs(Data!P:P,Data!P:P,"&lt;&gt;",Data!$A:$A,$A21,Data!$D:$D,$B$30))/(sumifs(Data!$D:$D,Data!P:P,"&lt;&gt;",Data!$A:$A,$A21,Data!$D:$D,$B$30)-countifs(Data!P:P,"&lt;&gt;",Data!$A:$A,$A21,Data!$D:$D,$B$30)))</f>
        <v/>
      </c>
      <c r="O21" s="12" t="str">
        <f>if(COUNTIFS(Data!Q:Q,"&lt;&gt;",Data!$A:$A,$A21,Data!$D:$D,$B$30)&lt;$B$31,"",(sumifs(Data!$D:$D,Data!Q:Q,"&lt;&gt;",Data!$A:$A,$A21,Data!$D:$D,$B$30)-sumifs(Data!Q:Q,Data!Q:Q,"&lt;&gt;",Data!$A:$A,$A21,Data!$D:$D,$B$30))/(sumifs(Data!$D:$D,Data!Q:Q,"&lt;&gt;",Data!$A:$A,$A21,Data!$D:$D,$B$30)-countifs(Data!Q:Q,"&lt;&gt;",Data!$A:$A,$A21,Data!$D:$D,$B$30)))</f>
        <v/>
      </c>
      <c r="P21" s="12" t="str">
        <f>if(COUNTIFS(Data!R:R,"&lt;&gt;",Data!$A:$A,$A21,Data!$D:$D,$B$30)&lt;$B$31,"",(sumifs(Data!$D:$D,Data!R:R,"&lt;&gt;",Data!$A:$A,$A21,Data!$D:$D,$B$30)-sumifs(Data!R:R,Data!R:R,"&lt;&gt;",Data!$A:$A,$A21,Data!$D:$D,$B$30))/(sumifs(Data!$D:$D,Data!R:R,"&lt;&gt;",Data!$A:$A,$A21,Data!$D:$D,$B$30)-countifs(Data!R:R,"&lt;&gt;",Data!$A:$A,$A21,Data!$D:$D,$B$30)))</f>
        <v/>
      </c>
      <c r="Q21" s="12" t="str">
        <f>if(COUNTIFS(Data!S:S,"&lt;&gt;",Data!$A:$A,$A21,Data!$D:$D,$B$30)&lt;$B$31,"",(sumifs(Data!$D:$D,Data!S:S,"&lt;&gt;",Data!$A:$A,$A21,Data!$D:$D,$B$30)-sumifs(Data!S:S,Data!S:S,"&lt;&gt;",Data!$A:$A,$A21,Data!$D:$D,$B$30))/(sumifs(Data!$D:$D,Data!S:S,"&lt;&gt;",Data!$A:$A,$A21,Data!$D:$D,$B$30)-countifs(Data!S:S,"&lt;&gt;",Data!$A:$A,$A21,Data!$D:$D,$B$30)))</f>
        <v/>
      </c>
      <c r="R21" s="12" t="str">
        <f>if(COUNTIFS(Data!T:T,"&lt;&gt;",Data!$A:$A,$A21,Data!$D:$D,$B$30)&lt;$B$31,"",(sumifs(Data!$D:$D,Data!T:T,"&lt;&gt;",Data!$A:$A,$A21,Data!$D:$D,$B$30)-sumifs(Data!T:T,Data!T:T,"&lt;&gt;",Data!$A:$A,$A21,Data!$D:$D,$B$30))/(sumifs(Data!$D:$D,Data!T:T,"&lt;&gt;",Data!$A:$A,$A21,Data!$D:$D,$B$30)-countifs(Data!T:T,"&lt;&gt;",Data!$A:$A,$A21,Data!$D:$D,$B$30)))</f>
        <v/>
      </c>
      <c r="S21" s="12" t="str">
        <f>if(COUNTIFS(Data!U:U,"&lt;&gt;",Data!$A:$A,$A21,Data!$D:$D,$B$30)&lt;$B$31,"",(sumifs(Data!$D:$D,Data!U:U,"&lt;&gt;",Data!$A:$A,$A21,Data!$D:$D,$B$30)-sumifs(Data!U:U,Data!U:U,"&lt;&gt;",Data!$A:$A,$A21,Data!$D:$D,$B$30))/(sumifs(Data!$D:$D,Data!U:U,"&lt;&gt;",Data!$A:$A,$A21,Data!$D:$D,$B$30)-countifs(Data!U:U,"&lt;&gt;",Data!$A:$A,$A21,Data!$D:$D,$B$30)))</f>
        <v/>
      </c>
      <c r="T21" s="12" t="str">
        <f>if(COUNTIFS(Data!V:V,"&lt;&gt;",Data!$A:$A,$A21,Data!$D:$D,$B$30)&lt;$B$31,"",(sumifs(Data!$D:$D,Data!V:V,"&lt;&gt;",Data!$A:$A,$A21,Data!$D:$D,$B$30)-sumifs(Data!V:V,Data!V:V,"&lt;&gt;",Data!$A:$A,$A21,Data!$D:$D,$B$30))/(sumifs(Data!$D:$D,Data!V:V,"&lt;&gt;",Data!$A:$A,$A21,Data!$D:$D,$B$30)-countifs(Data!V:V,"&lt;&gt;",Data!$A:$A,$A21,Data!$D:$D,$B$30)))</f>
        <v/>
      </c>
    </row>
    <row r="22">
      <c r="A22" s="1" t="s">
        <v>74</v>
      </c>
      <c r="B22" s="1">
        <f>countif(Data!A:A,"="&amp;A22)</f>
        <v>5</v>
      </c>
      <c r="C22" s="12" t="str">
        <f>if(COUNTIFS(Data!E:E,"&lt;&gt;",Data!$A:$A,$A22,Data!$D:$D,$B$30)&lt;$B$31,"",(sumifs(Data!$D:$D,Data!E:E,"&lt;&gt;",Data!$A:$A,$A22,Data!$D:$D,$B$30)-sumifs(Data!E:E,Data!E:E,"&lt;&gt;",Data!$A:$A,$A22,Data!$D:$D,$B$30))/(sumifs(Data!$D:$D,Data!E:E,"&lt;&gt;",Data!$A:$A,$A22,Data!$D:$D,$B$30)-countifs(Data!E:E,"&lt;&gt;",Data!$A:$A,$A22,Data!$D:$D,$B$30)))</f>
        <v/>
      </c>
      <c r="D22" s="12" t="str">
        <f>if(COUNTIFS(Data!F:F,"&lt;&gt;",Data!$A:$A,$A22,Data!$D:$D,$B$30)&lt;$B$31,"",(sumifs(Data!$D:$D,Data!F:F,"&lt;&gt;",Data!$A:$A,$A22,Data!$D:$D,$B$30)-sumifs(Data!F:F,Data!F:F,"&lt;&gt;",Data!$A:$A,$A22,Data!$D:$D,$B$30))/(sumifs(Data!$D:$D,Data!F:F,"&lt;&gt;",Data!$A:$A,$A22,Data!$D:$D,$B$30)-countifs(Data!F:F,"&lt;&gt;",Data!$A:$A,$A22,Data!$D:$D,$B$30)))</f>
        <v/>
      </c>
      <c r="E22" s="12" t="str">
        <f>if(COUNTIFS(Data!G:G,"&lt;&gt;",Data!$A:$A,$A22,Data!$D:$D,$B$30)&lt;$B$31,"",(sumifs(Data!$D:$D,Data!G:G,"&lt;&gt;",Data!$A:$A,$A22,Data!$D:$D,$B$30)-sumifs(Data!G:G,Data!G:G,"&lt;&gt;",Data!$A:$A,$A22,Data!$D:$D,$B$30))/(sumifs(Data!$D:$D,Data!G:G,"&lt;&gt;",Data!$A:$A,$A22,Data!$D:$D,$B$30)-countifs(Data!G:G,"&lt;&gt;",Data!$A:$A,$A22,Data!$D:$D,$B$30)))</f>
        <v/>
      </c>
      <c r="F22" s="12" t="str">
        <f>if(COUNTIFS(Data!H:H,"&lt;&gt;",Data!$A:$A,$A22,Data!$D:$D,$B$30)&lt;$B$31,"",(sumifs(Data!$D:$D,Data!H:H,"&lt;&gt;",Data!$A:$A,$A22,Data!$D:$D,$B$30)-sumifs(Data!H:H,Data!H:H,"&lt;&gt;",Data!$A:$A,$A22,Data!$D:$D,$B$30))/(sumifs(Data!$D:$D,Data!H:H,"&lt;&gt;",Data!$A:$A,$A22,Data!$D:$D,$B$30)-countifs(Data!H:H,"&lt;&gt;",Data!$A:$A,$A22,Data!$D:$D,$B$30)))</f>
        <v/>
      </c>
      <c r="G22" s="12" t="str">
        <f>if(COUNTIFS(Data!I:I,"&lt;&gt;",Data!$A:$A,$A22,Data!$D:$D,$B$30)&lt;$B$31,"",(sumifs(Data!$D:$D,Data!I:I,"&lt;&gt;",Data!$A:$A,$A22,Data!$D:$D,$B$30)-sumifs(Data!I:I,Data!I:I,"&lt;&gt;",Data!$A:$A,$A22,Data!$D:$D,$B$30))/(sumifs(Data!$D:$D,Data!I:I,"&lt;&gt;",Data!$A:$A,$A22,Data!$D:$D,$B$30)-countifs(Data!I:I,"&lt;&gt;",Data!$A:$A,$A22,Data!$D:$D,$B$30)))</f>
        <v/>
      </c>
      <c r="H22" s="12" t="str">
        <f>if(COUNTIFS(Data!J:J,"&lt;&gt;",Data!$A:$A,$A22,Data!$D:$D,$B$30)&lt;$B$31,"",(sumifs(Data!$D:$D,Data!J:J,"&lt;&gt;",Data!$A:$A,$A22,Data!$D:$D,$B$30)-sumifs(Data!J:J,Data!J:J,"&lt;&gt;",Data!$A:$A,$A22,Data!$D:$D,$B$30))/(sumifs(Data!$D:$D,Data!J:J,"&lt;&gt;",Data!$A:$A,$A22,Data!$D:$D,$B$30)-countifs(Data!J:J,"&lt;&gt;",Data!$A:$A,$A22,Data!$D:$D,$B$30)))</f>
        <v/>
      </c>
      <c r="I22" s="12" t="str">
        <f>if(COUNTIFS(Data!K:K,"&lt;&gt;",Data!$A:$A,$A22,Data!$D:$D,$B$30)&lt;$B$31,"",(sumifs(Data!$D:$D,Data!K:K,"&lt;&gt;",Data!$A:$A,$A22,Data!$D:$D,$B$30)-sumifs(Data!K:K,Data!K:K,"&lt;&gt;",Data!$A:$A,$A22,Data!$D:$D,$B$30))/(sumifs(Data!$D:$D,Data!K:K,"&lt;&gt;",Data!$A:$A,$A22,Data!$D:$D,$B$30)-countifs(Data!K:K,"&lt;&gt;",Data!$A:$A,$A22,Data!$D:$D,$B$30)))</f>
        <v/>
      </c>
      <c r="J22" s="12" t="str">
        <f>if(COUNTIFS(Data!L:L,"&lt;&gt;",Data!$A:$A,$A22,Data!$D:$D,$B$30)&lt;$B$31,"",(sumifs(Data!$D:$D,Data!L:L,"&lt;&gt;",Data!$A:$A,$A22,Data!$D:$D,$B$30)-sumifs(Data!L:L,Data!L:L,"&lt;&gt;",Data!$A:$A,$A22,Data!$D:$D,$B$30))/(sumifs(Data!$D:$D,Data!L:L,"&lt;&gt;",Data!$A:$A,$A22,Data!$D:$D,$B$30)-countifs(Data!L:L,"&lt;&gt;",Data!$A:$A,$A22,Data!$D:$D,$B$30)))</f>
        <v/>
      </c>
      <c r="K22" s="12" t="str">
        <f>if(COUNTIFS(Data!M:M,"&lt;&gt;",Data!$A:$A,$A22,Data!$D:$D,$B$30)&lt;$B$31,"",(sumifs(Data!$D:$D,Data!M:M,"&lt;&gt;",Data!$A:$A,$A22,Data!$D:$D,$B$30)-sumifs(Data!M:M,Data!M:M,"&lt;&gt;",Data!$A:$A,$A22,Data!$D:$D,$B$30))/(sumifs(Data!$D:$D,Data!M:M,"&lt;&gt;",Data!$A:$A,$A22,Data!$D:$D,$B$30)-countifs(Data!M:M,"&lt;&gt;",Data!$A:$A,$A22,Data!$D:$D,$B$30)))</f>
        <v/>
      </c>
      <c r="L22" s="12" t="str">
        <f>if(COUNTIFS(Data!N:N,"&lt;&gt;",Data!$A:$A,$A22,Data!$D:$D,$B$30)&lt;$B$31,"",(sumifs(Data!$D:$D,Data!N:N,"&lt;&gt;",Data!$A:$A,$A22,Data!$D:$D,$B$30)-sumifs(Data!N:N,Data!N:N,"&lt;&gt;",Data!$A:$A,$A22,Data!$D:$D,$B$30))/(sumifs(Data!$D:$D,Data!N:N,"&lt;&gt;",Data!$A:$A,$A22,Data!$D:$D,$B$30)-countifs(Data!N:N,"&lt;&gt;",Data!$A:$A,$A22,Data!$D:$D,$B$30)))</f>
        <v/>
      </c>
      <c r="M22" s="12" t="str">
        <f>if(COUNTIFS(Data!O:O,"&lt;&gt;",Data!$A:$A,$A22,Data!$D:$D,$B$30)&lt;$B$31,"",(sumifs(Data!$D:$D,Data!O:O,"&lt;&gt;",Data!$A:$A,$A22,Data!$D:$D,$B$30)-sumifs(Data!O:O,Data!O:O,"&lt;&gt;",Data!$A:$A,$A22,Data!$D:$D,$B$30))/(sumifs(Data!$D:$D,Data!O:O,"&lt;&gt;",Data!$A:$A,$A22,Data!$D:$D,$B$30)-countifs(Data!O:O,"&lt;&gt;",Data!$A:$A,$A22,Data!$D:$D,$B$30)))</f>
        <v/>
      </c>
      <c r="N22" s="12" t="str">
        <f>if(COUNTIFS(Data!P:P,"&lt;&gt;",Data!$A:$A,$A22,Data!$D:$D,$B$30)&lt;$B$31,"",(sumifs(Data!$D:$D,Data!P:P,"&lt;&gt;",Data!$A:$A,$A22,Data!$D:$D,$B$30)-sumifs(Data!P:P,Data!P:P,"&lt;&gt;",Data!$A:$A,$A22,Data!$D:$D,$B$30))/(sumifs(Data!$D:$D,Data!P:P,"&lt;&gt;",Data!$A:$A,$A22,Data!$D:$D,$B$30)-countifs(Data!P:P,"&lt;&gt;",Data!$A:$A,$A22,Data!$D:$D,$B$30)))</f>
        <v/>
      </c>
      <c r="O22" s="12" t="str">
        <f>if(COUNTIFS(Data!Q:Q,"&lt;&gt;",Data!$A:$A,$A22,Data!$D:$D,$B$30)&lt;$B$31,"",(sumifs(Data!$D:$D,Data!Q:Q,"&lt;&gt;",Data!$A:$A,$A22,Data!$D:$D,$B$30)-sumifs(Data!Q:Q,Data!Q:Q,"&lt;&gt;",Data!$A:$A,$A22,Data!$D:$D,$B$30))/(sumifs(Data!$D:$D,Data!Q:Q,"&lt;&gt;",Data!$A:$A,$A22,Data!$D:$D,$B$30)-countifs(Data!Q:Q,"&lt;&gt;",Data!$A:$A,$A22,Data!$D:$D,$B$30)))</f>
        <v/>
      </c>
      <c r="P22" s="12" t="str">
        <f>if(COUNTIFS(Data!R:R,"&lt;&gt;",Data!$A:$A,$A22,Data!$D:$D,$B$30)&lt;$B$31,"",(sumifs(Data!$D:$D,Data!R:R,"&lt;&gt;",Data!$A:$A,$A22,Data!$D:$D,$B$30)-sumifs(Data!R:R,Data!R:R,"&lt;&gt;",Data!$A:$A,$A22,Data!$D:$D,$B$30))/(sumifs(Data!$D:$D,Data!R:R,"&lt;&gt;",Data!$A:$A,$A22,Data!$D:$D,$B$30)-countifs(Data!R:R,"&lt;&gt;",Data!$A:$A,$A22,Data!$D:$D,$B$30)))</f>
        <v/>
      </c>
      <c r="Q22" s="12" t="str">
        <f>if(COUNTIFS(Data!S:S,"&lt;&gt;",Data!$A:$A,$A22,Data!$D:$D,$B$30)&lt;$B$31,"",(sumifs(Data!$D:$D,Data!S:S,"&lt;&gt;",Data!$A:$A,$A22,Data!$D:$D,$B$30)-sumifs(Data!S:S,Data!S:S,"&lt;&gt;",Data!$A:$A,$A22,Data!$D:$D,$B$30))/(sumifs(Data!$D:$D,Data!S:S,"&lt;&gt;",Data!$A:$A,$A22,Data!$D:$D,$B$30)-countifs(Data!S:S,"&lt;&gt;",Data!$A:$A,$A22,Data!$D:$D,$B$30)))</f>
        <v/>
      </c>
      <c r="R22" s="12" t="str">
        <f>if(COUNTIFS(Data!T:T,"&lt;&gt;",Data!$A:$A,$A22,Data!$D:$D,$B$30)&lt;$B$31,"",(sumifs(Data!$D:$D,Data!T:T,"&lt;&gt;",Data!$A:$A,$A22,Data!$D:$D,$B$30)-sumifs(Data!T:T,Data!T:T,"&lt;&gt;",Data!$A:$A,$A22,Data!$D:$D,$B$30))/(sumifs(Data!$D:$D,Data!T:T,"&lt;&gt;",Data!$A:$A,$A22,Data!$D:$D,$B$30)-countifs(Data!T:T,"&lt;&gt;",Data!$A:$A,$A22,Data!$D:$D,$B$30)))</f>
        <v/>
      </c>
      <c r="S22" s="12" t="str">
        <f>if(COUNTIFS(Data!U:U,"&lt;&gt;",Data!$A:$A,$A22,Data!$D:$D,$B$30)&lt;$B$31,"",(sumifs(Data!$D:$D,Data!U:U,"&lt;&gt;",Data!$A:$A,$A22,Data!$D:$D,$B$30)-sumifs(Data!U:U,Data!U:U,"&lt;&gt;",Data!$A:$A,$A22,Data!$D:$D,$B$30))/(sumifs(Data!$D:$D,Data!U:U,"&lt;&gt;",Data!$A:$A,$A22,Data!$D:$D,$B$30)-countifs(Data!U:U,"&lt;&gt;",Data!$A:$A,$A22,Data!$D:$D,$B$30)))</f>
        <v/>
      </c>
      <c r="T22" s="12" t="str">
        <f>if(COUNTIFS(Data!V:V,"&lt;&gt;",Data!$A:$A,$A22,Data!$D:$D,$B$30)&lt;$B$31,"",(sumifs(Data!$D:$D,Data!V:V,"&lt;&gt;",Data!$A:$A,$A22,Data!$D:$D,$B$30)-sumifs(Data!V:V,Data!V:V,"&lt;&gt;",Data!$A:$A,$A22,Data!$D:$D,$B$30))/(sumifs(Data!$D:$D,Data!V:V,"&lt;&gt;",Data!$A:$A,$A22,Data!$D:$D,$B$30)-countifs(Data!V:V,"&lt;&gt;",Data!$A:$A,$A22,Data!$D:$D,$B$30)))</f>
        <v/>
      </c>
    </row>
    <row r="23">
      <c r="A23" s="1" t="s">
        <v>80</v>
      </c>
      <c r="B23" s="1">
        <f>countif(Data!A:A,"="&amp;A23)</f>
        <v>10</v>
      </c>
      <c r="C23" s="12" t="str">
        <f>if(COUNTIFS(Data!E:E,"&lt;&gt;",Data!$A:$A,$A23,Data!$D:$D,$B$30)&lt;$B$31,"",(sumifs(Data!$D:$D,Data!E:E,"&lt;&gt;",Data!$A:$A,$A23,Data!$D:$D,$B$30)-sumifs(Data!E:E,Data!E:E,"&lt;&gt;",Data!$A:$A,$A23,Data!$D:$D,$B$30))/(sumifs(Data!$D:$D,Data!E:E,"&lt;&gt;",Data!$A:$A,$A23,Data!$D:$D,$B$30)-countifs(Data!E:E,"&lt;&gt;",Data!$A:$A,$A23,Data!$D:$D,$B$30)))</f>
        <v/>
      </c>
      <c r="D23" s="12" t="str">
        <f>if(COUNTIFS(Data!F:F,"&lt;&gt;",Data!$A:$A,$A23,Data!$D:$D,$B$30)&lt;$B$31,"",(sumifs(Data!$D:$D,Data!F:F,"&lt;&gt;",Data!$A:$A,$A23,Data!$D:$D,$B$30)-sumifs(Data!F:F,Data!F:F,"&lt;&gt;",Data!$A:$A,$A23,Data!$D:$D,$B$30))/(sumifs(Data!$D:$D,Data!F:F,"&lt;&gt;",Data!$A:$A,$A23,Data!$D:$D,$B$30)-countifs(Data!F:F,"&lt;&gt;",Data!$A:$A,$A23,Data!$D:$D,$B$30)))</f>
        <v/>
      </c>
      <c r="E23" s="12" t="str">
        <f>if(COUNTIFS(Data!G:G,"&lt;&gt;",Data!$A:$A,$A23,Data!$D:$D,$B$30)&lt;$B$31,"",(sumifs(Data!$D:$D,Data!G:G,"&lt;&gt;",Data!$A:$A,$A23,Data!$D:$D,$B$30)-sumifs(Data!G:G,Data!G:G,"&lt;&gt;",Data!$A:$A,$A23,Data!$D:$D,$B$30))/(sumifs(Data!$D:$D,Data!G:G,"&lt;&gt;",Data!$A:$A,$A23,Data!$D:$D,$B$30)-countifs(Data!G:G,"&lt;&gt;",Data!$A:$A,$A23,Data!$D:$D,$B$30)))</f>
        <v/>
      </c>
      <c r="F23" s="12" t="str">
        <f>if(COUNTIFS(Data!H:H,"&lt;&gt;",Data!$A:$A,$A23,Data!$D:$D,$B$30)&lt;$B$31,"",(sumifs(Data!$D:$D,Data!H:H,"&lt;&gt;",Data!$A:$A,$A23,Data!$D:$D,$B$30)-sumifs(Data!H:H,Data!H:H,"&lt;&gt;",Data!$A:$A,$A23,Data!$D:$D,$B$30))/(sumifs(Data!$D:$D,Data!H:H,"&lt;&gt;",Data!$A:$A,$A23,Data!$D:$D,$B$30)-countifs(Data!H:H,"&lt;&gt;",Data!$A:$A,$A23,Data!$D:$D,$B$30)))</f>
        <v/>
      </c>
      <c r="G23" s="12" t="str">
        <f>if(COUNTIFS(Data!I:I,"&lt;&gt;",Data!$A:$A,$A23,Data!$D:$D,$B$30)&lt;$B$31,"",(sumifs(Data!$D:$D,Data!I:I,"&lt;&gt;",Data!$A:$A,$A23,Data!$D:$D,$B$30)-sumifs(Data!I:I,Data!I:I,"&lt;&gt;",Data!$A:$A,$A23,Data!$D:$D,$B$30))/(sumifs(Data!$D:$D,Data!I:I,"&lt;&gt;",Data!$A:$A,$A23,Data!$D:$D,$B$30)-countifs(Data!I:I,"&lt;&gt;",Data!$A:$A,$A23,Data!$D:$D,$B$30)))</f>
        <v/>
      </c>
      <c r="H23" s="12" t="str">
        <f>if(COUNTIFS(Data!J:J,"&lt;&gt;",Data!$A:$A,$A23,Data!$D:$D,$B$30)&lt;$B$31,"",(sumifs(Data!$D:$D,Data!J:J,"&lt;&gt;",Data!$A:$A,$A23,Data!$D:$D,$B$30)-sumifs(Data!J:J,Data!J:J,"&lt;&gt;",Data!$A:$A,$A23,Data!$D:$D,$B$30))/(sumifs(Data!$D:$D,Data!J:J,"&lt;&gt;",Data!$A:$A,$A23,Data!$D:$D,$B$30)-countifs(Data!J:J,"&lt;&gt;",Data!$A:$A,$A23,Data!$D:$D,$B$30)))</f>
        <v/>
      </c>
      <c r="I23" s="12" t="str">
        <f>if(COUNTIFS(Data!K:K,"&lt;&gt;",Data!$A:$A,$A23,Data!$D:$D,$B$30)&lt;$B$31,"",(sumifs(Data!$D:$D,Data!K:K,"&lt;&gt;",Data!$A:$A,$A23,Data!$D:$D,$B$30)-sumifs(Data!K:K,Data!K:K,"&lt;&gt;",Data!$A:$A,$A23,Data!$D:$D,$B$30))/(sumifs(Data!$D:$D,Data!K:K,"&lt;&gt;",Data!$A:$A,$A23,Data!$D:$D,$B$30)-countifs(Data!K:K,"&lt;&gt;",Data!$A:$A,$A23,Data!$D:$D,$B$30)))</f>
        <v/>
      </c>
      <c r="J23" s="12" t="str">
        <f>if(COUNTIFS(Data!L:L,"&lt;&gt;",Data!$A:$A,$A23,Data!$D:$D,$B$30)&lt;$B$31,"",(sumifs(Data!$D:$D,Data!L:L,"&lt;&gt;",Data!$A:$A,$A23,Data!$D:$D,$B$30)-sumifs(Data!L:L,Data!L:L,"&lt;&gt;",Data!$A:$A,$A23,Data!$D:$D,$B$30))/(sumifs(Data!$D:$D,Data!L:L,"&lt;&gt;",Data!$A:$A,$A23,Data!$D:$D,$B$30)-countifs(Data!L:L,"&lt;&gt;",Data!$A:$A,$A23,Data!$D:$D,$B$30)))</f>
        <v/>
      </c>
      <c r="K23" s="12" t="str">
        <f>if(COUNTIFS(Data!M:M,"&lt;&gt;",Data!$A:$A,$A23,Data!$D:$D,$B$30)&lt;$B$31,"",(sumifs(Data!$D:$D,Data!M:M,"&lt;&gt;",Data!$A:$A,$A23,Data!$D:$D,$B$30)-sumifs(Data!M:M,Data!M:M,"&lt;&gt;",Data!$A:$A,$A23,Data!$D:$D,$B$30))/(sumifs(Data!$D:$D,Data!M:M,"&lt;&gt;",Data!$A:$A,$A23,Data!$D:$D,$B$30)-countifs(Data!M:M,"&lt;&gt;",Data!$A:$A,$A23,Data!$D:$D,$B$30)))</f>
        <v/>
      </c>
      <c r="L23" s="12" t="str">
        <f>if(COUNTIFS(Data!N:N,"&lt;&gt;",Data!$A:$A,$A23,Data!$D:$D,$B$30)&lt;$B$31,"",(sumifs(Data!$D:$D,Data!N:N,"&lt;&gt;",Data!$A:$A,$A23,Data!$D:$D,$B$30)-sumifs(Data!N:N,Data!N:N,"&lt;&gt;",Data!$A:$A,$A23,Data!$D:$D,$B$30))/(sumifs(Data!$D:$D,Data!N:N,"&lt;&gt;",Data!$A:$A,$A23,Data!$D:$D,$B$30)-countifs(Data!N:N,"&lt;&gt;",Data!$A:$A,$A23,Data!$D:$D,$B$30)))</f>
        <v/>
      </c>
      <c r="M23" s="12" t="str">
        <f>if(COUNTIFS(Data!O:O,"&lt;&gt;",Data!$A:$A,$A23,Data!$D:$D,$B$30)&lt;$B$31,"",(sumifs(Data!$D:$D,Data!O:O,"&lt;&gt;",Data!$A:$A,$A23,Data!$D:$D,$B$30)-sumifs(Data!O:O,Data!O:O,"&lt;&gt;",Data!$A:$A,$A23,Data!$D:$D,$B$30))/(sumifs(Data!$D:$D,Data!O:O,"&lt;&gt;",Data!$A:$A,$A23,Data!$D:$D,$B$30)-countifs(Data!O:O,"&lt;&gt;",Data!$A:$A,$A23,Data!$D:$D,$B$30)))</f>
        <v/>
      </c>
      <c r="N23" s="12" t="str">
        <f>if(COUNTIFS(Data!P:P,"&lt;&gt;",Data!$A:$A,$A23,Data!$D:$D,$B$30)&lt;$B$31,"",(sumifs(Data!$D:$D,Data!P:P,"&lt;&gt;",Data!$A:$A,$A23,Data!$D:$D,$B$30)-sumifs(Data!P:P,Data!P:P,"&lt;&gt;",Data!$A:$A,$A23,Data!$D:$D,$B$30))/(sumifs(Data!$D:$D,Data!P:P,"&lt;&gt;",Data!$A:$A,$A23,Data!$D:$D,$B$30)-countifs(Data!P:P,"&lt;&gt;",Data!$A:$A,$A23,Data!$D:$D,$B$30)))</f>
        <v/>
      </c>
      <c r="O23" s="12" t="str">
        <f>if(COUNTIFS(Data!Q:Q,"&lt;&gt;",Data!$A:$A,$A23,Data!$D:$D,$B$30)&lt;$B$31,"",(sumifs(Data!$D:$D,Data!Q:Q,"&lt;&gt;",Data!$A:$A,$A23,Data!$D:$D,$B$30)-sumifs(Data!Q:Q,Data!Q:Q,"&lt;&gt;",Data!$A:$A,$A23,Data!$D:$D,$B$30))/(sumifs(Data!$D:$D,Data!Q:Q,"&lt;&gt;",Data!$A:$A,$A23,Data!$D:$D,$B$30)-countifs(Data!Q:Q,"&lt;&gt;",Data!$A:$A,$A23,Data!$D:$D,$B$30)))</f>
        <v/>
      </c>
      <c r="P23" s="12" t="str">
        <f>if(COUNTIFS(Data!R:R,"&lt;&gt;",Data!$A:$A,$A23,Data!$D:$D,$B$30)&lt;$B$31,"",(sumifs(Data!$D:$D,Data!R:R,"&lt;&gt;",Data!$A:$A,$A23,Data!$D:$D,$B$30)-sumifs(Data!R:R,Data!R:R,"&lt;&gt;",Data!$A:$A,$A23,Data!$D:$D,$B$30))/(sumifs(Data!$D:$D,Data!R:R,"&lt;&gt;",Data!$A:$A,$A23,Data!$D:$D,$B$30)-countifs(Data!R:R,"&lt;&gt;",Data!$A:$A,$A23,Data!$D:$D,$B$30)))</f>
        <v/>
      </c>
      <c r="Q23" s="12" t="str">
        <f>if(COUNTIFS(Data!S:S,"&lt;&gt;",Data!$A:$A,$A23,Data!$D:$D,$B$30)&lt;$B$31,"",(sumifs(Data!$D:$D,Data!S:S,"&lt;&gt;",Data!$A:$A,$A23,Data!$D:$D,$B$30)-sumifs(Data!S:S,Data!S:S,"&lt;&gt;",Data!$A:$A,$A23,Data!$D:$D,$B$30))/(sumifs(Data!$D:$D,Data!S:S,"&lt;&gt;",Data!$A:$A,$A23,Data!$D:$D,$B$30)-countifs(Data!S:S,"&lt;&gt;",Data!$A:$A,$A23,Data!$D:$D,$B$30)))</f>
        <v/>
      </c>
      <c r="R23" s="12" t="str">
        <f>if(COUNTIFS(Data!T:T,"&lt;&gt;",Data!$A:$A,$A23,Data!$D:$D,$B$30)&lt;$B$31,"",(sumifs(Data!$D:$D,Data!T:T,"&lt;&gt;",Data!$A:$A,$A23,Data!$D:$D,$B$30)-sumifs(Data!T:T,Data!T:T,"&lt;&gt;",Data!$A:$A,$A23,Data!$D:$D,$B$30))/(sumifs(Data!$D:$D,Data!T:T,"&lt;&gt;",Data!$A:$A,$A23,Data!$D:$D,$B$30)-countifs(Data!T:T,"&lt;&gt;",Data!$A:$A,$A23,Data!$D:$D,$B$30)))</f>
        <v/>
      </c>
      <c r="S23" s="12" t="str">
        <f>if(COUNTIFS(Data!U:U,"&lt;&gt;",Data!$A:$A,$A23,Data!$D:$D,$B$30)&lt;$B$31,"",(sumifs(Data!$D:$D,Data!U:U,"&lt;&gt;",Data!$A:$A,$A23,Data!$D:$D,$B$30)-sumifs(Data!U:U,Data!U:U,"&lt;&gt;",Data!$A:$A,$A23,Data!$D:$D,$B$30))/(sumifs(Data!$D:$D,Data!U:U,"&lt;&gt;",Data!$A:$A,$A23,Data!$D:$D,$B$30)-countifs(Data!U:U,"&lt;&gt;",Data!$A:$A,$A23,Data!$D:$D,$B$30)))</f>
        <v/>
      </c>
      <c r="T23" s="12" t="str">
        <f>if(COUNTIFS(Data!V:V,"&lt;&gt;",Data!$A:$A,$A23,Data!$D:$D,$B$30)&lt;$B$31,"",(sumifs(Data!$D:$D,Data!V:V,"&lt;&gt;",Data!$A:$A,$A23,Data!$D:$D,$B$30)-sumifs(Data!V:V,Data!V:V,"&lt;&gt;",Data!$A:$A,$A23,Data!$D:$D,$B$30))/(sumifs(Data!$D:$D,Data!V:V,"&lt;&gt;",Data!$A:$A,$A23,Data!$D:$D,$B$30)-countifs(Data!V:V,"&lt;&gt;",Data!$A:$A,$A23,Data!$D:$D,$B$30)))</f>
        <v/>
      </c>
    </row>
    <row r="24">
      <c r="A24" s="1" t="s">
        <v>79</v>
      </c>
      <c r="B24" s="1">
        <f>countif(Data!A:A,"="&amp;A24)</f>
        <v>3</v>
      </c>
      <c r="C24" s="12" t="str">
        <f>if(COUNTIFS(Data!E:E,"&lt;&gt;",Data!$A:$A,$A24,Data!$D:$D,$B$30)&lt;$B$31,"",(sumifs(Data!$D:$D,Data!E:E,"&lt;&gt;",Data!$A:$A,$A24,Data!$D:$D,$B$30)-sumifs(Data!E:E,Data!E:E,"&lt;&gt;",Data!$A:$A,$A24,Data!$D:$D,$B$30))/(sumifs(Data!$D:$D,Data!E:E,"&lt;&gt;",Data!$A:$A,$A24,Data!$D:$D,$B$30)-countifs(Data!E:E,"&lt;&gt;",Data!$A:$A,$A24,Data!$D:$D,$B$30)))</f>
        <v/>
      </c>
      <c r="D24" s="12" t="str">
        <f>if(COUNTIFS(Data!F:F,"&lt;&gt;",Data!$A:$A,$A24,Data!$D:$D,$B$30)&lt;$B$31,"",(sumifs(Data!$D:$D,Data!F:F,"&lt;&gt;",Data!$A:$A,$A24,Data!$D:$D,$B$30)-sumifs(Data!F:F,Data!F:F,"&lt;&gt;",Data!$A:$A,$A24,Data!$D:$D,$B$30))/(sumifs(Data!$D:$D,Data!F:F,"&lt;&gt;",Data!$A:$A,$A24,Data!$D:$D,$B$30)-countifs(Data!F:F,"&lt;&gt;",Data!$A:$A,$A24,Data!$D:$D,$B$30)))</f>
        <v/>
      </c>
      <c r="E24" s="12" t="str">
        <f>if(COUNTIFS(Data!G:G,"&lt;&gt;",Data!$A:$A,$A24,Data!$D:$D,$B$30)&lt;$B$31,"",(sumifs(Data!$D:$D,Data!G:G,"&lt;&gt;",Data!$A:$A,$A24,Data!$D:$D,$B$30)-sumifs(Data!G:G,Data!G:G,"&lt;&gt;",Data!$A:$A,$A24,Data!$D:$D,$B$30))/(sumifs(Data!$D:$D,Data!G:G,"&lt;&gt;",Data!$A:$A,$A24,Data!$D:$D,$B$30)-countifs(Data!G:G,"&lt;&gt;",Data!$A:$A,$A24,Data!$D:$D,$B$30)))</f>
        <v/>
      </c>
      <c r="F24" s="12" t="str">
        <f>if(COUNTIFS(Data!H:H,"&lt;&gt;",Data!$A:$A,$A24,Data!$D:$D,$B$30)&lt;$B$31,"",(sumifs(Data!$D:$D,Data!H:H,"&lt;&gt;",Data!$A:$A,$A24,Data!$D:$D,$B$30)-sumifs(Data!H:H,Data!H:H,"&lt;&gt;",Data!$A:$A,$A24,Data!$D:$D,$B$30))/(sumifs(Data!$D:$D,Data!H:H,"&lt;&gt;",Data!$A:$A,$A24,Data!$D:$D,$B$30)-countifs(Data!H:H,"&lt;&gt;",Data!$A:$A,$A24,Data!$D:$D,$B$30)))</f>
        <v/>
      </c>
      <c r="G24" s="12" t="str">
        <f>if(COUNTIFS(Data!I:I,"&lt;&gt;",Data!$A:$A,$A24,Data!$D:$D,$B$30)&lt;$B$31,"",(sumifs(Data!$D:$D,Data!I:I,"&lt;&gt;",Data!$A:$A,$A24,Data!$D:$D,$B$30)-sumifs(Data!I:I,Data!I:I,"&lt;&gt;",Data!$A:$A,$A24,Data!$D:$D,$B$30))/(sumifs(Data!$D:$D,Data!I:I,"&lt;&gt;",Data!$A:$A,$A24,Data!$D:$D,$B$30)-countifs(Data!I:I,"&lt;&gt;",Data!$A:$A,$A24,Data!$D:$D,$B$30)))</f>
        <v/>
      </c>
      <c r="H24" s="12" t="str">
        <f>if(COUNTIFS(Data!J:J,"&lt;&gt;",Data!$A:$A,$A24,Data!$D:$D,$B$30)&lt;$B$31,"",(sumifs(Data!$D:$D,Data!J:J,"&lt;&gt;",Data!$A:$A,$A24,Data!$D:$D,$B$30)-sumifs(Data!J:J,Data!J:J,"&lt;&gt;",Data!$A:$A,$A24,Data!$D:$D,$B$30))/(sumifs(Data!$D:$D,Data!J:J,"&lt;&gt;",Data!$A:$A,$A24,Data!$D:$D,$B$30)-countifs(Data!J:J,"&lt;&gt;",Data!$A:$A,$A24,Data!$D:$D,$B$30)))</f>
        <v/>
      </c>
      <c r="I24" s="12" t="str">
        <f>if(COUNTIFS(Data!K:K,"&lt;&gt;",Data!$A:$A,$A24,Data!$D:$D,$B$30)&lt;$B$31,"",(sumifs(Data!$D:$D,Data!K:K,"&lt;&gt;",Data!$A:$A,$A24,Data!$D:$D,$B$30)-sumifs(Data!K:K,Data!K:K,"&lt;&gt;",Data!$A:$A,$A24,Data!$D:$D,$B$30))/(sumifs(Data!$D:$D,Data!K:K,"&lt;&gt;",Data!$A:$A,$A24,Data!$D:$D,$B$30)-countifs(Data!K:K,"&lt;&gt;",Data!$A:$A,$A24,Data!$D:$D,$B$30)))</f>
        <v/>
      </c>
      <c r="J24" s="12" t="str">
        <f>if(COUNTIFS(Data!L:L,"&lt;&gt;",Data!$A:$A,$A24,Data!$D:$D,$B$30)&lt;$B$31,"",(sumifs(Data!$D:$D,Data!L:L,"&lt;&gt;",Data!$A:$A,$A24,Data!$D:$D,$B$30)-sumifs(Data!L:L,Data!L:L,"&lt;&gt;",Data!$A:$A,$A24,Data!$D:$D,$B$30))/(sumifs(Data!$D:$D,Data!L:L,"&lt;&gt;",Data!$A:$A,$A24,Data!$D:$D,$B$30)-countifs(Data!L:L,"&lt;&gt;",Data!$A:$A,$A24,Data!$D:$D,$B$30)))</f>
        <v/>
      </c>
      <c r="K24" s="12" t="str">
        <f>if(COUNTIFS(Data!M:M,"&lt;&gt;",Data!$A:$A,$A24,Data!$D:$D,$B$30)&lt;$B$31,"",(sumifs(Data!$D:$D,Data!M:M,"&lt;&gt;",Data!$A:$A,$A24,Data!$D:$D,$B$30)-sumifs(Data!M:M,Data!M:M,"&lt;&gt;",Data!$A:$A,$A24,Data!$D:$D,$B$30))/(sumifs(Data!$D:$D,Data!M:M,"&lt;&gt;",Data!$A:$A,$A24,Data!$D:$D,$B$30)-countifs(Data!M:M,"&lt;&gt;",Data!$A:$A,$A24,Data!$D:$D,$B$30)))</f>
        <v/>
      </c>
      <c r="L24" s="12" t="str">
        <f>if(COUNTIFS(Data!N:N,"&lt;&gt;",Data!$A:$A,$A24,Data!$D:$D,$B$30)&lt;$B$31,"",(sumifs(Data!$D:$D,Data!N:N,"&lt;&gt;",Data!$A:$A,$A24,Data!$D:$D,$B$30)-sumifs(Data!N:N,Data!N:N,"&lt;&gt;",Data!$A:$A,$A24,Data!$D:$D,$B$30))/(sumifs(Data!$D:$D,Data!N:N,"&lt;&gt;",Data!$A:$A,$A24,Data!$D:$D,$B$30)-countifs(Data!N:N,"&lt;&gt;",Data!$A:$A,$A24,Data!$D:$D,$B$30)))</f>
        <v/>
      </c>
      <c r="M24" s="12" t="str">
        <f>if(COUNTIFS(Data!O:O,"&lt;&gt;",Data!$A:$A,$A24,Data!$D:$D,$B$30)&lt;$B$31,"",(sumifs(Data!$D:$D,Data!O:O,"&lt;&gt;",Data!$A:$A,$A24,Data!$D:$D,$B$30)-sumifs(Data!O:O,Data!O:O,"&lt;&gt;",Data!$A:$A,$A24,Data!$D:$D,$B$30))/(sumifs(Data!$D:$D,Data!O:O,"&lt;&gt;",Data!$A:$A,$A24,Data!$D:$D,$B$30)-countifs(Data!O:O,"&lt;&gt;",Data!$A:$A,$A24,Data!$D:$D,$B$30)))</f>
        <v/>
      </c>
      <c r="N24" s="12" t="str">
        <f>if(COUNTIFS(Data!P:P,"&lt;&gt;",Data!$A:$A,$A24,Data!$D:$D,$B$30)&lt;$B$31,"",(sumifs(Data!$D:$D,Data!P:P,"&lt;&gt;",Data!$A:$A,$A24,Data!$D:$D,$B$30)-sumifs(Data!P:P,Data!P:P,"&lt;&gt;",Data!$A:$A,$A24,Data!$D:$D,$B$30))/(sumifs(Data!$D:$D,Data!P:P,"&lt;&gt;",Data!$A:$A,$A24,Data!$D:$D,$B$30)-countifs(Data!P:P,"&lt;&gt;",Data!$A:$A,$A24,Data!$D:$D,$B$30)))</f>
        <v/>
      </c>
      <c r="O24" s="12" t="str">
        <f>if(COUNTIFS(Data!Q:Q,"&lt;&gt;",Data!$A:$A,$A24,Data!$D:$D,$B$30)&lt;$B$31,"",(sumifs(Data!$D:$D,Data!Q:Q,"&lt;&gt;",Data!$A:$A,$A24,Data!$D:$D,$B$30)-sumifs(Data!Q:Q,Data!Q:Q,"&lt;&gt;",Data!$A:$A,$A24,Data!$D:$D,$B$30))/(sumifs(Data!$D:$D,Data!Q:Q,"&lt;&gt;",Data!$A:$A,$A24,Data!$D:$D,$B$30)-countifs(Data!Q:Q,"&lt;&gt;",Data!$A:$A,$A24,Data!$D:$D,$B$30)))</f>
        <v/>
      </c>
      <c r="P24" s="12" t="str">
        <f>if(COUNTIFS(Data!R:R,"&lt;&gt;",Data!$A:$A,$A24,Data!$D:$D,$B$30)&lt;$B$31,"",(sumifs(Data!$D:$D,Data!R:R,"&lt;&gt;",Data!$A:$A,$A24,Data!$D:$D,$B$30)-sumifs(Data!R:R,Data!R:R,"&lt;&gt;",Data!$A:$A,$A24,Data!$D:$D,$B$30))/(sumifs(Data!$D:$D,Data!R:R,"&lt;&gt;",Data!$A:$A,$A24,Data!$D:$D,$B$30)-countifs(Data!R:R,"&lt;&gt;",Data!$A:$A,$A24,Data!$D:$D,$B$30)))</f>
        <v/>
      </c>
      <c r="Q24" s="12" t="str">
        <f>if(COUNTIFS(Data!S:S,"&lt;&gt;",Data!$A:$A,$A24,Data!$D:$D,$B$30)&lt;$B$31,"",(sumifs(Data!$D:$D,Data!S:S,"&lt;&gt;",Data!$A:$A,$A24,Data!$D:$D,$B$30)-sumifs(Data!S:S,Data!S:S,"&lt;&gt;",Data!$A:$A,$A24,Data!$D:$D,$B$30))/(sumifs(Data!$D:$D,Data!S:S,"&lt;&gt;",Data!$A:$A,$A24,Data!$D:$D,$B$30)-countifs(Data!S:S,"&lt;&gt;",Data!$A:$A,$A24,Data!$D:$D,$B$30)))</f>
        <v/>
      </c>
      <c r="R24" s="12" t="str">
        <f>if(COUNTIFS(Data!T:T,"&lt;&gt;",Data!$A:$A,$A24,Data!$D:$D,$B$30)&lt;$B$31,"",(sumifs(Data!$D:$D,Data!T:T,"&lt;&gt;",Data!$A:$A,$A24,Data!$D:$D,$B$30)-sumifs(Data!T:T,Data!T:T,"&lt;&gt;",Data!$A:$A,$A24,Data!$D:$D,$B$30))/(sumifs(Data!$D:$D,Data!T:T,"&lt;&gt;",Data!$A:$A,$A24,Data!$D:$D,$B$30)-countifs(Data!T:T,"&lt;&gt;",Data!$A:$A,$A24,Data!$D:$D,$B$30)))</f>
        <v/>
      </c>
      <c r="S24" s="12" t="str">
        <f>if(COUNTIFS(Data!U:U,"&lt;&gt;",Data!$A:$A,$A24,Data!$D:$D,$B$30)&lt;$B$31,"",(sumifs(Data!$D:$D,Data!U:U,"&lt;&gt;",Data!$A:$A,$A24,Data!$D:$D,$B$30)-sumifs(Data!U:U,Data!U:U,"&lt;&gt;",Data!$A:$A,$A24,Data!$D:$D,$B$30))/(sumifs(Data!$D:$D,Data!U:U,"&lt;&gt;",Data!$A:$A,$A24,Data!$D:$D,$B$30)-countifs(Data!U:U,"&lt;&gt;",Data!$A:$A,$A24,Data!$D:$D,$B$30)))</f>
        <v/>
      </c>
      <c r="T24" s="12" t="str">
        <f>if(COUNTIFS(Data!V:V,"&lt;&gt;",Data!$A:$A,$A24,Data!$D:$D,$B$30)&lt;$B$31,"",(sumifs(Data!$D:$D,Data!V:V,"&lt;&gt;",Data!$A:$A,$A24,Data!$D:$D,$B$30)-sumifs(Data!V:V,Data!V:V,"&lt;&gt;",Data!$A:$A,$A24,Data!$D:$D,$B$30))/(sumifs(Data!$D:$D,Data!V:V,"&lt;&gt;",Data!$A:$A,$A24,Data!$D:$D,$B$30)-countifs(Data!V:V,"&lt;&gt;",Data!$A:$A,$A24,Data!$D:$D,$B$30)))</f>
        <v/>
      </c>
    </row>
    <row r="25">
      <c r="C25">
        <f>AVERAGE(Data!E:E)</f>
        <v>2.10708402</v>
      </c>
      <c r="D25">
        <f>AVERAGE(Data!F:F)</f>
        <v>1.97993311</v>
      </c>
      <c r="E25">
        <f>AVERAGE(Data!G:G)</f>
        <v>2.097791798</v>
      </c>
      <c r="F25">
        <f>AVERAGE(Data!H:H)</f>
        <v>2.22614841</v>
      </c>
      <c r="G25">
        <f>AVERAGE(Data!I:I)</f>
        <v>2.833333333</v>
      </c>
      <c r="H25">
        <f>AVERAGE(Data!J:J)</f>
        <v>3</v>
      </c>
      <c r="I25">
        <f>AVERAGE(Data!K:K)</f>
        <v>2.37037037</v>
      </c>
      <c r="J25">
        <f>AVERAGE(Data!L:L)</f>
        <v>2.888888889</v>
      </c>
      <c r="K25">
        <f>AVERAGE(Data!M:M)</f>
        <v>2.333333333</v>
      </c>
      <c r="L25">
        <f>AVERAGE(Data!N:N)</f>
        <v>3.25</v>
      </c>
      <c r="M25">
        <f>AVERAGE(Data!O:O)</f>
        <v>4</v>
      </c>
      <c r="N25">
        <f>AVERAGE(Data!P:P)</f>
        <v>1</v>
      </c>
      <c r="O25">
        <f>AVERAGE(Data!Q:Q)</f>
        <v>2</v>
      </c>
      <c r="P25">
        <f>AVERAGE(Data!R:R)</f>
        <v>2.666666667</v>
      </c>
      <c r="Q25">
        <f>AVERAGE(Data!S:S)</f>
        <v>3.666666667</v>
      </c>
      <c r="R25">
        <f>AVERAGE(Data!T:T)</f>
        <v>4</v>
      </c>
      <c r="S25">
        <f>AVERAGE(Data!U:U)</f>
        <v>2</v>
      </c>
      <c r="T25">
        <f>AVERAGE(Data!V:V)</f>
        <v>2.76</v>
      </c>
    </row>
    <row r="27">
      <c r="A27" s="14" t="s">
        <v>108</v>
      </c>
      <c r="C27" s="15">
        <f>if(COUNTIFS(Data!E:E,"&lt;&gt;",Data!$D:$D,$B$30)&lt;$B$31,"",(sumifs(Data!$D:$D,Data!E:E,"&lt;&gt;",Data!$D:$D,$B$30)-sumifs(Data!E:E,Data!E:E,"&lt;&gt;",Data!$D:$D,$B$30))/(sumifs(Data!$D:$D,Data!E:E,"&lt;&gt;",Data!$D:$D,$B$30)-countifs(Data!E:E,"&lt;&gt;",Data!$D:$D,$B$30)))</f>
        <v>0.4835390947</v>
      </c>
      <c r="D27" s="15">
        <f>if(COUNTIFS(Data!F:F,"&lt;&gt;",Data!$D:$D,$B$30)&lt;$B$31,"",(sumifs(Data!$D:$D,Data!F:F,"&lt;&gt;",Data!$D:$D,$B$30)-sumifs(Data!F:F,Data!F:F,"&lt;&gt;",Data!$D:$D,$B$30))/(sumifs(Data!$D:$D,Data!F:F,"&lt;&gt;",Data!$D:$D,$B$30)-countifs(Data!F:F,"&lt;&gt;",Data!$D:$D,$B$30)))</f>
        <v>0.5428870293</v>
      </c>
      <c r="E27" s="15">
        <f>if(COUNTIFS(Data!G:G,"&lt;&gt;",Data!$D:$D,$B$30)&lt;$B$31,"",(sumifs(Data!$D:$D,Data!G:G,"&lt;&gt;",Data!$D:$D,$B$30)-sumifs(Data!G:G,Data!G:G,"&lt;&gt;",Data!$D:$D,$B$30))/(sumifs(Data!$D:$D,Data!G:G,"&lt;&gt;",Data!$D:$D,$B$30)-countifs(Data!G:G,"&lt;&gt;",Data!$D:$D,$B$30)))</f>
        <v>0.498015873</v>
      </c>
      <c r="F27" s="15">
        <f>if(COUNTIFS(Data!H:H,"&lt;&gt;",Data!$D:$D,$B$30)&lt;$B$31,"",(sumifs(Data!$D:$D,Data!H:H,"&lt;&gt;",Data!$D:$D,$B$30)-sumifs(Data!H:H,Data!H:H,"&lt;&gt;",Data!$D:$D,$B$30))/(sumifs(Data!$D:$D,Data!H:H,"&lt;&gt;",Data!$D:$D,$B$30)-countifs(Data!H:H,"&lt;&gt;",Data!$D:$D,$B$30)))</f>
        <v>0.4674418605</v>
      </c>
      <c r="G27" s="15" t="str">
        <f>if(COUNTIFS(Data!I:I,"&lt;&gt;",Data!$D:$D,$B$30)&lt;$B$31,"",(sumifs(Data!$D:$D,Data!I:I,"&lt;&gt;",Data!$D:$D,$B$30)-sumifs(Data!I:I,Data!I:I,"&lt;&gt;",Data!$D:$D,$B$30))/(sumifs(Data!$D:$D,Data!I:I,"&lt;&gt;",Data!$D:$D,$B$30)-countifs(Data!I:I,"&lt;&gt;",Data!$D:$D,$B$30)))</f>
        <v/>
      </c>
      <c r="H27" s="15" t="str">
        <f>if(COUNTIFS(Data!J:J,"&lt;&gt;",Data!$D:$D,$B$30)&lt;$B$31,"",(sumifs(Data!$D:$D,Data!J:J,"&lt;&gt;",Data!$D:$D,$B$30)-sumifs(Data!J:J,Data!J:J,"&lt;&gt;",Data!$D:$D,$B$30))/(sumifs(Data!$D:$D,Data!J:J,"&lt;&gt;",Data!$D:$D,$B$30)-countifs(Data!J:J,"&lt;&gt;",Data!$D:$D,$B$30)))</f>
        <v/>
      </c>
      <c r="I27" s="15">
        <f>if(COUNTIFS(Data!K:K,"&lt;&gt;",Data!$D:$D,$B$30)&lt;$B$31,"",(sumifs(Data!$D:$D,Data!K:K,"&lt;&gt;",Data!$D:$D,$B$30)-sumifs(Data!K:K,Data!K:K,"&lt;&gt;",Data!$D:$D,$B$30))/(sumifs(Data!$D:$D,Data!K:K,"&lt;&gt;",Data!$D:$D,$B$30)-countifs(Data!K:K,"&lt;&gt;",Data!$D:$D,$B$30)))</f>
        <v>0.35</v>
      </c>
      <c r="J27" s="15" t="str">
        <f>if(COUNTIFS(Data!L:L,"&lt;&gt;",Data!$D:$D,$B$30)&lt;$B$31,"",(sumifs(Data!$D:$D,Data!L:L,"&lt;&gt;",Data!$D:$D,$B$30)-sumifs(Data!L:L,Data!L:L,"&lt;&gt;",Data!$D:$D,$B$30))/(sumifs(Data!$D:$D,Data!L:L,"&lt;&gt;",Data!$D:$D,$B$30)-countifs(Data!L:L,"&lt;&gt;",Data!$D:$D,$B$30)))</f>
        <v/>
      </c>
      <c r="K27" s="15" t="str">
        <f>if(COUNTIFS(Data!M:M,"&lt;&gt;",Data!$D:$D,$B$30)&lt;$B$31,"",(sumifs(Data!$D:$D,Data!M:M,"&lt;&gt;",Data!$D:$D,$B$30)-sumifs(Data!M:M,Data!M:M,"&lt;&gt;",Data!$D:$D,$B$30))/(sumifs(Data!$D:$D,Data!M:M,"&lt;&gt;",Data!$D:$D,$B$30)-countifs(Data!M:M,"&lt;&gt;",Data!$D:$D,$B$30)))</f>
        <v/>
      </c>
      <c r="L27" s="15" t="str">
        <f>if(COUNTIFS(Data!N:N,"&lt;&gt;",Data!$D:$D,$B$30)&lt;$B$31,"",(sumifs(Data!$D:$D,Data!N:N,"&lt;&gt;",Data!$D:$D,$B$30)-sumifs(Data!N:N,Data!N:N,"&lt;&gt;",Data!$D:$D,$B$30))/(sumifs(Data!$D:$D,Data!N:N,"&lt;&gt;",Data!$D:$D,$B$30)-countifs(Data!N:N,"&lt;&gt;",Data!$D:$D,$B$30)))</f>
        <v/>
      </c>
      <c r="M27" s="15" t="str">
        <f>if(COUNTIFS(Data!O:O,"&lt;&gt;",Data!$D:$D,$B$30)&lt;$B$31,"",(sumifs(Data!$D:$D,Data!O:O,"&lt;&gt;",Data!$D:$D,$B$30)-sumifs(Data!O:O,Data!O:O,"&lt;&gt;",Data!$D:$D,$B$30))/(sumifs(Data!$D:$D,Data!O:O,"&lt;&gt;",Data!$D:$D,$B$30)-countifs(Data!O:O,"&lt;&gt;",Data!$D:$D,$B$30)))</f>
        <v/>
      </c>
      <c r="N27" s="15" t="str">
        <f>if(COUNTIFS(Data!P:P,"&lt;&gt;",Data!$D:$D,$B$30)&lt;$B$31,"",(sumifs(Data!$D:$D,Data!P:P,"&lt;&gt;",Data!$D:$D,$B$30)-sumifs(Data!P:P,Data!P:P,"&lt;&gt;",Data!$D:$D,$B$30))/(sumifs(Data!$D:$D,Data!P:P,"&lt;&gt;",Data!$D:$D,$B$30)-countifs(Data!P:P,"&lt;&gt;",Data!$D:$D,$B$30)))</f>
        <v/>
      </c>
      <c r="O27" s="15" t="str">
        <f>if(COUNTIFS(Data!Q:Q,"&lt;&gt;",Data!$D:$D,$B$30)&lt;$B$31,"",(sumifs(Data!$D:$D,Data!Q:Q,"&lt;&gt;",Data!$D:$D,$B$30)-sumifs(Data!Q:Q,Data!Q:Q,"&lt;&gt;",Data!$D:$D,$B$30))/(sumifs(Data!$D:$D,Data!Q:Q,"&lt;&gt;",Data!$D:$D,$B$30)-countifs(Data!Q:Q,"&lt;&gt;",Data!$D:$D,$B$30)))</f>
        <v/>
      </c>
      <c r="P27" s="15" t="str">
        <f>if(COUNTIFS(Data!R:R,"&lt;&gt;",Data!$D:$D,$B$30)&lt;$B$31,"",(sumifs(Data!$D:$D,Data!R:R,"&lt;&gt;",Data!$D:$D,$B$30)-sumifs(Data!R:R,Data!R:R,"&lt;&gt;",Data!$D:$D,$B$30))/(sumifs(Data!$D:$D,Data!R:R,"&lt;&gt;",Data!$D:$D,$B$30)-countifs(Data!R:R,"&lt;&gt;",Data!$D:$D,$B$30)))</f>
        <v/>
      </c>
      <c r="Q27" s="15" t="str">
        <f>if(COUNTIFS(Data!S:S,"&lt;&gt;",Data!$D:$D,$B$30)&lt;$B$31,"",(sumifs(Data!$D:$D,Data!S:S,"&lt;&gt;",Data!$D:$D,$B$30)-sumifs(Data!S:S,Data!S:S,"&lt;&gt;",Data!$D:$D,$B$30))/(sumifs(Data!$D:$D,Data!S:S,"&lt;&gt;",Data!$D:$D,$B$30)-countifs(Data!S:S,"&lt;&gt;",Data!$D:$D,$B$30)))</f>
        <v/>
      </c>
      <c r="R27" s="15" t="str">
        <f>if(COUNTIFS(Data!T:T,"&lt;&gt;",Data!$D:$D,$B$30)&lt;$B$31,"",(sumifs(Data!$D:$D,Data!T:T,"&lt;&gt;",Data!$D:$D,$B$30)-sumifs(Data!T:T,Data!T:T,"&lt;&gt;",Data!$D:$D,$B$30))/(sumifs(Data!$D:$D,Data!T:T,"&lt;&gt;",Data!$D:$D,$B$30)-countifs(Data!T:T,"&lt;&gt;",Data!$D:$D,$B$30)))</f>
        <v/>
      </c>
      <c r="S27" s="15" t="str">
        <f>if(COUNTIFS(Data!U:U,"&lt;&gt;",Data!$D:$D,$B$30)&lt;$B$31,"",(sumifs(Data!$D:$D,Data!U:U,"&lt;&gt;",Data!$D:$D,$B$30)-sumifs(Data!U:U,Data!U:U,"&lt;&gt;",Data!$D:$D,$B$30))/(sumifs(Data!$D:$D,Data!U:U,"&lt;&gt;",Data!$D:$D,$B$30)-countifs(Data!U:U,"&lt;&gt;",Data!$D:$D,$B$30)))</f>
        <v/>
      </c>
      <c r="T27" s="15" t="str">
        <f>if(COUNTIFS(Data!V:V,"&lt;&gt;",Data!$D:$D,$B$30)&lt;$B$31,"",(sumifs(Data!$D:$D,Data!V:V,"&lt;&gt;",Data!$D:$D,$B$30)-sumifs(Data!V:V,Data!V:V,"&lt;&gt;",Data!$D:$D,$B$30))/(sumifs(Data!$D:$D,Data!V:V,"&lt;&gt;",Data!$D:$D,$B$30)-countifs(Data!V:V,"&lt;&gt;",Data!$D:$D,$B$30)))</f>
        <v/>
      </c>
      <c r="U27" s="16"/>
      <c r="V27" s="16"/>
      <c r="W27" s="16"/>
      <c r="X27" s="16"/>
      <c r="Y27" s="16"/>
      <c r="Z27" s="16"/>
    </row>
    <row r="28">
      <c r="A28" s="11" t="s">
        <v>106</v>
      </c>
      <c r="C28" s="12">
        <f>(sumifs(Data!$D:$D,Data!E:E,"&lt;&gt;")-SUMIFS(Data!E:E,Data!E:E,"&lt;&gt;"))/(SUMIFS(Data!$D:$D,Data!E:E,"&lt;&gt;")-COUNTIFS(Data!E:E,"&gt;0"))</f>
        <v>0.4977578475</v>
      </c>
      <c r="D28" s="12">
        <f>(sumifs(Data!$D:$D,Data!F:F,"&lt;&gt;")-SUMIFS(Data!F:F,Data!F:F,"&lt;&gt;"))/(SUMIFS(Data!$D:$D,Data!F:F,"&lt;&gt;")-COUNTIFS(Data!F:F,"&gt;0"))</f>
        <v>0.5557240334</v>
      </c>
      <c r="E28" s="12">
        <f>(sumifs(Data!$D:$D,Data!G:G,"&lt;&gt;")-SUMIFS(Data!G:G,Data!G:G,"&lt;&gt;"))/(SUMIFS(Data!$D:$D,Data!G:G,"&lt;&gt;")-COUNTIFS(Data!G:G,"&gt;0"))</f>
        <v>0.5021459227</v>
      </c>
      <c r="F28" s="12">
        <f>(sumifs(Data!$D:$D,Data!H:H,"&lt;&gt;")-SUMIFS(Data!H:H,Data!H:H,"&lt;&gt;"))/(SUMIFS(Data!$D:$D,Data!H:H,"&lt;&gt;")-COUNTIFS(Data!H:H,"&gt;0"))</f>
        <v>0.4569640063</v>
      </c>
      <c r="G28" s="12">
        <f>(sumifs(Data!$D:$D,Data!I:I,"&lt;&gt;")-SUMIFS(Data!I:I,Data!I:I,"&lt;&gt;"))/(SUMIFS(Data!$D:$D,Data!I:I,"&lt;&gt;")-COUNTIFS(Data!I:I,"&gt;0"))</f>
        <v>0.3653846154</v>
      </c>
      <c r="H28" s="12">
        <f>(sumifs(Data!$D:$D,Data!J:J,"&lt;&gt;")-SUMIFS(Data!J:J,Data!J:J,"&lt;&gt;"))/(SUMIFS(Data!$D:$D,Data!J:J,"&lt;&gt;")-COUNTIFS(Data!J:J,"&gt;0"))</f>
        <v>0.3414634146</v>
      </c>
      <c r="I28" s="12">
        <f>(sumifs(Data!$D:$D,Data!K:K,"&lt;&gt;")-SUMIFS(Data!K:K,Data!K:K,"&lt;&gt;"))/(SUMIFS(Data!$D:$D,Data!K:K,"&lt;&gt;")-COUNTIFS(Data!K:K,"&gt;0"))</f>
        <v>0.4861111111</v>
      </c>
      <c r="J28" s="12">
        <f>(sumifs(Data!$D:$D,Data!L:L,"&lt;&gt;")-SUMIFS(Data!L:L,Data!L:L,"&lt;&gt;"))/(SUMIFS(Data!$D:$D,Data!L:L,"&lt;&gt;")-COUNTIFS(Data!L:L,"&gt;0"))</f>
        <v>0.3928571429</v>
      </c>
      <c r="K28" s="12">
        <f>(sumifs(Data!$D:$D,Data!M:M,"&lt;&gt;")-SUMIFS(Data!M:M,Data!M:M,"&lt;&gt;"))/(SUMIFS(Data!$D:$D,Data!M:M,"&lt;&gt;")-COUNTIFS(Data!M:M,"&gt;0"))</f>
        <v>0.5</v>
      </c>
      <c r="L28" s="12">
        <f>(sumifs(Data!$D:$D,Data!N:N,"&lt;&gt;")-SUMIFS(Data!N:N,Data!N:N,"&lt;&gt;"))/(SUMIFS(Data!$D:$D,Data!N:N,"&lt;&gt;")-COUNTIFS(Data!N:N,"&gt;0"))</f>
        <v>0.1818181818</v>
      </c>
      <c r="M28" s="12">
        <f>(sumifs(Data!$D:$D,Data!O:O,"&lt;&gt;")-SUMIFS(Data!O:O,Data!O:O,"&lt;&gt;"))/(SUMIFS(Data!$D:$D,Data!O:O,"&lt;&gt;")-COUNTIFS(Data!O:O,"&gt;0"))</f>
        <v>0</v>
      </c>
      <c r="N28" s="12">
        <f>(sumifs(Data!$D:$D,Data!P:P,"&lt;&gt;")-SUMIFS(Data!P:P,Data!P:P,"&lt;&gt;"))/(SUMIFS(Data!$D:$D,Data!P:P,"&lt;&gt;")-COUNTIFS(Data!P:P,"&gt;0"))</f>
        <v>1</v>
      </c>
      <c r="O28" s="12">
        <f>(sumifs(Data!$D:$D,Data!Q:Q,"&lt;&gt;")-SUMIFS(Data!Q:Q,Data!Q:Q,"&lt;&gt;"))/(SUMIFS(Data!$D:$D,Data!Q:Q,"&lt;&gt;")-COUNTIFS(Data!Q:Q,"&gt;0"))</f>
        <v>0.5</v>
      </c>
      <c r="P28" s="12">
        <f>(sumifs(Data!$D:$D,Data!R:R,"&lt;&gt;")-SUMIFS(Data!R:R,Data!R:R,"&lt;&gt;"))/(SUMIFS(Data!$D:$D,Data!R:R,"&lt;&gt;")-COUNTIFS(Data!R:R,"&gt;0"))</f>
        <v>0.375</v>
      </c>
      <c r="Q28" s="12">
        <f>(sumifs(Data!$D:$D,Data!S:S,"&lt;&gt;")-SUMIFS(Data!S:S,Data!S:S,"&lt;&gt;"))/(SUMIFS(Data!$D:$D,Data!S:S,"&lt;&gt;")-COUNTIFS(Data!S:S,"&gt;0"))</f>
        <v>0.1111111111</v>
      </c>
      <c r="R28" s="12">
        <f>(sumifs(Data!$D:$D,Data!T:T,"&lt;&gt;")-SUMIFS(Data!T:T,Data!T:T,"&lt;&gt;"))/(SUMIFS(Data!$D:$D,Data!T:T,"&lt;&gt;")-COUNTIFS(Data!T:T,"&gt;0"))</f>
        <v>0</v>
      </c>
      <c r="S28" s="12">
        <f>(sumifs(Data!$D:$D,Data!U:U,"&lt;&gt;")-SUMIFS(Data!U:U,Data!U:U,"&lt;&gt;"))/(SUMIFS(Data!$D:$D,Data!U:U,"&lt;&gt;")-COUNTIFS(Data!U:U,"&gt;0"))</f>
        <v>0.6666666667</v>
      </c>
      <c r="T28" s="12">
        <f>(sumifs(Data!$D:$D,Data!V:V,"&lt;&gt;")-SUMIFS(Data!V:V,Data!V:V,"&lt;&gt;"))/(SUMIFS(Data!$D:$D,Data!V:V,"&lt;&gt;")-COUNTIFS(Data!V:V,"&gt;0"))</f>
        <v>0.4054054054</v>
      </c>
    </row>
    <row r="30">
      <c r="A30" s="11" t="s">
        <v>109</v>
      </c>
      <c r="B30" s="1">
        <v>3.0</v>
      </c>
    </row>
    <row r="31">
      <c r="A31" s="11" t="s">
        <v>110</v>
      </c>
      <c r="B31" s="1">
        <v>10.0</v>
      </c>
      <c r="C31" s="13"/>
      <c r="D31" s="13"/>
    </row>
    <row r="33">
      <c r="A33" s="11"/>
      <c r="C33" s="13"/>
    </row>
  </sheetData>
  <mergeCells count="2">
    <mergeCell ref="A27:B27"/>
    <mergeCell ref="A28:B28"/>
  </mergeCells>
  <conditionalFormatting sqref="C2:T2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0"/>
    <col customWidth="1" min="4" max="4" width="5.75"/>
    <col customWidth="1" min="5" max="5" width="1.38"/>
    <col customWidth="1" min="6" max="6" width="5.88"/>
    <col customWidth="1" min="7" max="7" width="3.75"/>
    <col customWidth="1" min="8" max="8" width="1.38"/>
    <col customWidth="1" min="9" max="9" width="2.88"/>
    <col customWidth="1" min="10" max="14" width="4.38"/>
    <col customWidth="1" min="15" max="15" width="9.38"/>
    <col customWidth="1" min="16" max="17" width="6.0"/>
    <col customWidth="1" min="18" max="18" width="5.75"/>
    <col customWidth="1" min="19" max="19" width="3.38"/>
    <col customWidth="1" min="21" max="21" width="9.38"/>
    <col customWidth="1" min="22" max="23" width="6.0"/>
    <col customWidth="1" min="24" max="24" width="5.75"/>
    <col customWidth="1" min="26" max="27" width="9.38"/>
    <col customWidth="1" min="28" max="28" width="6.0"/>
    <col customWidth="1" min="29" max="29" width="5.75"/>
  </cols>
  <sheetData>
    <row r="1">
      <c r="A1" t="str">
        <f>IFERROR(__xludf.DUMMYFUNCTION("QUERY(Data!A:G,""Select C,E,F,G where (A='Monopoly' and E is not null and F is not null and G is not null) Order by C desc"",1)"),"Date")</f>
        <v>Date</v>
      </c>
      <c r="B1" t="str">
        <f>IFERROR(__xludf.DUMMYFUNCTION("""COMPUTED_VALUE"""),"Jeffrey")</f>
        <v>Jeffrey</v>
      </c>
      <c r="C1" t="str">
        <f>IFERROR(__xludf.DUMMYFUNCTION("""COMPUTED_VALUE"""),"Robert")</f>
        <v>Robert</v>
      </c>
      <c r="D1" t="str">
        <f>IFERROR(__xludf.DUMMYFUNCTION("""COMPUTED_VALUE"""),"Bobby")</f>
        <v>Bobby</v>
      </c>
      <c r="O1" t="str">
        <f>IFERROR(__xludf.DUMMYFUNCTION("QUERY(A:A,""select A"",1)"),"Date")</f>
        <v>Date</v>
      </c>
      <c r="P1" t="s">
        <v>4</v>
      </c>
      <c r="Q1" t="s">
        <v>5</v>
      </c>
      <c r="R1" t="s">
        <v>6</v>
      </c>
      <c r="U1" t="str">
        <f>IFERROR(__xludf.DUMMYFUNCTION("QUERY(A:A,""select A"",1)"),"Date")</f>
        <v>Date</v>
      </c>
      <c r="V1" t="s">
        <v>4</v>
      </c>
      <c r="W1" t="s">
        <v>5</v>
      </c>
      <c r="X1" t="s">
        <v>6</v>
      </c>
      <c r="Z1" t="str">
        <f>IFERROR(__xludf.DUMMYFUNCTION("QUERY(A:A,""select A"",1)"),"Date")</f>
        <v>Date</v>
      </c>
      <c r="AA1" t="s">
        <v>4</v>
      </c>
      <c r="AB1" t="s">
        <v>5</v>
      </c>
      <c r="AC1" t="s">
        <v>6</v>
      </c>
      <c r="AF1" s="1" t="s">
        <v>4</v>
      </c>
      <c r="AG1" s="1" t="s">
        <v>5</v>
      </c>
      <c r="AH1" s="1" t="s">
        <v>6</v>
      </c>
    </row>
    <row r="2">
      <c r="A2" s="8">
        <f>IFERROR(__xludf.DUMMYFUNCTION("""COMPUTED_VALUE"""),46110.0)</f>
        <v>46110</v>
      </c>
      <c r="B2">
        <f>IFERROR(__xludf.DUMMYFUNCTION("""COMPUTED_VALUE"""),3.0)</f>
        <v>3</v>
      </c>
      <c r="C2">
        <f>IFERROR(__xludf.DUMMYFUNCTION("""COMPUTED_VALUE"""),1.0)</f>
        <v>1</v>
      </c>
      <c r="D2">
        <f>IFERROR(__xludf.DUMMYFUNCTION("""COMPUTED_VALUE"""),2.0)</f>
        <v>2</v>
      </c>
      <c r="F2" s="1" t="s">
        <v>4</v>
      </c>
      <c r="G2" s="17">
        <f>SUM(B:B)</f>
        <v>554</v>
      </c>
      <c r="H2" s="17">
        <f t="shared" ref="H2:H4" si="4">if(G2=MIN($G$2:$G$4),1,0)</f>
        <v>0</v>
      </c>
      <c r="I2" s="17">
        <f t="shared" ref="I2:I4" si="5">G2-min($G$2:$G$4)</f>
        <v>1</v>
      </c>
      <c r="K2">
        <f t="shared" ref="K2:M2" si="1">if(B2=1,0,K1+1)</f>
        <v>1</v>
      </c>
      <c r="L2">
        <f t="shared" si="1"/>
        <v>0</v>
      </c>
      <c r="M2">
        <f t="shared" si="1"/>
        <v>1</v>
      </c>
      <c r="O2" s="8">
        <f>IFERROR(__xludf.DUMMYFUNCTION("""COMPUTED_VALUE"""),46110.0)</f>
        <v>46110</v>
      </c>
      <c r="P2">
        <f t="shared" ref="P2:R2" si="2">B2+P3</f>
        <v>554</v>
      </c>
      <c r="Q2">
        <f t="shared" si="2"/>
        <v>553</v>
      </c>
      <c r="R2">
        <f t="shared" si="2"/>
        <v>553</v>
      </c>
      <c r="S2">
        <f t="shared" ref="S2:S10" si="8">min(P2:R2)-MINIFS(P2:R2,P2:R2, "&lt;&gt;"&amp;Min(P2:R2))</f>
        <v>-1</v>
      </c>
      <c r="U2" s="8">
        <f>IFERROR(__xludf.DUMMYFUNCTION("""COMPUTED_VALUE"""),46110.0)</f>
        <v>46110</v>
      </c>
      <c r="V2">
        <f t="shared" ref="V2:V1000" si="9">if($H$2,0,if($H$3,Q2-P2,if($H$4,R2-P2)))</f>
        <v>-1</v>
      </c>
      <c r="W2">
        <f t="shared" ref="W2:W1000" si="10">if($H$2,P2-Q2,if($H$3,0,if($H$4,R2-Q2)))</f>
        <v>0</v>
      </c>
      <c r="X2">
        <f t="shared" ref="X2:X1000" si="11">if($H$2,P2-R2,if($H$3,Q2-R2,if($H$4,0)))</f>
        <v>0</v>
      </c>
      <c r="Z2" s="8">
        <f>IFERROR(__xludf.DUMMYFUNCTION("""COMPUTED_VALUE"""),46110.0)</f>
        <v>46110</v>
      </c>
      <c r="AA2">
        <f t="shared" ref="AA2:AA1000" si="12">MIN(P2:R2)-P2</f>
        <v>-1</v>
      </c>
      <c r="AB2">
        <f t="shared" ref="AB2:AB1000" si="13">MIN(P2:R2)-Q2</f>
        <v>0</v>
      </c>
      <c r="AC2">
        <f t="shared" ref="AC2:AC1000" si="14">MIN(P2:R2)-R2</f>
        <v>0</v>
      </c>
      <c r="AE2" s="1">
        <v>2017.0</v>
      </c>
      <c r="AF2">
        <f t="shared" ref="AF2:AH2" si="3">SUMIFS(B:B,$A:$A,"&gt;=1/1/2017",$A:$A,"&lt;=12/31/2017")</f>
        <v>50</v>
      </c>
      <c r="AG2">
        <f t="shared" si="3"/>
        <v>53</v>
      </c>
      <c r="AH2">
        <f t="shared" si="3"/>
        <v>45</v>
      </c>
    </row>
    <row r="3">
      <c r="A3" s="8">
        <f>IFERROR(__xludf.DUMMYFUNCTION("""COMPUTED_VALUE"""),45949.0)</f>
        <v>45949</v>
      </c>
      <c r="B3">
        <f>IFERROR(__xludf.DUMMYFUNCTION("""COMPUTED_VALUE"""),1.0)</f>
        <v>1</v>
      </c>
      <c r="C3">
        <f>IFERROR(__xludf.DUMMYFUNCTION("""COMPUTED_VALUE"""),3.0)</f>
        <v>3</v>
      </c>
      <c r="D3">
        <f>IFERROR(__xludf.DUMMYFUNCTION("""COMPUTED_VALUE"""),2.0)</f>
        <v>2</v>
      </c>
      <c r="F3" s="1" t="s">
        <v>5</v>
      </c>
      <c r="G3" s="17">
        <f>SUM(C:C)</f>
        <v>553</v>
      </c>
      <c r="H3" s="17">
        <f t="shared" si="4"/>
        <v>1</v>
      </c>
      <c r="I3" s="17">
        <f t="shared" si="5"/>
        <v>0</v>
      </c>
      <c r="K3">
        <f t="shared" ref="K3:M3" si="6">if(B3=1,0,K2+1)</f>
        <v>0</v>
      </c>
      <c r="L3">
        <f t="shared" si="6"/>
        <v>1</v>
      </c>
      <c r="M3">
        <f t="shared" si="6"/>
        <v>2</v>
      </c>
      <c r="O3" s="8">
        <f>IFERROR(__xludf.DUMMYFUNCTION("""COMPUTED_VALUE"""),45949.0)</f>
        <v>45949</v>
      </c>
      <c r="P3">
        <f t="shared" ref="P3:R3" si="7">B3+P4</f>
        <v>551</v>
      </c>
      <c r="Q3">
        <f t="shared" si="7"/>
        <v>552</v>
      </c>
      <c r="R3">
        <f t="shared" si="7"/>
        <v>551</v>
      </c>
      <c r="S3">
        <f t="shared" si="8"/>
        <v>-1</v>
      </c>
      <c r="U3" s="8">
        <f>IFERROR(__xludf.DUMMYFUNCTION("""COMPUTED_VALUE"""),45949.0)</f>
        <v>45949</v>
      </c>
      <c r="V3">
        <f t="shared" si="9"/>
        <v>1</v>
      </c>
      <c r="W3">
        <f t="shared" si="10"/>
        <v>0</v>
      </c>
      <c r="X3">
        <f t="shared" si="11"/>
        <v>1</v>
      </c>
      <c r="Z3" s="8">
        <f>IFERROR(__xludf.DUMMYFUNCTION("""COMPUTED_VALUE"""),45949.0)</f>
        <v>45949</v>
      </c>
      <c r="AA3">
        <f t="shared" si="12"/>
        <v>0</v>
      </c>
      <c r="AB3">
        <f t="shared" si="13"/>
        <v>-1</v>
      </c>
      <c r="AC3">
        <f t="shared" si="14"/>
        <v>0</v>
      </c>
      <c r="AE3" s="1">
        <v>2018.0</v>
      </c>
      <c r="AF3">
        <f t="shared" ref="AF3:AH3" si="15">SUMIFS(B:B,$A:$A,"&gt;=1/1/2018",$A:$A,"&lt;=12/31/2018")</f>
        <v>33</v>
      </c>
      <c r="AG3">
        <f t="shared" si="15"/>
        <v>37</v>
      </c>
      <c r="AH3">
        <f t="shared" si="15"/>
        <v>28</v>
      </c>
    </row>
    <row r="4">
      <c r="A4" s="8">
        <f>IFERROR(__xludf.DUMMYFUNCTION("""COMPUTED_VALUE"""),45928.0)</f>
        <v>45928</v>
      </c>
      <c r="B4">
        <f>IFERROR(__xludf.DUMMYFUNCTION("""COMPUTED_VALUE"""),3.0)</f>
        <v>3</v>
      </c>
      <c r="C4">
        <f>IFERROR(__xludf.DUMMYFUNCTION("""COMPUTED_VALUE"""),1.0)</f>
        <v>1</v>
      </c>
      <c r="D4">
        <f>IFERROR(__xludf.DUMMYFUNCTION("""COMPUTED_VALUE"""),2.0)</f>
        <v>2</v>
      </c>
      <c r="F4" s="1" t="s">
        <v>6</v>
      </c>
      <c r="G4" s="17">
        <f>SUM(D:D)</f>
        <v>553</v>
      </c>
      <c r="H4" s="17">
        <f t="shared" si="4"/>
        <v>1</v>
      </c>
      <c r="I4" s="17">
        <f t="shared" si="5"/>
        <v>0</v>
      </c>
      <c r="K4">
        <f t="shared" ref="K4:M4" si="16">if(B4=1,0,K3+1)</f>
        <v>1</v>
      </c>
      <c r="L4">
        <f t="shared" si="16"/>
        <v>0</v>
      </c>
      <c r="M4">
        <f t="shared" si="16"/>
        <v>3</v>
      </c>
      <c r="O4" s="8">
        <f>IFERROR(__xludf.DUMMYFUNCTION("""COMPUTED_VALUE"""),45928.0)</f>
        <v>45928</v>
      </c>
      <c r="P4">
        <f t="shared" ref="P4:R4" si="17">B4+P5</f>
        <v>550</v>
      </c>
      <c r="Q4">
        <f t="shared" si="17"/>
        <v>549</v>
      </c>
      <c r="R4">
        <f t="shared" si="17"/>
        <v>549</v>
      </c>
      <c r="S4">
        <f t="shared" si="8"/>
        <v>-1</v>
      </c>
      <c r="U4" s="8">
        <f>IFERROR(__xludf.DUMMYFUNCTION("""COMPUTED_VALUE"""),45928.0)</f>
        <v>45928</v>
      </c>
      <c r="V4">
        <f t="shared" si="9"/>
        <v>-1</v>
      </c>
      <c r="W4">
        <f t="shared" si="10"/>
        <v>0</v>
      </c>
      <c r="X4">
        <f t="shared" si="11"/>
        <v>0</v>
      </c>
      <c r="Z4" s="8">
        <f>IFERROR(__xludf.DUMMYFUNCTION("""COMPUTED_VALUE"""),45928.0)</f>
        <v>45928</v>
      </c>
      <c r="AA4">
        <f t="shared" si="12"/>
        <v>-1</v>
      </c>
      <c r="AB4">
        <f t="shared" si="13"/>
        <v>0</v>
      </c>
      <c r="AC4">
        <f t="shared" si="14"/>
        <v>0</v>
      </c>
      <c r="AE4" s="1">
        <v>2019.0</v>
      </c>
      <c r="AF4">
        <f t="shared" ref="AF4:AH4" si="18">SUMIFS(B:B,$A:$A,"&gt;=1/1/2019",$A:$A,"&lt;=12/31/2019")</f>
        <v>48</v>
      </c>
      <c r="AG4">
        <f t="shared" si="18"/>
        <v>56</v>
      </c>
      <c r="AH4">
        <f t="shared" si="18"/>
        <v>50</v>
      </c>
    </row>
    <row r="5">
      <c r="A5" s="8">
        <f>IFERROR(__xludf.DUMMYFUNCTION("""COMPUTED_VALUE"""),45906.0)</f>
        <v>45906</v>
      </c>
      <c r="B5">
        <f>IFERROR(__xludf.DUMMYFUNCTION("""COMPUTED_VALUE"""),3.0)</f>
        <v>3</v>
      </c>
      <c r="C5">
        <f>IFERROR(__xludf.DUMMYFUNCTION("""COMPUTED_VALUE"""),2.0)</f>
        <v>2</v>
      </c>
      <c r="D5">
        <f>IFERROR(__xludf.DUMMYFUNCTION("""COMPUTED_VALUE"""),1.0)</f>
        <v>1</v>
      </c>
      <c r="K5">
        <f t="shared" ref="K5:M5" si="19">if(B5=1,0,K4+1)</f>
        <v>2</v>
      </c>
      <c r="L5">
        <f t="shared" si="19"/>
        <v>1</v>
      </c>
      <c r="M5">
        <f t="shared" si="19"/>
        <v>0</v>
      </c>
      <c r="O5" s="8">
        <f>IFERROR(__xludf.DUMMYFUNCTION("""COMPUTED_VALUE"""),45906.0)</f>
        <v>45906</v>
      </c>
      <c r="P5">
        <f t="shared" ref="P5:R5" si="20">B5+P6</f>
        <v>547</v>
      </c>
      <c r="Q5">
        <f t="shared" si="20"/>
        <v>548</v>
      </c>
      <c r="R5">
        <f t="shared" si="20"/>
        <v>547</v>
      </c>
      <c r="S5">
        <f t="shared" si="8"/>
        <v>-1</v>
      </c>
      <c r="U5" s="8">
        <f>IFERROR(__xludf.DUMMYFUNCTION("""COMPUTED_VALUE"""),45906.0)</f>
        <v>45906</v>
      </c>
      <c r="V5">
        <f t="shared" si="9"/>
        <v>1</v>
      </c>
      <c r="W5">
        <f t="shared" si="10"/>
        <v>0</v>
      </c>
      <c r="X5">
        <f t="shared" si="11"/>
        <v>1</v>
      </c>
      <c r="Z5" s="8">
        <f>IFERROR(__xludf.DUMMYFUNCTION("""COMPUTED_VALUE"""),45906.0)</f>
        <v>45906</v>
      </c>
      <c r="AA5">
        <f t="shared" si="12"/>
        <v>0</v>
      </c>
      <c r="AB5">
        <f t="shared" si="13"/>
        <v>-1</v>
      </c>
      <c r="AC5">
        <f t="shared" si="14"/>
        <v>0</v>
      </c>
      <c r="AE5" s="1">
        <v>2020.0</v>
      </c>
      <c r="AF5">
        <f t="shared" ref="AF5:AH5" si="21">SUMIFS(B:B,$A:$A,"&gt;=1/1/2020",$A:$A,"&lt;=12/31/2020")</f>
        <v>159</v>
      </c>
      <c r="AG5">
        <f t="shared" si="21"/>
        <v>161</v>
      </c>
      <c r="AH5">
        <f t="shared" si="21"/>
        <v>157</v>
      </c>
    </row>
    <row r="6">
      <c r="A6" s="8">
        <f>IFERROR(__xludf.DUMMYFUNCTION("""COMPUTED_VALUE"""),45900.0)</f>
        <v>45900</v>
      </c>
      <c r="B6">
        <f>IFERROR(__xludf.DUMMYFUNCTION("""COMPUTED_VALUE"""),3.0)</f>
        <v>3</v>
      </c>
      <c r="C6">
        <f>IFERROR(__xludf.DUMMYFUNCTION("""COMPUTED_VALUE"""),2.0)</f>
        <v>2</v>
      </c>
      <c r="D6">
        <f>IFERROR(__xludf.DUMMYFUNCTION("""COMPUTED_VALUE"""),1.0)</f>
        <v>1</v>
      </c>
      <c r="K6">
        <f t="shared" ref="K6:M6" si="22">if(B6=1,0,K5+1)</f>
        <v>3</v>
      </c>
      <c r="L6">
        <f t="shared" si="22"/>
        <v>2</v>
      </c>
      <c r="M6">
        <f t="shared" si="22"/>
        <v>0</v>
      </c>
      <c r="O6" s="8">
        <f>IFERROR(__xludf.DUMMYFUNCTION("""COMPUTED_VALUE"""),45900.0)</f>
        <v>45900</v>
      </c>
      <c r="P6">
        <f t="shared" ref="P6:R6" si="23">B6+P7</f>
        <v>544</v>
      </c>
      <c r="Q6">
        <f t="shared" si="23"/>
        <v>546</v>
      </c>
      <c r="R6">
        <f t="shared" si="23"/>
        <v>546</v>
      </c>
      <c r="S6">
        <f t="shared" si="8"/>
        <v>-2</v>
      </c>
      <c r="U6" s="8">
        <f>IFERROR(__xludf.DUMMYFUNCTION("""COMPUTED_VALUE"""),45900.0)</f>
        <v>45900</v>
      </c>
      <c r="V6">
        <f t="shared" si="9"/>
        <v>2</v>
      </c>
      <c r="W6">
        <f t="shared" si="10"/>
        <v>0</v>
      </c>
      <c r="X6">
        <f t="shared" si="11"/>
        <v>0</v>
      </c>
      <c r="Z6" s="8">
        <f>IFERROR(__xludf.DUMMYFUNCTION("""COMPUTED_VALUE"""),45900.0)</f>
        <v>45900</v>
      </c>
      <c r="AA6">
        <f t="shared" si="12"/>
        <v>0</v>
      </c>
      <c r="AB6">
        <f t="shared" si="13"/>
        <v>-2</v>
      </c>
      <c r="AC6">
        <f t="shared" si="14"/>
        <v>-2</v>
      </c>
    </row>
    <row r="7">
      <c r="A7" s="8">
        <f>IFERROR(__xludf.DUMMYFUNCTION("""COMPUTED_VALUE"""),45893.0)</f>
        <v>45893</v>
      </c>
      <c r="B7">
        <f>IFERROR(__xludf.DUMMYFUNCTION("""COMPUTED_VALUE"""),1.0)</f>
        <v>1</v>
      </c>
      <c r="C7">
        <f>IFERROR(__xludf.DUMMYFUNCTION("""COMPUTED_VALUE"""),2.0)</f>
        <v>2</v>
      </c>
      <c r="D7">
        <f>IFERROR(__xludf.DUMMYFUNCTION("""COMPUTED_VALUE"""),3.0)</f>
        <v>3</v>
      </c>
      <c r="K7">
        <f t="shared" ref="K7:M7" si="24">if(B7=1,0,K6+1)</f>
        <v>0</v>
      </c>
      <c r="L7">
        <f t="shared" si="24"/>
        <v>3</v>
      </c>
      <c r="M7">
        <f t="shared" si="24"/>
        <v>1</v>
      </c>
      <c r="O7" s="8">
        <f>IFERROR(__xludf.DUMMYFUNCTION("""COMPUTED_VALUE"""),45893.0)</f>
        <v>45893</v>
      </c>
      <c r="P7">
        <f t="shared" ref="P7:R7" si="25">B7+P8</f>
        <v>541</v>
      </c>
      <c r="Q7">
        <f t="shared" si="25"/>
        <v>544</v>
      </c>
      <c r="R7">
        <f t="shared" si="25"/>
        <v>545</v>
      </c>
      <c r="S7">
        <f t="shared" si="8"/>
        <v>-3</v>
      </c>
      <c r="U7" s="8">
        <f>IFERROR(__xludf.DUMMYFUNCTION("""COMPUTED_VALUE"""),45893.0)</f>
        <v>45893</v>
      </c>
      <c r="V7">
        <f t="shared" si="9"/>
        <v>3</v>
      </c>
      <c r="W7">
        <f t="shared" si="10"/>
        <v>0</v>
      </c>
      <c r="X7">
        <f t="shared" si="11"/>
        <v>-1</v>
      </c>
      <c r="Z7" s="8">
        <f>IFERROR(__xludf.DUMMYFUNCTION("""COMPUTED_VALUE"""),45893.0)</f>
        <v>45893</v>
      </c>
      <c r="AA7">
        <f t="shared" si="12"/>
        <v>0</v>
      </c>
      <c r="AB7">
        <f t="shared" si="13"/>
        <v>-3</v>
      </c>
      <c r="AC7">
        <f t="shared" si="14"/>
        <v>-4</v>
      </c>
      <c r="AE7" s="1">
        <v>2017.0</v>
      </c>
      <c r="AF7">
        <f>COUNTIFS(A:A,"&gt;=1/1/2017",A:A,"&lt;=12/31/2017")</f>
        <v>22</v>
      </c>
    </row>
    <row r="8">
      <c r="A8" s="8">
        <f>IFERROR(__xludf.DUMMYFUNCTION("""COMPUTED_VALUE"""),45872.0)</f>
        <v>45872</v>
      </c>
      <c r="B8">
        <f>IFERROR(__xludf.DUMMYFUNCTION("""COMPUTED_VALUE"""),1.0)</f>
        <v>1</v>
      </c>
      <c r="C8">
        <f>IFERROR(__xludf.DUMMYFUNCTION("""COMPUTED_VALUE"""),3.0)</f>
        <v>3</v>
      </c>
      <c r="D8">
        <f>IFERROR(__xludf.DUMMYFUNCTION("""COMPUTED_VALUE"""),2.0)</f>
        <v>2</v>
      </c>
      <c r="K8">
        <f t="shared" ref="K8:M8" si="26">if(B8=1,0,K7+1)</f>
        <v>0</v>
      </c>
      <c r="L8">
        <f t="shared" si="26"/>
        <v>4</v>
      </c>
      <c r="M8">
        <f t="shared" si="26"/>
        <v>2</v>
      </c>
      <c r="O8" s="8">
        <f>IFERROR(__xludf.DUMMYFUNCTION("""COMPUTED_VALUE"""),45872.0)</f>
        <v>45872</v>
      </c>
      <c r="P8">
        <f t="shared" ref="P8:R8" si="27">B8+P9</f>
        <v>540</v>
      </c>
      <c r="Q8">
        <f t="shared" si="27"/>
        <v>542</v>
      </c>
      <c r="R8">
        <f t="shared" si="27"/>
        <v>542</v>
      </c>
      <c r="S8">
        <f t="shared" si="8"/>
        <v>-2</v>
      </c>
      <c r="U8" s="8">
        <f>IFERROR(__xludf.DUMMYFUNCTION("""COMPUTED_VALUE"""),45872.0)</f>
        <v>45872</v>
      </c>
      <c r="V8">
        <f t="shared" si="9"/>
        <v>2</v>
      </c>
      <c r="W8">
        <f t="shared" si="10"/>
        <v>0</v>
      </c>
      <c r="X8">
        <f t="shared" si="11"/>
        <v>0</v>
      </c>
      <c r="Z8" s="8">
        <f>IFERROR(__xludf.DUMMYFUNCTION("""COMPUTED_VALUE"""),45872.0)</f>
        <v>45872</v>
      </c>
      <c r="AA8">
        <f t="shared" si="12"/>
        <v>0</v>
      </c>
      <c r="AB8">
        <f t="shared" si="13"/>
        <v>-2</v>
      </c>
      <c r="AC8">
        <f t="shared" si="14"/>
        <v>-2</v>
      </c>
      <c r="AE8" s="1">
        <v>2018.0</v>
      </c>
      <c r="AF8">
        <f>COUNTIFS(A:A,"&gt;=1/1/2018",A:A,"&lt;=12/31/2018")</f>
        <v>16</v>
      </c>
    </row>
    <row r="9">
      <c r="A9" s="8">
        <f>IFERROR(__xludf.DUMMYFUNCTION("""COMPUTED_VALUE"""),45857.0)</f>
        <v>45857</v>
      </c>
      <c r="B9">
        <f>IFERROR(__xludf.DUMMYFUNCTION("""COMPUTED_VALUE"""),3.0)</f>
        <v>3</v>
      </c>
      <c r="C9">
        <f>IFERROR(__xludf.DUMMYFUNCTION("""COMPUTED_VALUE"""),1.0)</f>
        <v>1</v>
      </c>
      <c r="D9">
        <f>IFERROR(__xludf.DUMMYFUNCTION("""COMPUTED_VALUE"""),2.0)</f>
        <v>2</v>
      </c>
      <c r="K9">
        <f t="shared" ref="K9:M9" si="28">if(B9=1,0,K8+1)</f>
        <v>1</v>
      </c>
      <c r="L9">
        <f t="shared" si="28"/>
        <v>0</v>
      </c>
      <c r="M9">
        <f t="shared" si="28"/>
        <v>3</v>
      </c>
      <c r="O9" s="8">
        <f>IFERROR(__xludf.DUMMYFUNCTION("""COMPUTED_VALUE"""),45857.0)</f>
        <v>45857</v>
      </c>
      <c r="P9">
        <f t="shared" ref="P9:R9" si="29">B9+P10</f>
        <v>539</v>
      </c>
      <c r="Q9">
        <f t="shared" si="29"/>
        <v>539</v>
      </c>
      <c r="R9">
        <f t="shared" si="29"/>
        <v>540</v>
      </c>
      <c r="S9">
        <f t="shared" si="8"/>
        <v>-1</v>
      </c>
      <c r="U9" s="8">
        <f>IFERROR(__xludf.DUMMYFUNCTION("""COMPUTED_VALUE"""),45857.0)</f>
        <v>45857</v>
      </c>
      <c r="V9">
        <f t="shared" si="9"/>
        <v>0</v>
      </c>
      <c r="W9">
        <f t="shared" si="10"/>
        <v>0</v>
      </c>
      <c r="X9">
        <f t="shared" si="11"/>
        <v>-1</v>
      </c>
      <c r="Z9" s="8">
        <f>IFERROR(__xludf.DUMMYFUNCTION("""COMPUTED_VALUE"""),45857.0)</f>
        <v>45857</v>
      </c>
      <c r="AA9">
        <f t="shared" si="12"/>
        <v>0</v>
      </c>
      <c r="AB9">
        <f t="shared" si="13"/>
        <v>0</v>
      </c>
      <c r="AC9">
        <f t="shared" si="14"/>
        <v>-1</v>
      </c>
      <c r="AE9" s="1">
        <v>2019.0</v>
      </c>
      <c r="AF9">
        <f>COUNTIFS(A:A,"&gt;=1/1/2019",A:A,"&lt;=12/31/2019")</f>
        <v>25</v>
      </c>
    </row>
    <row r="10">
      <c r="A10" s="8">
        <f>IFERROR(__xludf.DUMMYFUNCTION("""COMPUTED_VALUE"""),45857.0)</f>
        <v>45857</v>
      </c>
      <c r="B10">
        <f>IFERROR(__xludf.DUMMYFUNCTION("""COMPUTED_VALUE"""),3.0)</f>
        <v>3</v>
      </c>
      <c r="C10">
        <f>IFERROR(__xludf.DUMMYFUNCTION("""COMPUTED_VALUE"""),2.0)</f>
        <v>2</v>
      </c>
      <c r="D10">
        <f>IFERROR(__xludf.DUMMYFUNCTION("""COMPUTED_VALUE"""),1.0)</f>
        <v>1</v>
      </c>
      <c r="K10">
        <f t="shared" ref="K10:M10" si="30">if(B10=1,0,K9+1)</f>
        <v>2</v>
      </c>
      <c r="L10">
        <f t="shared" si="30"/>
        <v>1</v>
      </c>
      <c r="M10">
        <f t="shared" si="30"/>
        <v>0</v>
      </c>
      <c r="O10" s="8">
        <f>IFERROR(__xludf.DUMMYFUNCTION("""COMPUTED_VALUE"""),45857.0)</f>
        <v>45857</v>
      </c>
      <c r="P10">
        <f t="shared" ref="P10:R10" si="31">B10+P11</f>
        <v>536</v>
      </c>
      <c r="Q10">
        <f t="shared" si="31"/>
        <v>538</v>
      </c>
      <c r="R10">
        <f t="shared" si="31"/>
        <v>538</v>
      </c>
      <c r="S10">
        <f t="shared" si="8"/>
        <v>-2</v>
      </c>
      <c r="U10" s="8">
        <f>IFERROR(__xludf.DUMMYFUNCTION("""COMPUTED_VALUE"""),45857.0)</f>
        <v>45857</v>
      </c>
      <c r="V10">
        <f t="shared" si="9"/>
        <v>2</v>
      </c>
      <c r="W10">
        <f t="shared" si="10"/>
        <v>0</v>
      </c>
      <c r="X10">
        <f t="shared" si="11"/>
        <v>0</v>
      </c>
      <c r="Z10" s="8">
        <f>IFERROR(__xludf.DUMMYFUNCTION("""COMPUTED_VALUE"""),45857.0)</f>
        <v>45857</v>
      </c>
      <c r="AA10">
        <f t="shared" si="12"/>
        <v>0</v>
      </c>
      <c r="AB10">
        <f t="shared" si="13"/>
        <v>-2</v>
      </c>
      <c r="AC10">
        <f t="shared" si="14"/>
        <v>-2</v>
      </c>
      <c r="AE10" s="1">
        <v>2020.0</v>
      </c>
      <c r="AF10">
        <f>COUNTIFS(A:A,"&gt;=1/1/2020",A:A,"&lt;=12/31/2020")</f>
        <v>79</v>
      </c>
    </row>
    <row r="11">
      <c r="A11" s="8">
        <f>IFERROR(__xludf.DUMMYFUNCTION("""COMPUTED_VALUE"""),45851.0)</f>
        <v>45851</v>
      </c>
      <c r="B11">
        <f>IFERROR(__xludf.DUMMYFUNCTION("""COMPUTED_VALUE"""),2.0)</f>
        <v>2</v>
      </c>
      <c r="C11">
        <f>IFERROR(__xludf.DUMMYFUNCTION("""COMPUTED_VALUE"""),1.0)</f>
        <v>1</v>
      </c>
      <c r="D11">
        <f>IFERROR(__xludf.DUMMYFUNCTION("""COMPUTED_VALUE"""),3.0)</f>
        <v>3</v>
      </c>
      <c r="K11">
        <f t="shared" ref="K11:M11" si="32">if(B11=1,0,K10+1)</f>
        <v>3</v>
      </c>
      <c r="L11">
        <f t="shared" si="32"/>
        <v>0</v>
      </c>
      <c r="M11">
        <f t="shared" si="32"/>
        <v>1</v>
      </c>
      <c r="O11" s="8">
        <f>IFERROR(__xludf.DUMMYFUNCTION("""COMPUTED_VALUE"""),45851.0)</f>
        <v>45851</v>
      </c>
      <c r="P11">
        <f t="shared" ref="P11:R11" si="33">B11+P12</f>
        <v>533</v>
      </c>
      <c r="Q11">
        <f t="shared" si="33"/>
        <v>536</v>
      </c>
      <c r="R11">
        <f t="shared" si="33"/>
        <v>537</v>
      </c>
      <c r="S11" s="1">
        <v>0.0</v>
      </c>
      <c r="U11" s="8">
        <f>IFERROR(__xludf.DUMMYFUNCTION("""COMPUTED_VALUE"""),45851.0)</f>
        <v>45851</v>
      </c>
      <c r="V11">
        <f t="shared" si="9"/>
        <v>3</v>
      </c>
      <c r="W11">
        <f t="shared" si="10"/>
        <v>0</v>
      </c>
      <c r="X11">
        <f t="shared" si="11"/>
        <v>-1</v>
      </c>
      <c r="Z11" s="8">
        <f>IFERROR(__xludf.DUMMYFUNCTION("""COMPUTED_VALUE"""),45851.0)</f>
        <v>45851</v>
      </c>
      <c r="AA11">
        <f t="shared" si="12"/>
        <v>0</v>
      </c>
      <c r="AB11">
        <f t="shared" si="13"/>
        <v>-3</v>
      </c>
      <c r="AC11">
        <f t="shared" si="14"/>
        <v>-4</v>
      </c>
    </row>
    <row r="12">
      <c r="A12" s="8">
        <f>IFERROR(__xludf.DUMMYFUNCTION("""COMPUTED_VALUE"""),45844.0)</f>
        <v>45844</v>
      </c>
      <c r="B12">
        <f>IFERROR(__xludf.DUMMYFUNCTION("""COMPUTED_VALUE"""),1.0)</f>
        <v>1</v>
      </c>
      <c r="C12">
        <f>IFERROR(__xludf.DUMMYFUNCTION("""COMPUTED_VALUE"""),3.0)</f>
        <v>3</v>
      </c>
      <c r="D12">
        <f>IFERROR(__xludf.DUMMYFUNCTION("""COMPUTED_VALUE"""),2.0)</f>
        <v>2</v>
      </c>
      <c r="K12">
        <f t="shared" ref="K12:M12" si="34">if(B12=1,0,K11+1)</f>
        <v>0</v>
      </c>
      <c r="L12">
        <f t="shared" si="34"/>
        <v>1</v>
      </c>
      <c r="M12">
        <f t="shared" si="34"/>
        <v>2</v>
      </c>
      <c r="O12" s="8">
        <f>IFERROR(__xludf.DUMMYFUNCTION("""COMPUTED_VALUE"""),45844.0)</f>
        <v>45844</v>
      </c>
      <c r="P12">
        <f t="shared" ref="P12:R12" si="35">B12+P13</f>
        <v>531</v>
      </c>
      <c r="Q12">
        <f t="shared" si="35"/>
        <v>535</v>
      </c>
      <c r="R12">
        <f t="shared" si="35"/>
        <v>534</v>
      </c>
      <c r="S12">
        <f>min(P12:R12)-MINIFS(P12:R12,P12:R12, "&lt;&gt;"&amp;Min(P12:R12))</f>
        <v>-3</v>
      </c>
      <c r="U12" s="8">
        <f>IFERROR(__xludf.DUMMYFUNCTION("""COMPUTED_VALUE"""),45844.0)</f>
        <v>45844</v>
      </c>
      <c r="V12">
        <f t="shared" si="9"/>
        <v>4</v>
      </c>
      <c r="W12">
        <f t="shared" si="10"/>
        <v>0</v>
      </c>
      <c r="X12">
        <f t="shared" si="11"/>
        <v>1</v>
      </c>
      <c r="Z12" s="8">
        <f>IFERROR(__xludf.DUMMYFUNCTION("""COMPUTED_VALUE"""),45844.0)</f>
        <v>45844</v>
      </c>
      <c r="AA12">
        <f t="shared" si="12"/>
        <v>0</v>
      </c>
      <c r="AB12">
        <f t="shared" si="13"/>
        <v>-4</v>
      </c>
      <c r="AC12">
        <f t="shared" si="14"/>
        <v>-3</v>
      </c>
    </row>
    <row r="13">
      <c r="A13" s="8">
        <f>IFERROR(__xludf.DUMMYFUNCTION("""COMPUTED_VALUE"""),45837.0)</f>
        <v>45837</v>
      </c>
      <c r="B13">
        <f>IFERROR(__xludf.DUMMYFUNCTION("""COMPUTED_VALUE"""),3.0)</f>
        <v>3</v>
      </c>
      <c r="C13">
        <f>IFERROR(__xludf.DUMMYFUNCTION("""COMPUTED_VALUE"""),2.0)</f>
        <v>2</v>
      </c>
      <c r="D13">
        <f>IFERROR(__xludf.DUMMYFUNCTION("""COMPUTED_VALUE"""),1.0)</f>
        <v>1</v>
      </c>
      <c r="K13">
        <f t="shared" ref="K13:M13" si="36">if(B13=1,0,K12+1)</f>
        <v>1</v>
      </c>
      <c r="L13">
        <f t="shared" si="36"/>
        <v>2</v>
      </c>
      <c r="M13">
        <f t="shared" si="36"/>
        <v>0</v>
      </c>
      <c r="O13" s="8">
        <f>IFERROR(__xludf.DUMMYFUNCTION("""COMPUTED_VALUE"""),45837.0)</f>
        <v>45837</v>
      </c>
      <c r="P13">
        <f t="shared" ref="P13:R13" si="37">B13+P14</f>
        <v>530</v>
      </c>
      <c r="Q13">
        <f t="shared" si="37"/>
        <v>532</v>
      </c>
      <c r="R13">
        <f t="shared" si="37"/>
        <v>532</v>
      </c>
      <c r="S13" s="1">
        <v>0.0</v>
      </c>
      <c r="U13" s="8">
        <f>IFERROR(__xludf.DUMMYFUNCTION("""COMPUTED_VALUE"""),45837.0)</f>
        <v>45837</v>
      </c>
      <c r="V13">
        <f t="shared" si="9"/>
        <v>2</v>
      </c>
      <c r="W13">
        <f t="shared" si="10"/>
        <v>0</v>
      </c>
      <c r="X13">
        <f t="shared" si="11"/>
        <v>0</v>
      </c>
      <c r="Z13" s="8">
        <f>IFERROR(__xludf.DUMMYFUNCTION("""COMPUTED_VALUE"""),45837.0)</f>
        <v>45837</v>
      </c>
      <c r="AA13">
        <f t="shared" si="12"/>
        <v>0</v>
      </c>
      <c r="AB13">
        <f t="shared" si="13"/>
        <v>-2</v>
      </c>
      <c r="AC13">
        <f t="shared" si="14"/>
        <v>-2</v>
      </c>
    </row>
    <row r="14">
      <c r="A14" s="8">
        <f>IFERROR(__xludf.DUMMYFUNCTION("""COMPUTED_VALUE"""),45823.0)</f>
        <v>45823</v>
      </c>
      <c r="B14">
        <f>IFERROR(__xludf.DUMMYFUNCTION("""COMPUTED_VALUE"""),2.0)</f>
        <v>2</v>
      </c>
      <c r="C14">
        <f>IFERROR(__xludf.DUMMYFUNCTION("""COMPUTED_VALUE"""),3.0)</f>
        <v>3</v>
      </c>
      <c r="D14">
        <f>IFERROR(__xludf.DUMMYFUNCTION("""COMPUTED_VALUE"""),1.0)</f>
        <v>1</v>
      </c>
      <c r="K14">
        <f t="shared" ref="K14:M14" si="38">if(B14=1,0,K13+1)</f>
        <v>2</v>
      </c>
      <c r="L14">
        <f t="shared" si="38"/>
        <v>3</v>
      </c>
      <c r="M14">
        <f t="shared" si="38"/>
        <v>0</v>
      </c>
      <c r="O14" s="8">
        <f>IFERROR(__xludf.DUMMYFUNCTION("""COMPUTED_VALUE"""),45823.0)</f>
        <v>45823</v>
      </c>
      <c r="P14">
        <f t="shared" ref="P14:R14" si="39">B14+P15</f>
        <v>527</v>
      </c>
      <c r="Q14">
        <f t="shared" si="39"/>
        <v>530</v>
      </c>
      <c r="R14">
        <f t="shared" si="39"/>
        <v>531</v>
      </c>
      <c r="S14">
        <f t="shared" ref="S14:S31" si="42">min(P14:R14)-MINIFS(P14:R14,P14:R14, "&lt;&gt;"&amp;Min(P14:R14))</f>
        <v>-3</v>
      </c>
      <c r="U14" s="8">
        <f>IFERROR(__xludf.DUMMYFUNCTION("""COMPUTED_VALUE"""),45823.0)</f>
        <v>45823</v>
      </c>
      <c r="V14">
        <f t="shared" si="9"/>
        <v>3</v>
      </c>
      <c r="W14">
        <f t="shared" si="10"/>
        <v>0</v>
      </c>
      <c r="X14">
        <f t="shared" si="11"/>
        <v>-1</v>
      </c>
      <c r="Z14" s="8">
        <f>IFERROR(__xludf.DUMMYFUNCTION("""COMPUTED_VALUE"""),45823.0)</f>
        <v>45823</v>
      </c>
      <c r="AA14">
        <f t="shared" si="12"/>
        <v>0</v>
      </c>
      <c r="AB14">
        <f t="shared" si="13"/>
        <v>-3</v>
      </c>
      <c r="AC14">
        <f t="shared" si="14"/>
        <v>-4</v>
      </c>
    </row>
    <row r="15">
      <c r="A15" s="8">
        <f>IFERROR(__xludf.DUMMYFUNCTION("""COMPUTED_VALUE"""),45816.0)</f>
        <v>45816</v>
      </c>
      <c r="B15">
        <f>IFERROR(__xludf.DUMMYFUNCTION("""COMPUTED_VALUE"""),2.0)</f>
        <v>2</v>
      </c>
      <c r="C15">
        <f>IFERROR(__xludf.DUMMYFUNCTION("""COMPUTED_VALUE"""),1.0)</f>
        <v>1</v>
      </c>
      <c r="D15">
        <f>IFERROR(__xludf.DUMMYFUNCTION("""COMPUTED_VALUE"""),3.0)</f>
        <v>3</v>
      </c>
      <c r="K15">
        <f t="shared" ref="K15:M15" si="40">if(B15=1,0,K14+1)</f>
        <v>3</v>
      </c>
      <c r="L15">
        <f t="shared" si="40"/>
        <v>0</v>
      </c>
      <c r="M15">
        <f t="shared" si="40"/>
        <v>1</v>
      </c>
      <c r="O15" s="8">
        <f>IFERROR(__xludf.DUMMYFUNCTION("""COMPUTED_VALUE"""),45816.0)</f>
        <v>45816</v>
      </c>
      <c r="P15">
        <f t="shared" ref="P15:R15" si="41">B15+P16</f>
        <v>525</v>
      </c>
      <c r="Q15">
        <f t="shared" si="41"/>
        <v>527</v>
      </c>
      <c r="R15">
        <f t="shared" si="41"/>
        <v>530</v>
      </c>
      <c r="S15">
        <f t="shared" si="42"/>
        <v>-2</v>
      </c>
      <c r="U15" s="8">
        <f>IFERROR(__xludf.DUMMYFUNCTION("""COMPUTED_VALUE"""),45816.0)</f>
        <v>45816</v>
      </c>
      <c r="V15">
        <f t="shared" si="9"/>
        <v>2</v>
      </c>
      <c r="W15">
        <f t="shared" si="10"/>
        <v>0</v>
      </c>
      <c r="X15">
        <f t="shared" si="11"/>
        <v>-3</v>
      </c>
      <c r="Z15" s="8">
        <f>IFERROR(__xludf.DUMMYFUNCTION("""COMPUTED_VALUE"""),45816.0)</f>
        <v>45816</v>
      </c>
      <c r="AA15">
        <f t="shared" si="12"/>
        <v>0</v>
      </c>
      <c r="AB15">
        <f t="shared" si="13"/>
        <v>-2</v>
      </c>
      <c r="AC15">
        <f t="shared" si="14"/>
        <v>-5</v>
      </c>
    </row>
    <row r="16">
      <c r="A16" s="8">
        <f>IFERROR(__xludf.DUMMYFUNCTION("""COMPUTED_VALUE"""),45809.0)</f>
        <v>45809</v>
      </c>
      <c r="B16">
        <f>IFERROR(__xludf.DUMMYFUNCTION("""COMPUTED_VALUE"""),3.0)</f>
        <v>3</v>
      </c>
      <c r="C16">
        <f>IFERROR(__xludf.DUMMYFUNCTION("""COMPUTED_VALUE"""),2.0)</f>
        <v>2</v>
      </c>
      <c r="D16">
        <f>IFERROR(__xludf.DUMMYFUNCTION("""COMPUTED_VALUE"""),1.0)</f>
        <v>1</v>
      </c>
      <c r="F16" s="1"/>
      <c r="K16">
        <f t="shared" ref="K16:M16" si="43">if(B16=1,0,K15+1)</f>
        <v>4</v>
      </c>
      <c r="L16">
        <f t="shared" si="43"/>
        <v>1</v>
      </c>
      <c r="M16">
        <f t="shared" si="43"/>
        <v>0</v>
      </c>
      <c r="O16" s="8">
        <f>IFERROR(__xludf.DUMMYFUNCTION("""COMPUTED_VALUE"""),45809.0)</f>
        <v>45809</v>
      </c>
      <c r="P16">
        <f t="shared" ref="P16:R16" si="44">B16+P17</f>
        <v>523</v>
      </c>
      <c r="Q16">
        <f t="shared" si="44"/>
        <v>526</v>
      </c>
      <c r="R16">
        <f t="shared" si="44"/>
        <v>527</v>
      </c>
      <c r="S16">
        <f t="shared" si="42"/>
        <v>-3</v>
      </c>
      <c r="U16" s="8">
        <f>IFERROR(__xludf.DUMMYFUNCTION("""COMPUTED_VALUE"""),45809.0)</f>
        <v>45809</v>
      </c>
      <c r="V16">
        <f t="shared" si="9"/>
        <v>3</v>
      </c>
      <c r="W16">
        <f t="shared" si="10"/>
        <v>0</v>
      </c>
      <c r="X16">
        <f t="shared" si="11"/>
        <v>-1</v>
      </c>
      <c r="Z16" s="8">
        <f>IFERROR(__xludf.DUMMYFUNCTION("""COMPUTED_VALUE"""),45809.0)</f>
        <v>45809</v>
      </c>
      <c r="AA16">
        <f t="shared" si="12"/>
        <v>0</v>
      </c>
      <c r="AB16">
        <f t="shared" si="13"/>
        <v>-3</v>
      </c>
      <c r="AC16">
        <f t="shared" si="14"/>
        <v>-4</v>
      </c>
    </row>
    <row r="17">
      <c r="A17" s="8">
        <f>IFERROR(__xludf.DUMMYFUNCTION("""COMPUTED_VALUE"""),45746.0)</f>
        <v>45746</v>
      </c>
      <c r="B17">
        <f>IFERROR(__xludf.DUMMYFUNCTION("""COMPUTED_VALUE"""),1.0)</f>
        <v>1</v>
      </c>
      <c r="C17">
        <f>IFERROR(__xludf.DUMMYFUNCTION("""COMPUTED_VALUE"""),3.0)</f>
        <v>3</v>
      </c>
      <c r="D17">
        <f>IFERROR(__xludf.DUMMYFUNCTION("""COMPUTED_VALUE"""),2.0)</f>
        <v>2</v>
      </c>
      <c r="K17">
        <f t="shared" ref="K17:M17" si="45">if(B17=1,0,K16+1)</f>
        <v>0</v>
      </c>
      <c r="L17">
        <f t="shared" si="45"/>
        <v>2</v>
      </c>
      <c r="M17">
        <f t="shared" si="45"/>
        <v>1</v>
      </c>
      <c r="O17" s="8">
        <f>IFERROR(__xludf.DUMMYFUNCTION("""COMPUTED_VALUE"""),45746.0)</f>
        <v>45746</v>
      </c>
      <c r="P17">
        <f t="shared" ref="P17:R17" si="46">B17+P18</f>
        <v>520</v>
      </c>
      <c r="Q17">
        <f t="shared" si="46"/>
        <v>524</v>
      </c>
      <c r="R17">
        <f t="shared" si="46"/>
        <v>526</v>
      </c>
      <c r="S17">
        <f t="shared" si="42"/>
        <v>-4</v>
      </c>
      <c r="U17" s="8">
        <f>IFERROR(__xludf.DUMMYFUNCTION("""COMPUTED_VALUE"""),45746.0)</f>
        <v>45746</v>
      </c>
      <c r="V17">
        <f t="shared" si="9"/>
        <v>4</v>
      </c>
      <c r="W17">
        <f t="shared" si="10"/>
        <v>0</v>
      </c>
      <c r="X17">
        <f t="shared" si="11"/>
        <v>-2</v>
      </c>
      <c r="Z17" s="8">
        <f>IFERROR(__xludf.DUMMYFUNCTION("""COMPUTED_VALUE"""),45746.0)</f>
        <v>45746</v>
      </c>
      <c r="AA17">
        <f t="shared" si="12"/>
        <v>0</v>
      </c>
      <c r="AB17">
        <f t="shared" si="13"/>
        <v>-4</v>
      </c>
      <c r="AC17">
        <f t="shared" si="14"/>
        <v>-6</v>
      </c>
    </row>
    <row r="18">
      <c r="A18" s="8">
        <f>IFERROR(__xludf.DUMMYFUNCTION("""COMPUTED_VALUE"""),45725.0)</f>
        <v>45725</v>
      </c>
      <c r="B18">
        <f>IFERROR(__xludf.DUMMYFUNCTION("""COMPUTED_VALUE"""),3.0)</f>
        <v>3</v>
      </c>
      <c r="C18">
        <f>IFERROR(__xludf.DUMMYFUNCTION("""COMPUTED_VALUE"""),2.0)</f>
        <v>2</v>
      </c>
      <c r="D18">
        <f>IFERROR(__xludf.DUMMYFUNCTION("""COMPUTED_VALUE"""),1.0)</f>
        <v>1</v>
      </c>
      <c r="K18">
        <f t="shared" ref="K18:M18" si="47">if(B18=1,0,K17+1)</f>
        <v>1</v>
      </c>
      <c r="L18">
        <f t="shared" si="47"/>
        <v>3</v>
      </c>
      <c r="M18">
        <f t="shared" si="47"/>
        <v>0</v>
      </c>
      <c r="O18" s="8">
        <f>IFERROR(__xludf.DUMMYFUNCTION("""COMPUTED_VALUE"""),45725.0)</f>
        <v>45725</v>
      </c>
      <c r="P18">
        <f t="shared" ref="P18:R18" si="48">B18+P19</f>
        <v>519</v>
      </c>
      <c r="Q18">
        <f t="shared" si="48"/>
        <v>521</v>
      </c>
      <c r="R18">
        <f t="shared" si="48"/>
        <v>524</v>
      </c>
      <c r="S18">
        <f t="shared" si="42"/>
        <v>-2</v>
      </c>
      <c r="U18" s="8">
        <f>IFERROR(__xludf.DUMMYFUNCTION("""COMPUTED_VALUE"""),45725.0)</f>
        <v>45725</v>
      </c>
      <c r="V18">
        <f t="shared" si="9"/>
        <v>2</v>
      </c>
      <c r="W18">
        <f t="shared" si="10"/>
        <v>0</v>
      </c>
      <c r="X18">
        <f t="shared" si="11"/>
        <v>-3</v>
      </c>
      <c r="Z18" s="8">
        <f>IFERROR(__xludf.DUMMYFUNCTION("""COMPUTED_VALUE"""),45725.0)</f>
        <v>45725</v>
      </c>
      <c r="AA18">
        <f t="shared" si="12"/>
        <v>0</v>
      </c>
      <c r="AB18">
        <f t="shared" si="13"/>
        <v>-2</v>
      </c>
      <c r="AC18">
        <f t="shared" si="14"/>
        <v>-5</v>
      </c>
    </row>
    <row r="19">
      <c r="A19" s="8">
        <f>IFERROR(__xludf.DUMMYFUNCTION("""COMPUTED_VALUE"""),45683.0)</f>
        <v>45683</v>
      </c>
      <c r="B19">
        <f>IFERROR(__xludf.DUMMYFUNCTION("""COMPUTED_VALUE"""),2.0)</f>
        <v>2</v>
      </c>
      <c r="C19">
        <f>IFERROR(__xludf.DUMMYFUNCTION("""COMPUTED_VALUE"""),1.0)</f>
        <v>1</v>
      </c>
      <c r="D19">
        <f>IFERROR(__xludf.DUMMYFUNCTION("""COMPUTED_VALUE"""),3.0)</f>
        <v>3</v>
      </c>
      <c r="K19">
        <f t="shared" ref="K19:M19" si="49">if(B19=1,0,K18+1)</f>
        <v>2</v>
      </c>
      <c r="L19">
        <f t="shared" si="49"/>
        <v>0</v>
      </c>
      <c r="M19">
        <f t="shared" si="49"/>
        <v>1</v>
      </c>
      <c r="O19" s="8">
        <f>IFERROR(__xludf.DUMMYFUNCTION("""COMPUTED_VALUE"""),45683.0)</f>
        <v>45683</v>
      </c>
      <c r="P19">
        <f t="shared" ref="P19:R19" si="50">B19+P20</f>
        <v>516</v>
      </c>
      <c r="Q19">
        <f t="shared" si="50"/>
        <v>519</v>
      </c>
      <c r="R19">
        <f t="shared" si="50"/>
        <v>523</v>
      </c>
      <c r="S19">
        <f t="shared" si="42"/>
        <v>-3</v>
      </c>
      <c r="U19" s="8">
        <f>IFERROR(__xludf.DUMMYFUNCTION("""COMPUTED_VALUE"""),45683.0)</f>
        <v>45683</v>
      </c>
      <c r="V19">
        <f t="shared" si="9"/>
        <v>3</v>
      </c>
      <c r="W19">
        <f t="shared" si="10"/>
        <v>0</v>
      </c>
      <c r="X19">
        <f t="shared" si="11"/>
        <v>-4</v>
      </c>
      <c r="Z19" s="8">
        <f>IFERROR(__xludf.DUMMYFUNCTION("""COMPUTED_VALUE"""),45683.0)</f>
        <v>45683</v>
      </c>
      <c r="AA19">
        <f t="shared" si="12"/>
        <v>0</v>
      </c>
      <c r="AB19">
        <f t="shared" si="13"/>
        <v>-3</v>
      </c>
      <c r="AC19">
        <f t="shared" si="14"/>
        <v>-7</v>
      </c>
    </row>
    <row r="20">
      <c r="A20" s="8">
        <f>IFERROR(__xludf.DUMMYFUNCTION("""COMPUTED_VALUE"""),45676.0)</f>
        <v>45676</v>
      </c>
      <c r="B20">
        <f>IFERROR(__xludf.DUMMYFUNCTION("""COMPUTED_VALUE"""),3.0)</f>
        <v>3</v>
      </c>
      <c r="C20">
        <f>IFERROR(__xludf.DUMMYFUNCTION("""COMPUTED_VALUE"""),1.0)</f>
        <v>1</v>
      </c>
      <c r="D20">
        <f>IFERROR(__xludf.DUMMYFUNCTION("""COMPUTED_VALUE"""),2.0)</f>
        <v>2</v>
      </c>
      <c r="K20">
        <f t="shared" ref="K20:M20" si="51">if(B20=1,0,K19+1)</f>
        <v>3</v>
      </c>
      <c r="L20">
        <f t="shared" si="51"/>
        <v>0</v>
      </c>
      <c r="M20">
        <f t="shared" si="51"/>
        <v>2</v>
      </c>
      <c r="O20" s="8">
        <f>IFERROR(__xludf.DUMMYFUNCTION("""COMPUTED_VALUE"""),45676.0)</f>
        <v>45676</v>
      </c>
      <c r="P20">
        <f t="shared" ref="P20:R20" si="52">B20+P21</f>
        <v>514</v>
      </c>
      <c r="Q20">
        <f t="shared" si="52"/>
        <v>518</v>
      </c>
      <c r="R20">
        <f t="shared" si="52"/>
        <v>520</v>
      </c>
      <c r="S20">
        <f t="shared" si="42"/>
        <v>-4</v>
      </c>
      <c r="U20" s="8">
        <f>IFERROR(__xludf.DUMMYFUNCTION("""COMPUTED_VALUE"""),45676.0)</f>
        <v>45676</v>
      </c>
      <c r="V20">
        <f t="shared" si="9"/>
        <v>4</v>
      </c>
      <c r="W20">
        <f t="shared" si="10"/>
        <v>0</v>
      </c>
      <c r="X20">
        <f t="shared" si="11"/>
        <v>-2</v>
      </c>
      <c r="Z20" s="8">
        <f>IFERROR(__xludf.DUMMYFUNCTION("""COMPUTED_VALUE"""),45676.0)</f>
        <v>45676</v>
      </c>
      <c r="AA20">
        <f t="shared" si="12"/>
        <v>0</v>
      </c>
      <c r="AB20">
        <f t="shared" si="13"/>
        <v>-4</v>
      </c>
      <c r="AC20">
        <f t="shared" si="14"/>
        <v>-6</v>
      </c>
    </row>
    <row r="21">
      <c r="A21" s="8">
        <f>IFERROR(__xludf.DUMMYFUNCTION("""COMPUTED_VALUE"""),45550.0)</f>
        <v>45550</v>
      </c>
      <c r="B21">
        <f>IFERROR(__xludf.DUMMYFUNCTION("""COMPUTED_VALUE"""),1.0)</f>
        <v>1</v>
      </c>
      <c r="C21">
        <f>IFERROR(__xludf.DUMMYFUNCTION("""COMPUTED_VALUE"""),3.0)</f>
        <v>3</v>
      </c>
      <c r="D21">
        <f>IFERROR(__xludf.DUMMYFUNCTION("""COMPUTED_VALUE"""),2.0)</f>
        <v>2</v>
      </c>
      <c r="K21">
        <f t="shared" ref="K21:M21" si="53">if(B21=1,0,K20+1)</f>
        <v>0</v>
      </c>
      <c r="L21">
        <f t="shared" si="53"/>
        <v>1</v>
      </c>
      <c r="M21">
        <f t="shared" si="53"/>
        <v>3</v>
      </c>
      <c r="O21" s="8">
        <f>IFERROR(__xludf.DUMMYFUNCTION("""COMPUTED_VALUE"""),45550.0)</f>
        <v>45550</v>
      </c>
      <c r="P21">
        <f t="shared" ref="P21:R21" si="54">B21+P22</f>
        <v>511</v>
      </c>
      <c r="Q21">
        <f t="shared" si="54"/>
        <v>517</v>
      </c>
      <c r="R21">
        <f t="shared" si="54"/>
        <v>518</v>
      </c>
      <c r="S21">
        <f t="shared" si="42"/>
        <v>-6</v>
      </c>
      <c r="U21" s="8">
        <f>IFERROR(__xludf.DUMMYFUNCTION("""COMPUTED_VALUE"""),45550.0)</f>
        <v>45550</v>
      </c>
      <c r="V21">
        <f t="shared" si="9"/>
        <v>6</v>
      </c>
      <c r="W21">
        <f t="shared" si="10"/>
        <v>0</v>
      </c>
      <c r="X21">
        <f t="shared" si="11"/>
        <v>-1</v>
      </c>
      <c r="Z21" s="8">
        <f>IFERROR(__xludf.DUMMYFUNCTION("""COMPUTED_VALUE"""),45550.0)</f>
        <v>45550</v>
      </c>
      <c r="AA21">
        <f t="shared" si="12"/>
        <v>0</v>
      </c>
      <c r="AB21">
        <f t="shared" si="13"/>
        <v>-6</v>
      </c>
      <c r="AC21">
        <f t="shared" si="14"/>
        <v>-7</v>
      </c>
    </row>
    <row r="22">
      <c r="A22" s="8">
        <f>IFERROR(__xludf.DUMMYFUNCTION("""COMPUTED_VALUE"""),45535.0)</f>
        <v>45535</v>
      </c>
      <c r="B22">
        <f>IFERROR(__xludf.DUMMYFUNCTION("""COMPUTED_VALUE"""),3.0)</f>
        <v>3</v>
      </c>
      <c r="C22">
        <f>IFERROR(__xludf.DUMMYFUNCTION("""COMPUTED_VALUE"""),1.0)</f>
        <v>1</v>
      </c>
      <c r="D22">
        <f>IFERROR(__xludf.DUMMYFUNCTION("""COMPUTED_VALUE"""),2.0)</f>
        <v>2</v>
      </c>
      <c r="K22">
        <f t="shared" ref="K22:M22" si="55">if(B22=1,0,K21+1)</f>
        <v>1</v>
      </c>
      <c r="L22">
        <f t="shared" si="55"/>
        <v>0</v>
      </c>
      <c r="M22">
        <f t="shared" si="55"/>
        <v>4</v>
      </c>
      <c r="O22" s="8">
        <f>IFERROR(__xludf.DUMMYFUNCTION("""COMPUTED_VALUE"""),45535.0)</f>
        <v>45535</v>
      </c>
      <c r="P22">
        <f t="shared" ref="P22:R22" si="56">B22+P23</f>
        <v>510</v>
      </c>
      <c r="Q22">
        <f t="shared" si="56"/>
        <v>514</v>
      </c>
      <c r="R22">
        <f t="shared" si="56"/>
        <v>516</v>
      </c>
      <c r="S22">
        <f t="shared" si="42"/>
        <v>-4</v>
      </c>
      <c r="U22" s="8">
        <f>IFERROR(__xludf.DUMMYFUNCTION("""COMPUTED_VALUE"""),45535.0)</f>
        <v>45535</v>
      </c>
      <c r="V22">
        <f t="shared" si="9"/>
        <v>4</v>
      </c>
      <c r="W22">
        <f t="shared" si="10"/>
        <v>0</v>
      </c>
      <c r="X22">
        <f t="shared" si="11"/>
        <v>-2</v>
      </c>
      <c r="Z22" s="8">
        <f>IFERROR(__xludf.DUMMYFUNCTION("""COMPUTED_VALUE"""),45535.0)</f>
        <v>45535</v>
      </c>
      <c r="AA22">
        <f t="shared" si="12"/>
        <v>0</v>
      </c>
      <c r="AB22">
        <f t="shared" si="13"/>
        <v>-4</v>
      </c>
      <c r="AC22">
        <f t="shared" si="14"/>
        <v>-6</v>
      </c>
    </row>
    <row r="23">
      <c r="A23" s="8">
        <f>IFERROR(__xludf.DUMMYFUNCTION("""COMPUTED_VALUE"""),45529.0)</f>
        <v>45529</v>
      </c>
      <c r="B23">
        <f>IFERROR(__xludf.DUMMYFUNCTION("""COMPUTED_VALUE"""),1.0)</f>
        <v>1</v>
      </c>
      <c r="C23">
        <f>IFERROR(__xludf.DUMMYFUNCTION("""COMPUTED_VALUE"""),2.0)</f>
        <v>2</v>
      </c>
      <c r="D23">
        <f>IFERROR(__xludf.DUMMYFUNCTION("""COMPUTED_VALUE"""),3.0)</f>
        <v>3</v>
      </c>
      <c r="K23">
        <f t="shared" ref="K23:M23" si="57">if(B23=1,0,K22+1)</f>
        <v>0</v>
      </c>
      <c r="L23">
        <f t="shared" si="57"/>
        <v>1</v>
      </c>
      <c r="M23">
        <f t="shared" si="57"/>
        <v>5</v>
      </c>
      <c r="O23" s="8">
        <f>IFERROR(__xludf.DUMMYFUNCTION("""COMPUTED_VALUE"""),45529.0)</f>
        <v>45529</v>
      </c>
      <c r="P23">
        <f t="shared" ref="P23:R23" si="58">B23+P24</f>
        <v>507</v>
      </c>
      <c r="Q23">
        <f t="shared" si="58"/>
        <v>513</v>
      </c>
      <c r="R23">
        <f t="shared" si="58"/>
        <v>514</v>
      </c>
      <c r="S23">
        <f t="shared" si="42"/>
        <v>-6</v>
      </c>
      <c r="U23" s="8">
        <f>IFERROR(__xludf.DUMMYFUNCTION("""COMPUTED_VALUE"""),45529.0)</f>
        <v>45529</v>
      </c>
      <c r="V23">
        <f t="shared" si="9"/>
        <v>6</v>
      </c>
      <c r="W23">
        <f t="shared" si="10"/>
        <v>0</v>
      </c>
      <c r="X23">
        <f t="shared" si="11"/>
        <v>-1</v>
      </c>
      <c r="Z23" s="8">
        <f>IFERROR(__xludf.DUMMYFUNCTION("""COMPUTED_VALUE"""),45529.0)</f>
        <v>45529</v>
      </c>
      <c r="AA23">
        <f t="shared" si="12"/>
        <v>0</v>
      </c>
      <c r="AB23">
        <f t="shared" si="13"/>
        <v>-6</v>
      </c>
      <c r="AC23">
        <f t="shared" si="14"/>
        <v>-7</v>
      </c>
    </row>
    <row r="24">
      <c r="A24" s="8">
        <f>IFERROR(__xludf.DUMMYFUNCTION("""COMPUTED_VALUE"""),45522.0)</f>
        <v>45522</v>
      </c>
      <c r="B24">
        <f>IFERROR(__xludf.DUMMYFUNCTION("""COMPUTED_VALUE"""),2.0)</f>
        <v>2</v>
      </c>
      <c r="C24">
        <f>IFERROR(__xludf.DUMMYFUNCTION("""COMPUTED_VALUE"""),1.0)</f>
        <v>1</v>
      </c>
      <c r="D24">
        <f>IFERROR(__xludf.DUMMYFUNCTION("""COMPUTED_VALUE"""),3.0)</f>
        <v>3</v>
      </c>
      <c r="K24">
        <f t="shared" ref="K24:M24" si="59">if(B24=1,0,K23+1)</f>
        <v>1</v>
      </c>
      <c r="L24">
        <f t="shared" si="59"/>
        <v>0</v>
      </c>
      <c r="M24">
        <f t="shared" si="59"/>
        <v>6</v>
      </c>
      <c r="O24" s="8">
        <f>IFERROR(__xludf.DUMMYFUNCTION("""COMPUTED_VALUE"""),45522.0)</f>
        <v>45522</v>
      </c>
      <c r="P24">
        <f t="shared" ref="P24:R24" si="60">B24+P25</f>
        <v>506</v>
      </c>
      <c r="Q24">
        <f t="shared" si="60"/>
        <v>511</v>
      </c>
      <c r="R24">
        <f t="shared" si="60"/>
        <v>511</v>
      </c>
      <c r="S24">
        <f t="shared" si="42"/>
        <v>-5</v>
      </c>
      <c r="U24" s="8">
        <f>IFERROR(__xludf.DUMMYFUNCTION("""COMPUTED_VALUE"""),45522.0)</f>
        <v>45522</v>
      </c>
      <c r="V24">
        <f t="shared" si="9"/>
        <v>5</v>
      </c>
      <c r="W24">
        <f t="shared" si="10"/>
        <v>0</v>
      </c>
      <c r="X24">
        <f t="shared" si="11"/>
        <v>0</v>
      </c>
      <c r="Z24" s="8">
        <f>IFERROR(__xludf.DUMMYFUNCTION("""COMPUTED_VALUE"""),45522.0)</f>
        <v>45522</v>
      </c>
      <c r="AA24">
        <f t="shared" si="12"/>
        <v>0</v>
      </c>
      <c r="AB24">
        <f t="shared" si="13"/>
        <v>-5</v>
      </c>
      <c r="AC24">
        <f t="shared" si="14"/>
        <v>-5</v>
      </c>
    </row>
    <row r="25">
      <c r="A25" s="8">
        <f>IFERROR(__xludf.DUMMYFUNCTION("""COMPUTED_VALUE"""),45515.0)</f>
        <v>45515</v>
      </c>
      <c r="B25">
        <f>IFERROR(__xludf.DUMMYFUNCTION("""COMPUTED_VALUE"""),2.0)</f>
        <v>2</v>
      </c>
      <c r="C25">
        <f>IFERROR(__xludf.DUMMYFUNCTION("""COMPUTED_VALUE"""),3.0)</f>
        <v>3</v>
      </c>
      <c r="D25">
        <f>IFERROR(__xludf.DUMMYFUNCTION("""COMPUTED_VALUE"""),1.0)</f>
        <v>1</v>
      </c>
      <c r="K25">
        <f t="shared" ref="K25:M25" si="61">if(B25=1,0,K24+1)</f>
        <v>2</v>
      </c>
      <c r="L25">
        <f t="shared" si="61"/>
        <v>1</v>
      </c>
      <c r="M25">
        <f t="shared" si="61"/>
        <v>0</v>
      </c>
      <c r="O25" s="8">
        <f>IFERROR(__xludf.DUMMYFUNCTION("""COMPUTED_VALUE"""),45515.0)</f>
        <v>45515</v>
      </c>
      <c r="P25">
        <f t="shared" ref="P25:R25" si="62">B25+P26</f>
        <v>504</v>
      </c>
      <c r="Q25">
        <f t="shared" si="62"/>
        <v>510</v>
      </c>
      <c r="R25">
        <f t="shared" si="62"/>
        <v>508</v>
      </c>
      <c r="S25">
        <f t="shared" si="42"/>
        <v>-4</v>
      </c>
      <c r="U25" s="8">
        <f>IFERROR(__xludf.DUMMYFUNCTION("""COMPUTED_VALUE"""),45515.0)</f>
        <v>45515</v>
      </c>
      <c r="V25">
        <f t="shared" si="9"/>
        <v>6</v>
      </c>
      <c r="W25">
        <f t="shared" si="10"/>
        <v>0</v>
      </c>
      <c r="X25">
        <f t="shared" si="11"/>
        <v>2</v>
      </c>
      <c r="Z25" s="8">
        <f>IFERROR(__xludf.DUMMYFUNCTION("""COMPUTED_VALUE"""),45515.0)</f>
        <v>45515</v>
      </c>
      <c r="AA25">
        <f t="shared" si="12"/>
        <v>0</v>
      </c>
      <c r="AB25">
        <f t="shared" si="13"/>
        <v>-6</v>
      </c>
      <c r="AC25">
        <f t="shared" si="14"/>
        <v>-4</v>
      </c>
    </row>
    <row r="26">
      <c r="A26" s="8">
        <f>IFERROR(__xludf.DUMMYFUNCTION("""COMPUTED_VALUE"""),45508.0)</f>
        <v>45508</v>
      </c>
      <c r="B26">
        <f>IFERROR(__xludf.DUMMYFUNCTION("""COMPUTED_VALUE"""),2.0)</f>
        <v>2</v>
      </c>
      <c r="C26">
        <f>IFERROR(__xludf.DUMMYFUNCTION("""COMPUTED_VALUE"""),3.0)</f>
        <v>3</v>
      </c>
      <c r="D26">
        <f>IFERROR(__xludf.DUMMYFUNCTION("""COMPUTED_VALUE"""),1.0)</f>
        <v>1</v>
      </c>
      <c r="K26">
        <f t="shared" ref="K26:M26" si="63">if(B26=1,0,K25+1)</f>
        <v>3</v>
      </c>
      <c r="L26">
        <f t="shared" si="63"/>
        <v>2</v>
      </c>
      <c r="M26">
        <f t="shared" si="63"/>
        <v>0</v>
      </c>
      <c r="O26" s="8">
        <f>IFERROR(__xludf.DUMMYFUNCTION("""COMPUTED_VALUE"""),45508.0)</f>
        <v>45508</v>
      </c>
      <c r="P26">
        <f t="shared" ref="P26:R26" si="64">B26+P27</f>
        <v>502</v>
      </c>
      <c r="Q26">
        <f t="shared" si="64"/>
        <v>507</v>
      </c>
      <c r="R26">
        <f t="shared" si="64"/>
        <v>507</v>
      </c>
      <c r="S26">
        <f t="shared" si="42"/>
        <v>-5</v>
      </c>
      <c r="U26" s="8">
        <f>IFERROR(__xludf.DUMMYFUNCTION("""COMPUTED_VALUE"""),45508.0)</f>
        <v>45508</v>
      </c>
      <c r="V26">
        <f t="shared" si="9"/>
        <v>5</v>
      </c>
      <c r="W26">
        <f t="shared" si="10"/>
        <v>0</v>
      </c>
      <c r="X26">
        <f t="shared" si="11"/>
        <v>0</v>
      </c>
      <c r="Z26" s="8">
        <f>IFERROR(__xludf.DUMMYFUNCTION("""COMPUTED_VALUE"""),45508.0)</f>
        <v>45508</v>
      </c>
      <c r="AA26">
        <f t="shared" si="12"/>
        <v>0</v>
      </c>
      <c r="AB26">
        <f t="shared" si="13"/>
        <v>-5</v>
      </c>
      <c r="AC26">
        <f t="shared" si="14"/>
        <v>-5</v>
      </c>
    </row>
    <row r="27">
      <c r="A27" s="8">
        <f>IFERROR(__xludf.DUMMYFUNCTION("""COMPUTED_VALUE"""),45494.0)</f>
        <v>45494</v>
      </c>
      <c r="B27">
        <f>IFERROR(__xludf.DUMMYFUNCTION("""COMPUTED_VALUE"""),3.0)</f>
        <v>3</v>
      </c>
      <c r="C27">
        <f>IFERROR(__xludf.DUMMYFUNCTION("""COMPUTED_VALUE"""),2.0)</f>
        <v>2</v>
      </c>
      <c r="D27">
        <f>IFERROR(__xludf.DUMMYFUNCTION("""COMPUTED_VALUE"""),1.0)</f>
        <v>1</v>
      </c>
      <c r="K27">
        <f t="shared" ref="K27:M27" si="65">if(B27=1,0,K26+1)</f>
        <v>4</v>
      </c>
      <c r="L27">
        <f t="shared" si="65"/>
        <v>3</v>
      </c>
      <c r="M27">
        <f t="shared" si="65"/>
        <v>0</v>
      </c>
      <c r="O27" s="8">
        <f>IFERROR(__xludf.DUMMYFUNCTION("""COMPUTED_VALUE"""),45494.0)</f>
        <v>45494</v>
      </c>
      <c r="P27">
        <f t="shared" ref="P27:R27" si="66">B27+P28</f>
        <v>500</v>
      </c>
      <c r="Q27">
        <f t="shared" si="66"/>
        <v>504</v>
      </c>
      <c r="R27">
        <f t="shared" si="66"/>
        <v>506</v>
      </c>
      <c r="S27">
        <f t="shared" si="42"/>
        <v>-4</v>
      </c>
      <c r="U27" s="8">
        <f>IFERROR(__xludf.DUMMYFUNCTION("""COMPUTED_VALUE"""),45494.0)</f>
        <v>45494</v>
      </c>
      <c r="V27">
        <f t="shared" si="9"/>
        <v>4</v>
      </c>
      <c r="W27">
        <f t="shared" si="10"/>
        <v>0</v>
      </c>
      <c r="X27">
        <f t="shared" si="11"/>
        <v>-2</v>
      </c>
      <c r="Z27" s="8">
        <f>IFERROR(__xludf.DUMMYFUNCTION("""COMPUTED_VALUE"""),45494.0)</f>
        <v>45494</v>
      </c>
      <c r="AA27">
        <f t="shared" si="12"/>
        <v>0</v>
      </c>
      <c r="AB27">
        <f t="shared" si="13"/>
        <v>-4</v>
      </c>
      <c r="AC27">
        <f t="shared" si="14"/>
        <v>-6</v>
      </c>
    </row>
    <row r="28">
      <c r="A28" s="8">
        <f>IFERROR(__xludf.DUMMYFUNCTION("""COMPUTED_VALUE"""),45487.0)</f>
        <v>45487</v>
      </c>
      <c r="B28">
        <f>IFERROR(__xludf.DUMMYFUNCTION("""COMPUTED_VALUE"""),1.0)</f>
        <v>1</v>
      </c>
      <c r="C28">
        <f>IFERROR(__xludf.DUMMYFUNCTION("""COMPUTED_VALUE"""),3.0)</f>
        <v>3</v>
      </c>
      <c r="D28">
        <f>IFERROR(__xludf.DUMMYFUNCTION("""COMPUTED_VALUE"""),2.0)</f>
        <v>2</v>
      </c>
      <c r="K28">
        <f t="shared" ref="K28:M28" si="67">if(B28=1,0,K27+1)</f>
        <v>0</v>
      </c>
      <c r="L28">
        <f t="shared" si="67"/>
        <v>4</v>
      </c>
      <c r="M28">
        <f t="shared" si="67"/>
        <v>1</v>
      </c>
      <c r="O28" s="8">
        <f>IFERROR(__xludf.DUMMYFUNCTION("""COMPUTED_VALUE"""),45487.0)</f>
        <v>45487</v>
      </c>
      <c r="P28">
        <f t="shared" ref="P28:R28" si="68">B28+P29</f>
        <v>497</v>
      </c>
      <c r="Q28">
        <f t="shared" si="68"/>
        <v>502</v>
      </c>
      <c r="R28">
        <f t="shared" si="68"/>
        <v>505</v>
      </c>
      <c r="S28">
        <f t="shared" si="42"/>
        <v>-5</v>
      </c>
      <c r="U28" s="8">
        <f>IFERROR(__xludf.DUMMYFUNCTION("""COMPUTED_VALUE"""),45487.0)</f>
        <v>45487</v>
      </c>
      <c r="V28">
        <f t="shared" si="9"/>
        <v>5</v>
      </c>
      <c r="W28">
        <f t="shared" si="10"/>
        <v>0</v>
      </c>
      <c r="X28">
        <f t="shared" si="11"/>
        <v>-3</v>
      </c>
      <c r="Z28" s="8">
        <f>IFERROR(__xludf.DUMMYFUNCTION("""COMPUTED_VALUE"""),45487.0)</f>
        <v>45487</v>
      </c>
      <c r="AA28">
        <f t="shared" si="12"/>
        <v>0</v>
      </c>
      <c r="AB28">
        <f t="shared" si="13"/>
        <v>-5</v>
      </c>
      <c r="AC28">
        <f t="shared" si="14"/>
        <v>-8</v>
      </c>
    </row>
    <row r="29">
      <c r="A29" s="8">
        <f>IFERROR(__xludf.DUMMYFUNCTION("""COMPUTED_VALUE"""),45480.0)</f>
        <v>45480</v>
      </c>
      <c r="B29">
        <f>IFERROR(__xludf.DUMMYFUNCTION("""COMPUTED_VALUE"""),1.0)</f>
        <v>1</v>
      </c>
      <c r="C29">
        <f>IFERROR(__xludf.DUMMYFUNCTION("""COMPUTED_VALUE"""),3.0)</f>
        <v>3</v>
      </c>
      <c r="D29">
        <f>IFERROR(__xludf.DUMMYFUNCTION("""COMPUTED_VALUE"""),2.0)</f>
        <v>2</v>
      </c>
      <c r="K29">
        <f t="shared" ref="K29:M29" si="69">if(B29=1,0,K28+1)</f>
        <v>0</v>
      </c>
      <c r="L29">
        <f t="shared" si="69"/>
        <v>5</v>
      </c>
      <c r="M29">
        <f t="shared" si="69"/>
        <v>2</v>
      </c>
      <c r="O29" s="8">
        <f>IFERROR(__xludf.DUMMYFUNCTION("""COMPUTED_VALUE"""),45480.0)</f>
        <v>45480</v>
      </c>
      <c r="P29">
        <f t="shared" ref="P29:R29" si="70">B29+P30</f>
        <v>496</v>
      </c>
      <c r="Q29">
        <f t="shared" si="70"/>
        <v>499</v>
      </c>
      <c r="R29">
        <f t="shared" si="70"/>
        <v>503</v>
      </c>
      <c r="S29">
        <f t="shared" si="42"/>
        <v>-3</v>
      </c>
      <c r="U29" s="8">
        <f>IFERROR(__xludf.DUMMYFUNCTION("""COMPUTED_VALUE"""),45480.0)</f>
        <v>45480</v>
      </c>
      <c r="V29">
        <f t="shared" si="9"/>
        <v>3</v>
      </c>
      <c r="W29">
        <f t="shared" si="10"/>
        <v>0</v>
      </c>
      <c r="X29">
        <f t="shared" si="11"/>
        <v>-4</v>
      </c>
      <c r="Z29" s="8">
        <f>IFERROR(__xludf.DUMMYFUNCTION("""COMPUTED_VALUE"""),45480.0)</f>
        <v>45480</v>
      </c>
      <c r="AA29">
        <f t="shared" si="12"/>
        <v>0</v>
      </c>
      <c r="AB29">
        <f t="shared" si="13"/>
        <v>-3</v>
      </c>
      <c r="AC29">
        <f t="shared" si="14"/>
        <v>-7</v>
      </c>
    </row>
    <row r="30">
      <c r="A30" s="8">
        <f>IFERROR(__xludf.DUMMYFUNCTION("""COMPUTED_VALUE"""),45477.0)</f>
        <v>45477</v>
      </c>
      <c r="B30">
        <f>IFERROR(__xludf.DUMMYFUNCTION("""COMPUTED_VALUE"""),2.0)</f>
        <v>2</v>
      </c>
      <c r="C30">
        <f>IFERROR(__xludf.DUMMYFUNCTION("""COMPUTED_VALUE"""),1.0)</f>
        <v>1</v>
      </c>
      <c r="D30">
        <f>IFERROR(__xludf.DUMMYFUNCTION("""COMPUTED_VALUE"""),3.0)</f>
        <v>3</v>
      </c>
      <c r="K30">
        <f t="shared" ref="K30:M30" si="71">if(B30=1,0,K29+1)</f>
        <v>1</v>
      </c>
      <c r="L30">
        <f t="shared" si="71"/>
        <v>0</v>
      </c>
      <c r="M30">
        <f t="shared" si="71"/>
        <v>3</v>
      </c>
      <c r="O30" s="8">
        <f>IFERROR(__xludf.DUMMYFUNCTION("""COMPUTED_VALUE"""),45477.0)</f>
        <v>45477</v>
      </c>
      <c r="P30">
        <f t="shared" ref="P30:R30" si="72">B30+P31</f>
        <v>495</v>
      </c>
      <c r="Q30">
        <f t="shared" si="72"/>
        <v>496</v>
      </c>
      <c r="R30">
        <f t="shared" si="72"/>
        <v>501</v>
      </c>
      <c r="S30">
        <f t="shared" si="42"/>
        <v>-1</v>
      </c>
      <c r="U30" s="8">
        <f>IFERROR(__xludf.DUMMYFUNCTION("""COMPUTED_VALUE"""),45477.0)</f>
        <v>45477</v>
      </c>
      <c r="V30">
        <f t="shared" si="9"/>
        <v>1</v>
      </c>
      <c r="W30">
        <f t="shared" si="10"/>
        <v>0</v>
      </c>
      <c r="X30">
        <f t="shared" si="11"/>
        <v>-5</v>
      </c>
      <c r="Z30" s="8">
        <f>IFERROR(__xludf.DUMMYFUNCTION("""COMPUTED_VALUE"""),45477.0)</f>
        <v>45477</v>
      </c>
      <c r="AA30">
        <f t="shared" si="12"/>
        <v>0</v>
      </c>
      <c r="AB30">
        <f t="shared" si="13"/>
        <v>-1</v>
      </c>
      <c r="AC30">
        <f t="shared" si="14"/>
        <v>-6</v>
      </c>
    </row>
    <row r="31">
      <c r="A31" s="8">
        <f>IFERROR(__xludf.DUMMYFUNCTION("""COMPUTED_VALUE"""),45438.0)</f>
        <v>45438</v>
      </c>
      <c r="B31">
        <f>IFERROR(__xludf.DUMMYFUNCTION("""COMPUTED_VALUE"""),2.0)</f>
        <v>2</v>
      </c>
      <c r="C31">
        <f>IFERROR(__xludf.DUMMYFUNCTION("""COMPUTED_VALUE"""),1.0)</f>
        <v>1</v>
      </c>
      <c r="D31">
        <f>IFERROR(__xludf.DUMMYFUNCTION("""COMPUTED_VALUE"""),3.0)</f>
        <v>3</v>
      </c>
      <c r="K31">
        <f t="shared" ref="K31:M31" si="73">if(B31=1,0,K30+1)</f>
        <v>2</v>
      </c>
      <c r="L31">
        <f t="shared" si="73"/>
        <v>0</v>
      </c>
      <c r="M31">
        <f t="shared" si="73"/>
        <v>4</v>
      </c>
      <c r="O31" s="8">
        <f>IFERROR(__xludf.DUMMYFUNCTION("""COMPUTED_VALUE"""),45438.0)</f>
        <v>45438</v>
      </c>
      <c r="P31">
        <f t="shared" ref="P31:R31" si="74">B31+P32</f>
        <v>493</v>
      </c>
      <c r="Q31">
        <f t="shared" si="74"/>
        <v>495</v>
      </c>
      <c r="R31">
        <f t="shared" si="74"/>
        <v>498</v>
      </c>
      <c r="S31">
        <f t="shared" si="42"/>
        <v>-2</v>
      </c>
      <c r="U31" s="8">
        <f>IFERROR(__xludf.DUMMYFUNCTION("""COMPUTED_VALUE"""),45438.0)</f>
        <v>45438</v>
      </c>
      <c r="V31">
        <f t="shared" si="9"/>
        <v>2</v>
      </c>
      <c r="W31">
        <f t="shared" si="10"/>
        <v>0</v>
      </c>
      <c r="X31">
        <f t="shared" si="11"/>
        <v>-3</v>
      </c>
      <c r="Z31" s="8">
        <f>IFERROR(__xludf.DUMMYFUNCTION("""COMPUTED_VALUE"""),45438.0)</f>
        <v>45438</v>
      </c>
      <c r="AA31">
        <f t="shared" si="12"/>
        <v>0</v>
      </c>
      <c r="AB31">
        <f t="shared" si="13"/>
        <v>-2</v>
      </c>
      <c r="AC31">
        <f t="shared" si="14"/>
        <v>-5</v>
      </c>
    </row>
    <row r="32">
      <c r="A32" s="8">
        <f>IFERROR(__xludf.DUMMYFUNCTION("""COMPUTED_VALUE"""),45431.0)</f>
        <v>45431</v>
      </c>
      <c r="B32">
        <f>IFERROR(__xludf.DUMMYFUNCTION("""COMPUTED_VALUE"""),2.0)</f>
        <v>2</v>
      </c>
      <c r="C32">
        <f>IFERROR(__xludf.DUMMYFUNCTION("""COMPUTED_VALUE"""),1.0)</f>
        <v>1</v>
      </c>
      <c r="D32">
        <f>IFERROR(__xludf.DUMMYFUNCTION("""COMPUTED_VALUE"""),3.0)</f>
        <v>3</v>
      </c>
      <c r="K32">
        <f t="shared" ref="K32:M32" si="75">if(B32=1,0,K31+1)</f>
        <v>3</v>
      </c>
      <c r="L32">
        <f t="shared" si="75"/>
        <v>0</v>
      </c>
      <c r="M32">
        <f t="shared" si="75"/>
        <v>5</v>
      </c>
      <c r="O32" s="8">
        <f>IFERROR(__xludf.DUMMYFUNCTION("""COMPUTED_VALUE"""),45431.0)</f>
        <v>45431</v>
      </c>
      <c r="P32">
        <f t="shared" ref="P32:R32" si="76">B32+P33</f>
        <v>491</v>
      </c>
      <c r="Q32">
        <f t="shared" si="76"/>
        <v>494</v>
      </c>
      <c r="R32">
        <f t="shared" si="76"/>
        <v>495</v>
      </c>
      <c r="S32" s="1">
        <v>0.0</v>
      </c>
      <c r="U32" s="8">
        <f>IFERROR(__xludf.DUMMYFUNCTION("""COMPUTED_VALUE"""),45431.0)</f>
        <v>45431</v>
      </c>
      <c r="V32">
        <f t="shared" si="9"/>
        <v>3</v>
      </c>
      <c r="W32">
        <f t="shared" si="10"/>
        <v>0</v>
      </c>
      <c r="X32">
        <f t="shared" si="11"/>
        <v>-1</v>
      </c>
      <c r="Z32" s="8">
        <f>IFERROR(__xludf.DUMMYFUNCTION("""COMPUTED_VALUE"""),45431.0)</f>
        <v>45431</v>
      </c>
      <c r="AA32">
        <f t="shared" si="12"/>
        <v>0</v>
      </c>
      <c r="AB32">
        <f t="shared" si="13"/>
        <v>-3</v>
      </c>
      <c r="AC32">
        <f t="shared" si="14"/>
        <v>-4</v>
      </c>
    </row>
    <row r="33">
      <c r="A33" s="8">
        <f>IFERROR(__xludf.DUMMYFUNCTION("""COMPUTED_VALUE"""),45277.0)</f>
        <v>45277</v>
      </c>
      <c r="B33">
        <f>IFERROR(__xludf.DUMMYFUNCTION("""COMPUTED_VALUE"""),2.0)</f>
        <v>2</v>
      </c>
      <c r="C33">
        <f>IFERROR(__xludf.DUMMYFUNCTION("""COMPUTED_VALUE"""),3.0)</f>
        <v>3</v>
      </c>
      <c r="D33">
        <f>IFERROR(__xludf.DUMMYFUNCTION("""COMPUTED_VALUE"""),1.0)</f>
        <v>1</v>
      </c>
      <c r="K33">
        <f t="shared" ref="K33:M33" si="77">if(B33=1,0,K32+1)</f>
        <v>4</v>
      </c>
      <c r="L33">
        <f t="shared" si="77"/>
        <v>1</v>
      </c>
      <c r="M33">
        <f t="shared" si="77"/>
        <v>0</v>
      </c>
      <c r="O33" s="8">
        <f>IFERROR(__xludf.DUMMYFUNCTION("""COMPUTED_VALUE"""),45277.0)</f>
        <v>45277</v>
      </c>
      <c r="P33">
        <f t="shared" ref="P33:R33" si="78">B33+P34</f>
        <v>489</v>
      </c>
      <c r="Q33">
        <f t="shared" si="78"/>
        <v>493</v>
      </c>
      <c r="R33">
        <f t="shared" si="78"/>
        <v>492</v>
      </c>
      <c r="S33">
        <f>min(P33:R33)-MINIFS(P33:R33,P33:R33, "&lt;&gt;"&amp;Min(P33:R33))</f>
        <v>-3</v>
      </c>
      <c r="U33" s="8">
        <f>IFERROR(__xludf.DUMMYFUNCTION("""COMPUTED_VALUE"""),45277.0)</f>
        <v>45277</v>
      </c>
      <c r="V33">
        <f t="shared" si="9"/>
        <v>4</v>
      </c>
      <c r="W33">
        <f t="shared" si="10"/>
        <v>0</v>
      </c>
      <c r="X33">
        <f t="shared" si="11"/>
        <v>1</v>
      </c>
      <c r="Z33" s="8">
        <f>IFERROR(__xludf.DUMMYFUNCTION("""COMPUTED_VALUE"""),45277.0)</f>
        <v>45277</v>
      </c>
      <c r="AA33">
        <f t="shared" si="12"/>
        <v>0</v>
      </c>
      <c r="AB33">
        <f t="shared" si="13"/>
        <v>-4</v>
      </c>
      <c r="AC33">
        <f t="shared" si="14"/>
        <v>-3</v>
      </c>
    </row>
    <row r="34">
      <c r="A34" s="8">
        <f>IFERROR(__xludf.DUMMYFUNCTION("""COMPUTED_VALUE"""),45270.0)</f>
        <v>45270</v>
      </c>
      <c r="B34">
        <f>IFERROR(__xludf.DUMMYFUNCTION("""COMPUTED_VALUE"""),3.0)</f>
        <v>3</v>
      </c>
      <c r="C34">
        <f>IFERROR(__xludf.DUMMYFUNCTION("""COMPUTED_VALUE"""),2.0)</f>
        <v>2</v>
      </c>
      <c r="D34">
        <f>IFERROR(__xludf.DUMMYFUNCTION("""COMPUTED_VALUE"""),1.0)</f>
        <v>1</v>
      </c>
      <c r="K34">
        <f t="shared" ref="K34:M34" si="79">if(B34=1,0,K33+1)</f>
        <v>5</v>
      </c>
      <c r="L34">
        <f t="shared" si="79"/>
        <v>2</v>
      </c>
      <c r="M34">
        <f t="shared" si="79"/>
        <v>0</v>
      </c>
      <c r="O34" s="8">
        <f>IFERROR(__xludf.DUMMYFUNCTION("""COMPUTED_VALUE"""),45270.0)</f>
        <v>45270</v>
      </c>
      <c r="P34">
        <f t="shared" ref="P34:R34" si="80">B34+P35</f>
        <v>487</v>
      </c>
      <c r="Q34">
        <f t="shared" si="80"/>
        <v>490</v>
      </c>
      <c r="R34">
        <f t="shared" si="80"/>
        <v>491</v>
      </c>
      <c r="S34" s="1">
        <v>0.0</v>
      </c>
      <c r="U34" s="8">
        <f>IFERROR(__xludf.DUMMYFUNCTION("""COMPUTED_VALUE"""),45270.0)</f>
        <v>45270</v>
      </c>
      <c r="V34">
        <f t="shared" si="9"/>
        <v>3</v>
      </c>
      <c r="W34">
        <f t="shared" si="10"/>
        <v>0</v>
      </c>
      <c r="X34">
        <f t="shared" si="11"/>
        <v>-1</v>
      </c>
      <c r="Z34" s="8">
        <f>IFERROR(__xludf.DUMMYFUNCTION("""COMPUTED_VALUE"""),45270.0)</f>
        <v>45270</v>
      </c>
      <c r="AA34">
        <f t="shared" si="12"/>
        <v>0</v>
      </c>
      <c r="AB34">
        <f t="shared" si="13"/>
        <v>-3</v>
      </c>
      <c r="AC34">
        <f t="shared" si="14"/>
        <v>-4</v>
      </c>
    </row>
    <row r="35">
      <c r="A35" s="8">
        <f>IFERROR(__xludf.DUMMYFUNCTION("""COMPUTED_VALUE"""),45144.0)</f>
        <v>45144</v>
      </c>
      <c r="B35">
        <f>IFERROR(__xludf.DUMMYFUNCTION("""COMPUTED_VALUE"""),3.0)</f>
        <v>3</v>
      </c>
      <c r="C35">
        <f>IFERROR(__xludf.DUMMYFUNCTION("""COMPUTED_VALUE"""),1.0)</f>
        <v>1</v>
      </c>
      <c r="D35">
        <f>IFERROR(__xludf.DUMMYFUNCTION("""COMPUTED_VALUE"""),2.0)</f>
        <v>2</v>
      </c>
      <c r="K35">
        <f t="shared" ref="K35:M35" si="81">if(B35=1,0,K34+1)</f>
        <v>6</v>
      </c>
      <c r="L35">
        <f t="shared" si="81"/>
        <v>0</v>
      </c>
      <c r="M35">
        <f t="shared" si="81"/>
        <v>1</v>
      </c>
      <c r="O35" s="8">
        <f>IFERROR(__xludf.DUMMYFUNCTION("""COMPUTED_VALUE"""),45144.0)</f>
        <v>45144</v>
      </c>
      <c r="P35">
        <f t="shared" ref="P35:R35" si="82">B35+P36</f>
        <v>484</v>
      </c>
      <c r="Q35">
        <f t="shared" si="82"/>
        <v>488</v>
      </c>
      <c r="R35">
        <f t="shared" si="82"/>
        <v>490</v>
      </c>
      <c r="S35">
        <f t="shared" ref="S35:S47" si="85">min(P35:R35)-MINIFS(P35:R35,P35:R35, "&lt;&gt;"&amp;Min(P35:R35))</f>
        <v>-4</v>
      </c>
      <c r="U35" s="8">
        <f>IFERROR(__xludf.DUMMYFUNCTION("""COMPUTED_VALUE"""),45144.0)</f>
        <v>45144</v>
      </c>
      <c r="V35">
        <f t="shared" si="9"/>
        <v>4</v>
      </c>
      <c r="W35">
        <f t="shared" si="10"/>
        <v>0</v>
      </c>
      <c r="X35">
        <f t="shared" si="11"/>
        <v>-2</v>
      </c>
      <c r="Z35" s="8">
        <f>IFERROR(__xludf.DUMMYFUNCTION("""COMPUTED_VALUE"""),45144.0)</f>
        <v>45144</v>
      </c>
      <c r="AA35">
        <f t="shared" si="12"/>
        <v>0</v>
      </c>
      <c r="AB35">
        <f t="shared" si="13"/>
        <v>-4</v>
      </c>
      <c r="AC35">
        <f t="shared" si="14"/>
        <v>-6</v>
      </c>
    </row>
    <row r="36">
      <c r="A36" s="8">
        <f>IFERROR(__xludf.DUMMYFUNCTION("""COMPUTED_VALUE"""),45123.0)</f>
        <v>45123</v>
      </c>
      <c r="B36">
        <f>IFERROR(__xludf.DUMMYFUNCTION("""COMPUTED_VALUE"""),1.0)</f>
        <v>1</v>
      </c>
      <c r="C36">
        <f>IFERROR(__xludf.DUMMYFUNCTION("""COMPUTED_VALUE"""),2.0)</f>
        <v>2</v>
      </c>
      <c r="D36">
        <f>IFERROR(__xludf.DUMMYFUNCTION("""COMPUTED_VALUE"""),3.0)</f>
        <v>3</v>
      </c>
      <c r="K36">
        <f t="shared" ref="K36:M36" si="83">if(B36=1,0,K35+1)</f>
        <v>0</v>
      </c>
      <c r="L36">
        <f t="shared" si="83"/>
        <v>1</v>
      </c>
      <c r="M36">
        <f t="shared" si="83"/>
        <v>2</v>
      </c>
      <c r="O36" s="8">
        <f>IFERROR(__xludf.DUMMYFUNCTION("""COMPUTED_VALUE"""),45123.0)</f>
        <v>45123</v>
      </c>
      <c r="P36">
        <f t="shared" ref="P36:R36" si="84">B36+P37</f>
        <v>481</v>
      </c>
      <c r="Q36">
        <f t="shared" si="84"/>
        <v>487</v>
      </c>
      <c r="R36">
        <f t="shared" si="84"/>
        <v>488</v>
      </c>
      <c r="S36">
        <f t="shared" si="85"/>
        <v>-6</v>
      </c>
      <c r="U36" s="8">
        <f>IFERROR(__xludf.DUMMYFUNCTION("""COMPUTED_VALUE"""),45123.0)</f>
        <v>45123</v>
      </c>
      <c r="V36">
        <f t="shared" si="9"/>
        <v>6</v>
      </c>
      <c r="W36">
        <f t="shared" si="10"/>
        <v>0</v>
      </c>
      <c r="X36">
        <f t="shared" si="11"/>
        <v>-1</v>
      </c>
      <c r="Z36" s="8">
        <f>IFERROR(__xludf.DUMMYFUNCTION("""COMPUTED_VALUE"""),45123.0)</f>
        <v>45123</v>
      </c>
      <c r="AA36">
        <f t="shared" si="12"/>
        <v>0</v>
      </c>
      <c r="AB36">
        <f t="shared" si="13"/>
        <v>-6</v>
      </c>
      <c r="AC36">
        <f t="shared" si="14"/>
        <v>-7</v>
      </c>
    </row>
    <row r="37">
      <c r="A37" s="8">
        <f>IFERROR(__xludf.DUMMYFUNCTION("""COMPUTED_VALUE"""),45116.0)</f>
        <v>45116</v>
      </c>
      <c r="B37">
        <f>IFERROR(__xludf.DUMMYFUNCTION("""COMPUTED_VALUE"""),1.0)</f>
        <v>1</v>
      </c>
      <c r="C37">
        <f>IFERROR(__xludf.DUMMYFUNCTION("""COMPUTED_VALUE"""),2.0)</f>
        <v>2</v>
      </c>
      <c r="D37">
        <f>IFERROR(__xludf.DUMMYFUNCTION("""COMPUTED_VALUE"""),3.0)</f>
        <v>3</v>
      </c>
      <c r="K37">
        <f t="shared" ref="K37:M37" si="86">if(B37=1,0,K36+1)</f>
        <v>0</v>
      </c>
      <c r="L37">
        <f t="shared" si="86"/>
        <v>2</v>
      </c>
      <c r="M37">
        <f t="shared" si="86"/>
        <v>3</v>
      </c>
      <c r="O37" s="8">
        <f>IFERROR(__xludf.DUMMYFUNCTION("""COMPUTED_VALUE"""),45116.0)</f>
        <v>45116</v>
      </c>
      <c r="P37">
        <f t="shared" ref="P37:R37" si="87">B37+P38</f>
        <v>480</v>
      </c>
      <c r="Q37">
        <f t="shared" si="87"/>
        <v>485</v>
      </c>
      <c r="R37">
        <f t="shared" si="87"/>
        <v>485</v>
      </c>
      <c r="S37">
        <f t="shared" si="85"/>
        <v>-5</v>
      </c>
      <c r="U37" s="8">
        <f>IFERROR(__xludf.DUMMYFUNCTION("""COMPUTED_VALUE"""),45116.0)</f>
        <v>45116</v>
      </c>
      <c r="V37">
        <f t="shared" si="9"/>
        <v>5</v>
      </c>
      <c r="W37">
        <f t="shared" si="10"/>
        <v>0</v>
      </c>
      <c r="X37">
        <f t="shared" si="11"/>
        <v>0</v>
      </c>
      <c r="Z37" s="8">
        <f>IFERROR(__xludf.DUMMYFUNCTION("""COMPUTED_VALUE"""),45116.0)</f>
        <v>45116</v>
      </c>
      <c r="AA37">
        <f t="shared" si="12"/>
        <v>0</v>
      </c>
      <c r="AB37">
        <f t="shared" si="13"/>
        <v>-5</v>
      </c>
      <c r="AC37">
        <f t="shared" si="14"/>
        <v>-5</v>
      </c>
    </row>
    <row r="38">
      <c r="A38" s="8">
        <f>IFERROR(__xludf.DUMMYFUNCTION("""COMPUTED_VALUE"""),45111.0)</f>
        <v>45111</v>
      </c>
      <c r="B38">
        <f>IFERROR(__xludf.DUMMYFUNCTION("""COMPUTED_VALUE"""),2.0)</f>
        <v>2</v>
      </c>
      <c r="C38">
        <f>IFERROR(__xludf.DUMMYFUNCTION("""COMPUTED_VALUE"""),1.0)</f>
        <v>1</v>
      </c>
      <c r="D38">
        <f>IFERROR(__xludf.DUMMYFUNCTION("""COMPUTED_VALUE"""),3.0)</f>
        <v>3</v>
      </c>
      <c r="K38">
        <f t="shared" ref="K38:M38" si="88">if(B38=1,0,K37+1)</f>
        <v>1</v>
      </c>
      <c r="L38">
        <f t="shared" si="88"/>
        <v>0</v>
      </c>
      <c r="M38">
        <f t="shared" si="88"/>
        <v>4</v>
      </c>
      <c r="O38" s="8">
        <f>IFERROR(__xludf.DUMMYFUNCTION("""COMPUTED_VALUE"""),45111.0)</f>
        <v>45111</v>
      </c>
      <c r="P38">
        <f t="shared" ref="P38:R38" si="89">B38+P39</f>
        <v>479</v>
      </c>
      <c r="Q38">
        <f t="shared" si="89"/>
        <v>483</v>
      </c>
      <c r="R38">
        <f t="shared" si="89"/>
        <v>482</v>
      </c>
      <c r="S38">
        <f t="shared" si="85"/>
        <v>-3</v>
      </c>
      <c r="U38" s="8">
        <f>IFERROR(__xludf.DUMMYFUNCTION("""COMPUTED_VALUE"""),45111.0)</f>
        <v>45111</v>
      </c>
      <c r="V38">
        <f t="shared" si="9"/>
        <v>4</v>
      </c>
      <c r="W38">
        <f t="shared" si="10"/>
        <v>0</v>
      </c>
      <c r="X38">
        <f t="shared" si="11"/>
        <v>1</v>
      </c>
      <c r="Z38" s="8">
        <f>IFERROR(__xludf.DUMMYFUNCTION("""COMPUTED_VALUE"""),45111.0)</f>
        <v>45111</v>
      </c>
      <c r="AA38">
        <f t="shared" si="12"/>
        <v>0</v>
      </c>
      <c r="AB38">
        <f t="shared" si="13"/>
        <v>-4</v>
      </c>
      <c r="AC38">
        <f t="shared" si="14"/>
        <v>-3</v>
      </c>
    </row>
    <row r="39">
      <c r="A39" s="8">
        <f>IFERROR(__xludf.DUMMYFUNCTION("""COMPUTED_VALUE"""),45109.0)</f>
        <v>45109</v>
      </c>
      <c r="B39">
        <f>IFERROR(__xludf.DUMMYFUNCTION("""COMPUTED_VALUE"""),2.0)</f>
        <v>2</v>
      </c>
      <c r="C39">
        <f>IFERROR(__xludf.DUMMYFUNCTION("""COMPUTED_VALUE"""),1.0)</f>
        <v>1</v>
      </c>
      <c r="D39">
        <f>IFERROR(__xludf.DUMMYFUNCTION("""COMPUTED_VALUE"""),3.0)</f>
        <v>3</v>
      </c>
      <c r="K39">
        <f t="shared" ref="K39:M39" si="90">if(B39=1,0,K38+1)</f>
        <v>2</v>
      </c>
      <c r="L39">
        <f t="shared" si="90"/>
        <v>0</v>
      </c>
      <c r="M39">
        <f t="shared" si="90"/>
        <v>5</v>
      </c>
      <c r="O39" s="8">
        <f>IFERROR(__xludf.DUMMYFUNCTION("""COMPUTED_VALUE"""),45109.0)</f>
        <v>45109</v>
      </c>
      <c r="P39">
        <f t="shared" ref="P39:R39" si="91">B39+P40</f>
        <v>477</v>
      </c>
      <c r="Q39">
        <f t="shared" si="91"/>
        <v>482</v>
      </c>
      <c r="R39">
        <f t="shared" si="91"/>
        <v>479</v>
      </c>
      <c r="S39">
        <f t="shared" si="85"/>
        <v>-2</v>
      </c>
      <c r="U39" s="8">
        <f>IFERROR(__xludf.DUMMYFUNCTION("""COMPUTED_VALUE"""),45109.0)</f>
        <v>45109</v>
      </c>
      <c r="V39">
        <f t="shared" si="9"/>
        <v>5</v>
      </c>
      <c r="W39">
        <f t="shared" si="10"/>
        <v>0</v>
      </c>
      <c r="X39">
        <f t="shared" si="11"/>
        <v>3</v>
      </c>
      <c r="Z39" s="8">
        <f>IFERROR(__xludf.DUMMYFUNCTION("""COMPUTED_VALUE"""),45109.0)</f>
        <v>45109</v>
      </c>
      <c r="AA39">
        <f t="shared" si="12"/>
        <v>0</v>
      </c>
      <c r="AB39">
        <f t="shared" si="13"/>
        <v>-5</v>
      </c>
      <c r="AC39">
        <f t="shared" si="14"/>
        <v>-2</v>
      </c>
    </row>
    <row r="40">
      <c r="A40" s="8">
        <f>IFERROR(__xludf.DUMMYFUNCTION("""COMPUTED_VALUE"""),45102.0)</f>
        <v>45102</v>
      </c>
      <c r="B40">
        <f>IFERROR(__xludf.DUMMYFUNCTION("""COMPUTED_VALUE"""),1.0)</f>
        <v>1</v>
      </c>
      <c r="C40">
        <f>IFERROR(__xludf.DUMMYFUNCTION("""COMPUTED_VALUE"""),2.0)</f>
        <v>2</v>
      </c>
      <c r="D40">
        <f>IFERROR(__xludf.DUMMYFUNCTION("""COMPUTED_VALUE"""),3.0)</f>
        <v>3</v>
      </c>
      <c r="K40">
        <f t="shared" ref="K40:M40" si="92">if(B40=1,0,K39+1)</f>
        <v>0</v>
      </c>
      <c r="L40">
        <f t="shared" si="92"/>
        <v>1</v>
      </c>
      <c r="M40">
        <f t="shared" si="92"/>
        <v>6</v>
      </c>
      <c r="O40" s="8">
        <f>IFERROR(__xludf.DUMMYFUNCTION("""COMPUTED_VALUE"""),45102.0)</f>
        <v>45102</v>
      </c>
      <c r="P40">
        <f t="shared" ref="P40:R40" si="93">B40+P41</f>
        <v>475</v>
      </c>
      <c r="Q40">
        <f t="shared" si="93"/>
        <v>481</v>
      </c>
      <c r="R40">
        <f t="shared" si="93"/>
        <v>476</v>
      </c>
      <c r="S40">
        <f t="shared" si="85"/>
        <v>-1</v>
      </c>
      <c r="U40" s="8">
        <f>IFERROR(__xludf.DUMMYFUNCTION("""COMPUTED_VALUE"""),45102.0)</f>
        <v>45102</v>
      </c>
      <c r="V40">
        <f t="shared" si="9"/>
        <v>6</v>
      </c>
      <c r="W40">
        <f t="shared" si="10"/>
        <v>0</v>
      </c>
      <c r="X40">
        <f t="shared" si="11"/>
        <v>5</v>
      </c>
      <c r="Z40" s="8">
        <f>IFERROR(__xludf.DUMMYFUNCTION("""COMPUTED_VALUE"""),45102.0)</f>
        <v>45102</v>
      </c>
      <c r="AA40">
        <f t="shared" si="12"/>
        <v>0</v>
      </c>
      <c r="AB40">
        <f t="shared" si="13"/>
        <v>-6</v>
      </c>
      <c r="AC40">
        <f t="shared" si="14"/>
        <v>-1</v>
      </c>
    </row>
    <row r="41">
      <c r="A41" s="8">
        <f>IFERROR(__xludf.DUMMYFUNCTION("""COMPUTED_VALUE"""),45088.0)</f>
        <v>45088</v>
      </c>
      <c r="B41">
        <f>IFERROR(__xludf.DUMMYFUNCTION("""COMPUTED_VALUE"""),1.0)</f>
        <v>1</v>
      </c>
      <c r="C41">
        <f>IFERROR(__xludf.DUMMYFUNCTION("""COMPUTED_VALUE"""),2.0)</f>
        <v>2</v>
      </c>
      <c r="D41">
        <f>IFERROR(__xludf.DUMMYFUNCTION("""COMPUTED_VALUE"""),3.0)</f>
        <v>3</v>
      </c>
      <c r="K41">
        <f t="shared" ref="K41:M41" si="94">if(B41=1,0,K40+1)</f>
        <v>0</v>
      </c>
      <c r="L41">
        <f t="shared" si="94"/>
        <v>2</v>
      </c>
      <c r="M41">
        <f t="shared" si="94"/>
        <v>7</v>
      </c>
      <c r="O41" s="8">
        <f>IFERROR(__xludf.DUMMYFUNCTION("""COMPUTED_VALUE"""),45088.0)</f>
        <v>45088</v>
      </c>
      <c r="P41">
        <f t="shared" ref="P41:R41" si="95">B41+P42</f>
        <v>474</v>
      </c>
      <c r="Q41">
        <f t="shared" si="95"/>
        <v>479</v>
      </c>
      <c r="R41">
        <f t="shared" si="95"/>
        <v>473</v>
      </c>
      <c r="S41">
        <f t="shared" si="85"/>
        <v>-1</v>
      </c>
      <c r="U41" s="8">
        <f>IFERROR(__xludf.DUMMYFUNCTION("""COMPUTED_VALUE"""),45088.0)</f>
        <v>45088</v>
      </c>
      <c r="V41">
        <f t="shared" si="9"/>
        <v>5</v>
      </c>
      <c r="W41">
        <f t="shared" si="10"/>
        <v>0</v>
      </c>
      <c r="X41">
        <f t="shared" si="11"/>
        <v>6</v>
      </c>
      <c r="Z41" s="8">
        <f>IFERROR(__xludf.DUMMYFUNCTION("""COMPUTED_VALUE"""),45088.0)</f>
        <v>45088</v>
      </c>
      <c r="AA41">
        <f t="shared" si="12"/>
        <v>-1</v>
      </c>
      <c r="AB41">
        <f t="shared" si="13"/>
        <v>-6</v>
      </c>
      <c r="AC41">
        <f t="shared" si="14"/>
        <v>0</v>
      </c>
    </row>
    <row r="42">
      <c r="A42" s="8">
        <f>IFERROR(__xludf.DUMMYFUNCTION("""COMPUTED_VALUE"""),45081.0)</f>
        <v>45081</v>
      </c>
      <c r="B42">
        <f>IFERROR(__xludf.DUMMYFUNCTION("""COMPUTED_VALUE"""),3.0)</f>
        <v>3</v>
      </c>
      <c r="C42">
        <f>IFERROR(__xludf.DUMMYFUNCTION("""COMPUTED_VALUE"""),1.0)</f>
        <v>1</v>
      </c>
      <c r="D42">
        <f>IFERROR(__xludf.DUMMYFUNCTION("""COMPUTED_VALUE"""),2.0)</f>
        <v>2</v>
      </c>
      <c r="K42">
        <f t="shared" ref="K42:M42" si="96">if(B42=1,0,K41+1)</f>
        <v>1</v>
      </c>
      <c r="L42">
        <f t="shared" si="96"/>
        <v>0</v>
      </c>
      <c r="M42">
        <f t="shared" si="96"/>
        <v>8</v>
      </c>
      <c r="O42" s="8">
        <f>IFERROR(__xludf.DUMMYFUNCTION("""COMPUTED_VALUE"""),45081.0)</f>
        <v>45081</v>
      </c>
      <c r="P42">
        <f t="shared" ref="P42:R42" si="97">B42+P43</f>
        <v>473</v>
      </c>
      <c r="Q42">
        <f t="shared" si="97"/>
        <v>477</v>
      </c>
      <c r="R42">
        <f t="shared" si="97"/>
        <v>470</v>
      </c>
      <c r="S42">
        <f t="shared" si="85"/>
        <v>-3</v>
      </c>
      <c r="U42" s="8">
        <f>IFERROR(__xludf.DUMMYFUNCTION("""COMPUTED_VALUE"""),45081.0)</f>
        <v>45081</v>
      </c>
      <c r="V42">
        <f t="shared" si="9"/>
        <v>4</v>
      </c>
      <c r="W42">
        <f t="shared" si="10"/>
        <v>0</v>
      </c>
      <c r="X42">
        <f t="shared" si="11"/>
        <v>7</v>
      </c>
      <c r="Z42" s="8">
        <f>IFERROR(__xludf.DUMMYFUNCTION("""COMPUTED_VALUE"""),45081.0)</f>
        <v>45081</v>
      </c>
      <c r="AA42">
        <f t="shared" si="12"/>
        <v>-3</v>
      </c>
      <c r="AB42">
        <f t="shared" si="13"/>
        <v>-7</v>
      </c>
      <c r="AC42">
        <f t="shared" si="14"/>
        <v>0</v>
      </c>
    </row>
    <row r="43">
      <c r="A43" s="8">
        <f>IFERROR(__xludf.DUMMYFUNCTION("""COMPUTED_VALUE"""),45073.0)</f>
        <v>45073</v>
      </c>
      <c r="B43">
        <f>IFERROR(__xludf.DUMMYFUNCTION("""COMPUTED_VALUE"""),3.0)</f>
        <v>3</v>
      </c>
      <c r="C43">
        <f>IFERROR(__xludf.DUMMYFUNCTION("""COMPUTED_VALUE"""),2.0)</f>
        <v>2</v>
      </c>
      <c r="D43">
        <f>IFERROR(__xludf.DUMMYFUNCTION("""COMPUTED_VALUE"""),1.0)</f>
        <v>1</v>
      </c>
      <c r="K43">
        <f t="shared" ref="K43:M43" si="98">if(B43=1,0,K42+1)</f>
        <v>2</v>
      </c>
      <c r="L43">
        <f t="shared" si="98"/>
        <v>1</v>
      </c>
      <c r="M43">
        <f t="shared" si="98"/>
        <v>0</v>
      </c>
      <c r="O43" s="8">
        <f>IFERROR(__xludf.DUMMYFUNCTION("""COMPUTED_VALUE"""),45073.0)</f>
        <v>45073</v>
      </c>
      <c r="P43">
        <f t="shared" ref="P43:R43" si="99">B43+P44</f>
        <v>470</v>
      </c>
      <c r="Q43">
        <f t="shared" si="99"/>
        <v>476</v>
      </c>
      <c r="R43">
        <f t="shared" si="99"/>
        <v>468</v>
      </c>
      <c r="S43">
        <f t="shared" si="85"/>
        <v>-2</v>
      </c>
      <c r="U43" s="8">
        <f>IFERROR(__xludf.DUMMYFUNCTION("""COMPUTED_VALUE"""),45073.0)</f>
        <v>45073</v>
      </c>
      <c r="V43">
        <f t="shared" si="9"/>
        <v>6</v>
      </c>
      <c r="W43">
        <f t="shared" si="10"/>
        <v>0</v>
      </c>
      <c r="X43">
        <f t="shared" si="11"/>
        <v>8</v>
      </c>
      <c r="Z43" s="8">
        <f>IFERROR(__xludf.DUMMYFUNCTION("""COMPUTED_VALUE"""),45073.0)</f>
        <v>45073</v>
      </c>
      <c r="AA43">
        <f t="shared" si="12"/>
        <v>-2</v>
      </c>
      <c r="AB43">
        <f t="shared" si="13"/>
        <v>-8</v>
      </c>
      <c r="AC43">
        <f t="shared" si="14"/>
        <v>0</v>
      </c>
    </row>
    <row r="44">
      <c r="A44" s="8">
        <f>IFERROR(__xludf.DUMMYFUNCTION("""COMPUTED_VALUE"""),45011.0)</f>
        <v>45011</v>
      </c>
      <c r="B44">
        <f>IFERROR(__xludf.DUMMYFUNCTION("""COMPUTED_VALUE"""),3.0)</f>
        <v>3</v>
      </c>
      <c r="C44">
        <f>IFERROR(__xludf.DUMMYFUNCTION("""COMPUTED_VALUE"""),1.0)</f>
        <v>1</v>
      </c>
      <c r="D44">
        <f>IFERROR(__xludf.DUMMYFUNCTION("""COMPUTED_VALUE"""),2.0)</f>
        <v>2</v>
      </c>
      <c r="K44">
        <f t="shared" ref="K44:M44" si="100">if(B44=1,0,K43+1)</f>
        <v>3</v>
      </c>
      <c r="L44">
        <f t="shared" si="100"/>
        <v>0</v>
      </c>
      <c r="M44">
        <f t="shared" si="100"/>
        <v>1</v>
      </c>
      <c r="O44" s="8">
        <f>IFERROR(__xludf.DUMMYFUNCTION("""COMPUTED_VALUE"""),45011.0)</f>
        <v>45011</v>
      </c>
      <c r="P44">
        <f t="shared" ref="P44:R44" si="101">B44+P45</f>
        <v>467</v>
      </c>
      <c r="Q44">
        <f t="shared" si="101"/>
        <v>474</v>
      </c>
      <c r="R44">
        <f t="shared" si="101"/>
        <v>467</v>
      </c>
      <c r="S44">
        <f t="shared" si="85"/>
        <v>-7</v>
      </c>
      <c r="U44" s="8">
        <f>IFERROR(__xludf.DUMMYFUNCTION("""COMPUTED_VALUE"""),45011.0)</f>
        <v>45011</v>
      </c>
      <c r="V44">
        <f t="shared" si="9"/>
        <v>7</v>
      </c>
      <c r="W44">
        <f t="shared" si="10"/>
        <v>0</v>
      </c>
      <c r="X44">
        <f t="shared" si="11"/>
        <v>7</v>
      </c>
      <c r="Z44" s="8">
        <f>IFERROR(__xludf.DUMMYFUNCTION("""COMPUTED_VALUE"""),45011.0)</f>
        <v>45011</v>
      </c>
      <c r="AA44">
        <f t="shared" si="12"/>
        <v>0</v>
      </c>
      <c r="AB44">
        <f t="shared" si="13"/>
        <v>-7</v>
      </c>
      <c r="AC44">
        <f t="shared" si="14"/>
        <v>0</v>
      </c>
    </row>
    <row r="45">
      <c r="A45" s="8">
        <f>IFERROR(__xludf.DUMMYFUNCTION("""COMPUTED_VALUE"""),44927.0)</f>
        <v>44927</v>
      </c>
      <c r="B45">
        <f>IFERROR(__xludf.DUMMYFUNCTION("""COMPUTED_VALUE"""),1.0)</f>
        <v>1</v>
      </c>
      <c r="C45">
        <f>IFERROR(__xludf.DUMMYFUNCTION("""COMPUTED_VALUE"""),2.0)</f>
        <v>2</v>
      </c>
      <c r="D45">
        <f>IFERROR(__xludf.DUMMYFUNCTION("""COMPUTED_VALUE"""),3.0)</f>
        <v>3</v>
      </c>
      <c r="K45">
        <f t="shared" ref="K45:M45" si="102">if(B45=1,0,K44+1)</f>
        <v>0</v>
      </c>
      <c r="L45">
        <f t="shared" si="102"/>
        <v>1</v>
      </c>
      <c r="M45">
        <f t="shared" si="102"/>
        <v>2</v>
      </c>
      <c r="O45" s="8">
        <f>IFERROR(__xludf.DUMMYFUNCTION("""COMPUTED_VALUE"""),44927.0)</f>
        <v>44927</v>
      </c>
      <c r="P45">
        <f t="shared" ref="P45:R45" si="103">B45+P46</f>
        <v>464</v>
      </c>
      <c r="Q45">
        <f t="shared" si="103"/>
        <v>473</v>
      </c>
      <c r="R45">
        <f t="shared" si="103"/>
        <v>465</v>
      </c>
      <c r="S45">
        <f t="shared" si="85"/>
        <v>-1</v>
      </c>
      <c r="U45" s="8">
        <f>IFERROR(__xludf.DUMMYFUNCTION("""COMPUTED_VALUE"""),44927.0)</f>
        <v>44927</v>
      </c>
      <c r="V45">
        <f t="shared" si="9"/>
        <v>9</v>
      </c>
      <c r="W45">
        <f t="shared" si="10"/>
        <v>0</v>
      </c>
      <c r="X45">
        <f t="shared" si="11"/>
        <v>8</v>
      </c>
      <c r="Z45" s="8">
        <f>IFERROR(__xludf.DUMMYFUNCTION("""COMPUTED_VALUE"""),44927.0)</f>
        <v>44927</v>
      </c>
      <c r="AA45">
        <f t="shared" si="12"/>
        <v>0</v>
      </c>
      <c r="AB45">
        <f t="shared" si="13"/>
        <v>-9</v>
      </c>
      <c r="AC45">
        <f t="shared" si="14"/>
        <v>-1</v>
      </c>
    </row>
    <row r="46">
      <c r="A46" s="8">
        <f>IFERROR(__xludf.DUMMYFUNCTION("""COMPUTED_VALUE"""),44885.0)</f>
        <v>44885</v>
      </c>
      <c r="B46">
        <f>IFERROR(__xludf.DUMMYFUNCTION("""COMPUTED_VALUE"""),2.0)</f>
        <v>2</v>
      </c>
      <c r="C46">
        <f>IFERROR(__xludf.DUMMYFUNCTION("""COMPUTED_VALUE"""),1.0)</f>
        <v>1</v>
      </c>
      <c r="D46">
        <f>IFERROR(__xludf.DUMMYFUNCTION("""COMPUTED_VALUE"""),3.0)</f>
        <v>3</v>
      </c>
      <c r="K46">
        <f t="shared" ref="K46:M46" si="104">if(B46=1,0,K45+1)</f>
        <v>1</v>
      </c>
      <c r="L46">
        <f t="shared" si="104"/>
        <v>0</v>
      </c>
      <c r="M46">
        <f t="shared" si="104"/>
        <v>3</v>
      </c>
      <c r="O46" s="8">
        <f>IFERROR(__xludf.DUMMYFUNCTION("""COMPUTED_VALUE"""),44885.0)</f>
        <v>44885</v>
      </c>
      <c r="P46">
        <f t="shared" ref="P46:R46" si="105">B46+P47</f>
        <v>463</v>
      </c>
      <c r="Q46">
        <f t="shared" si="105"/>
        <v>471</v>
      </c>
      <c r="R46">
        <f t="shared" si="105"/>
        <v>462</v>
      </c>
      <c r="S46">
        <f t="shared" si="85"/>
        <v>-1</v>
      </c>
      <c r="U46" s="8">
        <f>IFERROR(__xludf.DUMMYFUNCTION("""COMPUTED_VALUE"""),44885.0)</f>
        <v>44885</v>
      </c>
      <c r="V46">
        <f t="shared" si="9"/>
        <v>8</v>
      </c>
      <c r="W46">
        <f t="shared" si="10"/>
        <v>0</v>
      </c>
      <c r="X46">
        <f t="shared" si="11"/>
        <v>9</v>
      </c>
      <c r="Z46" s="8">
        <f>IFERROR(__xludf.DUMMYFUNCTION("""COMPUTED_VALUE"""),44885.0)</f>
        <v>44885</v>
      </c>
      <c r="AA46">
        <f t="shared" si="12"/>
        <v>-1</v>
      </c>
      <c r="AB46">
        <f t="shared" si="13"/>
        <v>-9</v>
      </c>
      <c r="AC46">
        <f t="shared" si="14"/>
        <v>0</v>
      </c>
    </row>
    <row r="47">
      <c r="A47" s="8">
        <f>IFERROR(__xludf.DUMMYFUNCTION("""COMPUTED_VALUE"""),44843.0)</f>
        <v>44843</v>
      </c>
      <c r="B47">
        <f>IFERROR(__xludf.DUMMYFUNCTION("""COMPUTED_VALUE"""),2.0)</f>
        <v>2</v>
      </c>
      <c r="C47">
        <f>IFERROR(__xludf.DUMMYFUNCTION("""COMPUTED_VALUE"""),3.0)</f>
        <v>3</v>
      </c>
      <c r="D47">
        <f>IFERROR(__xludf.DUMMYFUNCTION("""COMPUTED_VALUE"""),1.0)</f>
        <v>1</v>
      </c>
      <c r="K47">
        <f t="shared" ref="K47:M47" si="106">if(B47=1,0,K46+1)</f>
        <v>2</v>
      </c>
      <c r="L47">
        <f t="shared" si="106"/>
        <v>1</v>
      </c>
      <c r="M47">
        <f t="shared" si="106"/>
        <v>0</v>
      </c>
      <c r="O47" s="8">
        <f>IFERROR(__xludf.DUMMYFUNCTION("""COMPUTED_VALUE"""),44843.0)</f>
        <v>44843</v>
      </c>
      <c r="P47">
        <f t="shared" ref="P47:R47" si="107">B47+P48</f>
        <v>461</v>
      </c>
      <c r="Q47">
        <f t="shared" si="107"/>
        <v>470</v>
      </c>
      <c r="R47">
        <f t="shared" si="107"/>
        <v>459</v>
      </c>
      <c r="S47">
        <f t="shared" si="85"/>
        <v>-2</v>
      </c>
      <c r="U47" s="8">
        <f>IFERROR(__xludf.DUMMYFUNCTION("""COMPUTED_VALUE"""),44843.0)</f>
        <v>44843</v>
      </c>
      <c r="V47">
        <f t="shared" si="9"/>
        <v>9</v>
      </c>
      <c r="W47">
        <f t="shared" si="10"/>
        <v>0</v>
      </c>
      <c r="X47">
        <f t="shared" si="11"/>
        <v>11</v>
      </c>
      <c r="Z47" s="8">
        <f>IFERROR(__xludf.DUMMYFUNCTION("""COMPUTED_VALUE"""),44843.0)</f>
        <v>44843</v>
      </c>
      <c r="AA47">
        <f t="shared" si="12"/>
        <v>-2</v>
      </c>
      <c r="AB47">
        <f t="shared" si="13"/>
        <v>-11</v>
      </c>
      <c r="AC47">
        <f t="shared" si="14"/>
        <v>0</v>
      </c>
    </row>
    <row r="48">
      <c r="A48" s="8">
        <f>IFERROR(__xludf.DUMMYFUNCTION("""COMPUTED_VALUE"""),44759.0)</f>
        <v>44759</v>
      </c>
      <c r="B48">
        <f>IFERROR(__xludf.DUMMYFUNCTION("""COMPUTED_VALUE"""),3.0)</f>
        <v>3</v>
      </c>
      <c r="C48">
        <f>IFERROR(__xludf.DUMMYFUNCTION("""COMPUTED_VALUE"""),1.0)</f>
        <v>1</v>
      </c>
      <c r="D48">
        <f>IFERROR(__xludf.DUMMYFUNCTION("""COMPUTED_VALUE"""),2.0)</f>
        <v>2</v>
      </c>
      <c r="K48">
        <f t="shared" ref="K48:M48" si="108">if(B48=1,0,K47+1)</f>
        <v>3</v>
      </c>
      <c r="L48">
        <f t="shared" si="108"/>
        <v>0</v>
      </c>
      <c r="M48">
        <f t="shared" si="108"/>
        <v>1</v>
      </c>
      <c r="O48" s="8">
        <f>IFERROR(__xludf.DUMMYFUNCTION("""COMPUTED_VALUE"""),44759.0)</f>
        <v>44759</v>
      </c>
      <c r="P48">
        <f t="shared" ref="P48:R48" si="109">B48+P49</f>
        <v>459</v>
      </c>
      <c r="Q48">
        <f t="shared" si="109"/>
        <v>467</v>
      </c>
      <c r="R48">
        <f t="shared" si="109"/>
        <v>458</v>
      </c>
      <c r="S48" s="1">
        <v>0.0</v>
      </c>
      <c r="U48" s="8">
        <f>IFERROR(__xludf.DUMMYFUNCTION("""COMPUTED_VALUE"""),44759.0)</f>
        <v>44759</v>
      </c>
      <c r="V48">
        <f t="shared" si="9"/>
        <v>8</v>
      </c>
      <c r="W48">
        <f t="shared" si="10"/>
        <v>0</v>
      </c>
      <c r="X48">
        <f t="shared" si="11"/>
        <v>9</v>
      </c>
      <c r="Z48" s="8">
        <f>IFERROR(__xludf.DUMMYFUNCTION("""COMPUTED_VALUE"""),44759.0)</f>
        <v>44759</v>
      </c>
      <c r="AA48">
        <f t="shared" si="12"/>
        <v>-1</v>
      </c>
      <c r="AB48">
        <f t="shared" si="13"/>
        <v>-9</v>
      </c>
      <c r="AC48">
        <f t="shared" si="14"/>
        <v>0</v>
      </c>
    </row>
    <row r="49">
      <c r="A49" s="8">
        <f>IFERROR(__xludf.DUMMYFUNCTION("""COMPUTED_VALUE"""),44682.0)</f>
        <v>44682</v>
      </c>
      <c r="B49">
        <f>IFERROR(__xludf.DUMMYFUNCTION("""COMPUTED_VALUE"""),2.0)</f>
        <v>2</v>
      </c>
      <c r="C49">
        <f>IFERROR(__xludf.DUMMYFUNCTION("""COMPUTED_VALUE"""),3.0)</f>
        <v>3</v>
      </c>
      <c r="D49">
        <f>IFERROR(__xludf.DUMMYFUNCTION("""COMPUTED_VALUE"""),1.0)</f>
        <v>1</v>
      </c>
      <c r="K49">
        <f t="shared" ref="K49:M49" si="110">if(B49=1,0,K48+1)</f>
        <v>4</v>
      </c>
      <c r="L49">
        <f t="shared" si="110"/>
        <v>1</v>
      </c>
      <c r="M49">
        <f t="shared" si="110"/>
        <v>0</v>
      </c>
      <c r="O49" s="8">
        <f>IFERROR(__xludf.DUMMYFUNCTION("""COMPUTED_VALUE"""),44682.0)</f>
        <v>44682</v>
      </c>
      <c r="P49">
        <f t="shared" ref="P49:R49" si="111">B49+P50</f>
        <v>456</v>
      </c>
      <c r="Q49">
        <f t="shared" si="111"/>
        <v>466</v>
      </c>
      <c r="R49">
        <f t="shared" si="111"/>
        <v>456</v>
      </c>
      <c r="S49">
        <f t="shared" ref="S49:S52" si="114">min(P49:R49)-MINIFS(P49:R49,P49:R49, "&lt;&gt;"&amp;Min(P49:R49))</f>
        <v>-10</v>
      </c>
      <c r="U49" s="8">
        <f>IFERROR(__xludf.DUMMYFUNCTION("""COMPUTED_VALUE"""),44682.0)</f>
        <v>44682</v>
      </c>
      <c r="V49">
        <f t="shared" si="9"/>
        <v>10</v>
      </c>
      <c r="W49">
        <f t="shared" si="10"/>
        <v>0</v>
      </c>
      <c r="X49">
        <f t="shared" si="11"/>
        <v>10</v>
      </c>
      <c r="Z49" s="8">
        <f>IFERROR(__xludf.DUMMYFUNCTION("""COMPUTED_VALUE"""),44682.0)</f>
        <v>44682</v>
      </c>
      <c r="AA49">
        <f t="shared" si="12"/>
        <v>0</v>
      </c>
      <c r="AB49">
        <f t="shared" si="13"/>
        <v>-10</v>
      </c>
      <c r="AC49">
        <f t="shared" si="14"/>
        <v>0</v>
      </c>
    </row>
    <row r="50">
      <c r="A50" s="8">
        <f>IFERROR(__xludf.DUMMYFUNCTION("""COMPUTED_VALUE"""),44654.0)</f>
        <v>44654</v>
      </c>
      <c r="B50">
        <f>IFERROR(__xludf.DUMMYFUNCTION("""COMPUTED_VALUE"""),1.0)</f>
        <v>1</v>
      </c>
      <c r="C50">
        <f>IFERROR(__xludf.DUMMYFUNCTION("""COMPUTED_VALUE"""),3.0)</f>
        <v>3</v>
      </c>
      <c r="D50">
        <f>IFERROR(__xludf.DUMMYFUNCTION("""COMPUTED_VALUE"""),2.0)</f>
        <v>2</v>
      </c>
      <c r="K50">
        <f t="shared" ref="K50:M50" si="112">if(B50=1,0,K49+1)</f>
        <v>0</v>
      </c>
      <c r="L50">
        <f t="shared" si="112"/>
        <v>2</v>
      </c>
      <c r="M50">
        <f t="shared" si="112"/>
        <v>1</v>
      </c>
      <c r="O50" s="8">
        <f>IFERROR(__xludf.DUMMYFUNCTION("""COMPUTED_VALUE"""),44654.0)</f>
        <v>44654</v>
      </c>
      <c r="P50">
        <f t="shared" ref="P50:R50" si="113">B50+P51</f>
        <v>454</v>
      </c>
      <c r="Q50">
        <f t="shared" si="113"/>
        <v>463</v>
      </c>
      <c r="R50">
        <f t="shared" si="113"/>
        <v>455</v>
      </c>
      <c r="S50">
        <f t="shared" si="114"/>
        <v>-1</v>
      </c>
      <c r="U50" s="8">
        <f>IFERROR(__xludf.DUMMYFUNCTION("""COMPUTED_VALUE"""),44654.0)</f>
        <v>44654</v>
      </c>
      <c r="V50">
        <f t="shared" si="9"/>
        <v>9</v>
      </c>
      <c r="W50">
        <f t="shared" si="10"/>
        <v>0</v>
      </c>
      <c r="X50">
        <f t="shared" si="11"/>
        <v>8</v>
      </c>
      <c r="Z50" s="8">
        <f>IFERROR(__xludf.DUMMYFUNCTION("""COMPUTED_VALUE"""),44654.0)</f>
        <v>44654</v>
      </c>
      <c r="AA50">
        <f t="shared" si="12"/>
        <v>0</v>
      </c>
      <c r="AB50">
        <f t="shared" si="13"/>
        <v>-9</v>
      </c>
      <c r="AC50">
        <f t="shared" si="14"/>
        <v>-1</v>
      </c>
    </row>
    <row r="51">
      <c r="A51" s="8">
        <f>IFERROR(__xludf.DUMMYFUNCTION("""COMPUTED_VALUE"""),44633.0)</f>
        <v>44633</v>
      </c>
      <c r="B51">
        <f>IFERROR(__xludf.DUMMYFUNCTION("""COMPUTED_VALUE"""),1.0)</f>
        <v>1</v>
      </c>
      <c r="C51">
        <f>IFERROR(__xludf.DUMMYFUNCTION("""COMPUTED_VALUE"""),2.0)</f>
        <v>2</v>
      </c>
      <c r="D51">
        <f>IFERROR(__xludf.DUMMYFUNCTION("""COMPUTED_VALUE"""),3.0)</f>
        <v>3</v>
      </c>
      <c r="K51">
        <f t="shared" ref="K51:M51" si="115">if(B51=1,0,K50+1)</f>
        <v>0</v>
      </c>
      <c r="L51">
        <f t="shared" si="115"/>
        <v>3</v>
      </c>
      <c r="M51">
        <f t="shared" si="115"/>
        <v>2</v>
      </c>
      <c r="O51" s="8">
        <f>IFERROR(__xludf.DUMMYFUNCTION("""COMPUTED_VALUE"""),44633.0)</f>
        <v>44633</v>
      </c>
      <c r="P51">
        <f t="shared" ref="P51:R51" si="116">B51+P52</f>
        <v>453</v>
      </c>
      <c r="Q51">
        <f t="shared" si="116"/>
        <v>460</v>
      </c>
      <c r="R51">
        <f t="shared" si="116"/>
        <v>453</v>
      </c>
      <c r="S51">
        <f t="shared" si="114"/>
        <v>-7</v>
      </c>
      <c r="U51" s="8">
        <f>IFERROR(__xludf.DUMMYFUNCTION("""COMPUTED_VALUE"""),44633.0)</f>
        <v>44633</v>
      </c>
      <c r="V51">
        <f t="shared" si="9"/>
        <v>7</v>
      </c>
      <c r="W51">
        <f t="shared" si="10"/>
        <v>0</v>
      </c>
      <c r="X51">
        <f t="shared" si="11"/>
        <v>7</v>
      </c>
      <c r="Z51" s="8">
        <f>IFERROR(__xludf.DUMMYFUNCTION("""COMPUTED_VALUE"""),44633.0)</f>
        <v>44633</v>
      </c>
      <c r="AA51">
        <f t="shared" si="12"/>
        <v>0</v>
      </c>
      <c r="AB51">
        <f t="shared" si="13"/>
        <v>-7</v>
      </c>
      <c r="AC51">
        <f t="shared" si="14"/>
        <v>0</v>
      </c>
    </row>
    <row r="52">
      <c r="A52" s="8">
        <f>IFERROR(__xludf.DUMMYFUNCTION("""COMPUTED_VALUE"""),44591.0)</f>
        <v>44591</v>
      </c>
      <c r="B52">
        <f>IFERROR(__xludf.DUMMYFUNCTION("""COMPUTED_VALUE"""),3.0)</f>
        <v>3</v>
      </c>
      <c r="C52">
        <f>IFERROR(__xludf.DUMMYFUNCTION("""COMPUTED_VALUE"""),1.0)</f>
        <v>1</v>
      </c>
      <c r="D52">
        <f>IFERROR(__xludf.DUMMYFUNCTION("""COMPUTED_VALUE"""),2.0)</f>
        <v>2</v>
      </c>
      <c r="K52">
        <f t="shared" ref="K52:M52" si="117">if(B52=1,0,K51+1)</f>
        <v>1</v>
      </c>
      <c r="L52">
        <f t="shared" si="117"/>
        <v>0</v>
      </c>
      <c r="M52">
        <f t="shared" si="117"/>
        <v>3</v>
      </c>
      <c r="O52" s="8">
        <f>IFERROR(__xludf.DUMMYFUNCTION("""COMPUTED_VALUE"""),44591.0)</f>
        <v>44591</v>
      </c>
      <c r="P52">
        <f t="shared" ref="P52:R52" si="118">B52+P53</f>
        <v>452</v>
      </c>
      <c r="Q52">
        <f t="shared" si="118"/>
        <v>458</v>
      </c>
      <c r="R52">
        <f t="shared" si="118"/>
        <v>450</v>
      </c>
      <c r="S52">
        <f t="shared" si="114"/>
        <v>-2</v>
      </c>
      <c r="U52" s="8">
        <f>IFERROR(__xludf.DUMMYFUNCTION("""COMPUTED_VALUE"""),44591.0)</f>
        <v>44591</v>
      </c>
      <c r="V52">
        <f t="shared" si="9"/>
        <v>6</v>
      </c>
      <c r="W52">
        <f t="shared" si="10"/>
        <v>0</v>
      </c>
      <c r="X52">
        <f t="shared" si="11"/>
        <v>8</v>
      </c>
      <c r="Z52" s="8">
        <f>IFERROR(__xludf.DUMMYFUNCTION("""COMPUTED_VALUE"""),44591.0)</f>
        <v>44591</v>
      </c>
      <c r="AA52">
        <f t="shared" si="12"/>
        <v>-2</v>
      </c>
      <c r="AB52">
        <f t="shared" si="13"/>
        <v>-8</v>
      </c>
      <c r="AC52">
        <f t="shared" si="14"/>
        <v>0</v>
      </c>
    </row>
    <row r="53">
      <c r="A53" s="8">
        <f>IFERROR(__xludf.DUMMYFUNCTION("""COMPUTED_VALUE"""),44556.0)</f>
        <v>44556</v>
      </c>
      <c r="B53">
        <f>IFERROR(__xludf.DUMMYFUNCTION("""COMPUTED_VALUE"""),3.0)</f>
        <v>3</v>
      </c>
      <c r="C53">
        <f>IFERROR(__xludf.DUMMYFUNCTION("""COMPUTED_VALUE"""),1.0)</f>
        <v>1</v>
      </c>
      <c r="D53">
        <f>IFERROR(__xludf.DUMMYFUNCTION("""COMPUTED_VALUE"""),2.0)</f>
        <v>2</v>
      </c>
      <c r="K53">
        <f t="shared" ref="K53:M53" si="119">if(B53=1,0,K52+1)</f>
        <v>2</v>
      </c>
      <c r="L53">
        <f t="shared" si="119"/>
        <v>0</v>
      </c>
      <c r="M53">
        <f t="shared" si="119"/>
        <v>4</v>
      </c>
      <c r="O53" s="8">
        <f>IFERROR(__xludf.DUMMYFUNCTION("""COMPUTED_VALUE"""),44556.0)</f>
        <v>44556</v>
      </c>
      <c r="P53">
        <f t="shared" ref="P53:R53" si="120">B53+P54</f>
        <v>449</v>
      </c>
      <c r="Q53">
        <f t="shared" si="120"/>
        <v>457</v>
      </c>
      <c r="R53">
        <f t="shared" si="120"/>
        <v>448</v>
      </c>
      <c r="S53" s="1">
        <v>0.0</v>
      </c>
      <c r="U53" s="8">
        <f>IFERROR(__xludf.DUMMYFUNCTION("""COMPUTED_VALUE"""),44556.0)</f>
        <v>44556</v>
      </c>
      <c r="V53">
        <f t="shared" si="9"/>
        <v>8</v>
      </c>
      <c r="W53">
        <f t="shared" si="10"/>
        <v>0</v>
      </c>
      <c r="X53">
        <f t="shared" si="11"/>
        <v>9</v>
      </c>
      <c r="Z53" s="8">
        <f>IFERROR(__xludf.DUMMYFUNCTION("""COMPUTED_VALUE"""),44556.0)</f>
        <v>44556</v>
      </c>
      <c r="AA53">
        <f t="shared" si="12"/>
        <v>-1</v>
      </c>
      <c r="AB53">
        <f t="shared" si="13"/>
        <v>-9</v>
      </c>
      <c r="AC53">
        <f t="shared" si="14"/>
        <v>0</v>
      </c>
    </row>
    <row r="54">
      <c r="A54" s="8">
        <f>IFERROR(__xludf.DUMMYFUNCTION("""COMPUTED_VALUE"""),44549.0)</f>
        <v>44549</v>
      </c>
      <c r="B54">
        <f>IFERROR(__xludf.DUMMYFUNCTION("""COMPUTED_VALUE"""),3.0)</f>
        <v>3</v>
      </c>
      <c r="C54">
        <f>IFERROR(__xludf.DUMMYFUNCTION("""COMPUTED_VALUE"""),1.0)</f>
        <v>1</v>
      </c>
      <c r="D54">
        <f>IFERROR(__xludf.DUMMYFUNCTION("""COMPUTED_VALUE"""),2.0)</f>
        <v>2</v>
      </c>
      <c r="K54">
        <f t="shared" ref="K54:M54" si="121">if(B54=1,0,K53+1)</f>
        <v>3</v>
      </c>
      <c r="L54">
        <f t="shared" si="121"/>
        <v>0</v>
      </c>
      <c r="M54">
        <f t="shared" si="121"/>
        <v>5</v>
      </c>
      <c r="O54" s="8">
        <f>IFERROR(__xludf.DUMMYFUNCTION("""COMPUTED_VALUE"""),44549.0)</f>
        <v>44549</v>
      </c>
      <c r="P54">
        <f t="shared" ref="P54:R54" si="122">B54+P55</f>
        <v>446</v>
      </c>
      <c r="Q54">
        <f t="shared" si="122"/>
        <v>456</v>
      </c>
      <c r="R54">
        <f t="shared" si="122"/>
        <v>446</v>
      </c>
      <c r="S54">
        <f>min(P54:R54)-MINIFS(P54:R54,P54:R54, "&lt;&gt;"&amp;Min(P54:R54))</f>
        <v>-10</v>
      </c>
      <c r="U54" s="8">
        <f>IFERROR(__xludf.DUMMYFUNCTION("""COMPUTED_VALUE"""),44549.0)</f>
        <v>44549</v>
      </c>
      <c r="V54">
        <f t="shared" si="9"/>
        <v>10</v>
      </c>
      <c r="W54">
        <f t="shared" si="10"/>
        <v>0</v>
      </c>
      <c r="X54">
        <f t="shared" si="11"/>
        <v>10</v>
      </c>
      <c r="Z54" s="8">
        <f>IFERROR(__xludf.DUMMYFUNCTION("""COMPUTED_VALUE"""),44549.0)</f>
        <v>44549</v>
      </c>
      <c r="AA54">
        <f t="shared" si="12"/>
        <v>0</v>
      </c>
      <c r="AB54">
        <f t="shared" si="13"/>
        <v>-10</v>
      </c>
      <c r="AC54">
        <f t="shared" si="14"/>
        <v>0</v>
      </c>
    </row>
    <row r="55">
      <c r="A55" s="8">
        <f>IFERROR(__xludf.DUMMYFUNCTION("""COMPUTED_VALUE"""),44528.0)</f>
        <v>44528</v>
      </c>
      <c r="B55">
        <f>IFERROR(__xludf.DUMMYFUNCTION("""COMPUTED_VALUE"""),3.0)</f>
        <v>3</v>
      </c>
      <c r="C55">
        <f>IFERROR(__xludf.DUMMYFUNCTION("""COMPUTED_VALUE"""),2.0)</f>
        <v>2</v>
      </c>
      <c r="D55">
        <f>IFERROR(__xludf.DUMMYFUNCTION("""COMPUTED_VALUE"""),1.0)</f>
        <v>1</v>
      </c>
      <c r="K55">
        <f t="shared" ref="K55:M55" si="123">if(B55=1,0,K54+1)</f>
        <v>4</v>
      </c>
      <c r="L55">
        <f t="shared" si="123"/>
        <v>1</v>
      </c>
      <c r="M55">
        <f t="shared" si="123"/>
        <v>0</v>
      </c>
      <c r="O55" s="8">
        <f>IFERROR(__xludf.DUMMYFUNCTION("""COMPUTED_VALUE"""),44528.0)</f>
        <v>44528</v>
      </c>
      <c r="P55">
        <f t="shared" ref="P55:R55" si="124">B55+P56</f>
        <v>443</v>
      </c>
      <c r="Q55">
        <f t="shared" si="124"/>
        <v>455</v>
      </c>
      <c r="R55">
        <f t="shared" si="124"/>
        <v>444</v>
      </c>
      <c r="S55" s="1">
        <v>0.0</v>
      </c>
      <c r="U55" s="8">
        <f>IFERROR(__xludf.DUMMYFUNCTION("""COMPUTED_VALUE"""),44528.0)</f>
        <v>44528</v>
      </c>
      <c r="V55">
        <f t="shared" si="9"/>
        <v>12</v>
      </c>
      <c r="W55">
        <f t="shared" si="10"/>
        <v>0</v>
      </c>
      <c r="X55">
        <f t="shared" si="11"/>
        <v>11</v>
      </c>
      <c r="Z55" s="8">
        <f>IFERROR(__xludf.DUMMYFUNCTION("""COMPUTED_VALUE"""),44528.0)</f>
        <v>44528</v>
      </c>
      <c r="AA55">
        <f t="shared" si="12"/>
        <v>0</v>
      </c>
      <c r="AB55">
        <f t="shared" si="13"/>
        <v>-12</v>
      </c>
      <c r="AC55">
        <f t="shared" si="14"/>
        <v>-1</v>
      </c>
    </row>
    <row r="56">
      <c r="A56" s="8">
        <f>IFERROR(__xludf.DUMMYFUNCTION("""COMPUTED_VALUE"""),44507.0)</f>
        <v>44507</v>
      </c>
      <c r="B56">
        <f>IFERROR(__xludf.DUMMYFUNCTION("""COMPUTED_VALUE"""),3.0)</f>
        <v>3</v>
      </c>
      <c r="C56">
        <f>IFERROR(__xludf.DUMMYFUNCTION("""COMPUTED_VALUE"""),1.0)</f>
        <v>1</v>
      </c>
      <c r="D56">
        <f>IFERROR(__xludf.DUMMYFUNCTION("""COMPUTED_VALUE"""),2.0)</f>
        <v>2</v>
      </c>
      <c r="K56">
        <f t="shared" ref="K56:M56" si="125">if(B56=1,0,K55+1)</f>
        <v>5</v>
      </c>
      <c r="L56">
        <f t="shared" si="125"/>
        <v>0</v>
      </c>
      <c r="M56">
        <f t="shared" si="125"/>
        <v>1</v>
      </c>
      <c r="O56" s="8">
        <f>IFERROR(__xludf.DUMMYFUNCTION("""COMPUTED_VALUE"""),44507.0)</f>
        <v>44507</v>
      </c>
      <c r="P56">
        <f t="shared" ref="P56:R56" si="126">B56+P57</f>
        <v>440</v>
      </c>
      <c r="Q56">
        <f t="shared" si="126"/>
        <v>453</v>
      </c>
      <c r="R56">
        <f t="shared" si="126"/>
        <v>443</v>
      </c>
      <c r="S56">
        <f t="shared" ref="S56:S57" si="129">min(P56:R56)-MINIFS(P56:R56,P56:R56, "&lt;&gt;"&amp;Min(P56:R56))</f>
        <v>-3</v>
      </c>
      <c r="U56" s="8">
        <f>IFERROR(__xludf.DUMMYFUNCTION("""COMPUTED_VALUE"""),44507.0)</f>
        <v>44507</v>
      </c>
      <c r="V56">
        <f t="shared" si="9"/>
        <v>13</v>
      </c>
      <c r="W56">
        <f t="shared" si="10"/>
        <v>0</v>
      </c>
      <c r="X56">
        <f t="shared" si="11"/>
        <v>10</v>
      </c>
      <c r="Z56" s="8">
        <f>IFERROR(__xludf.DUMMYFUNCTION("""COMPUTED_VALUE"""),44507.0)</f>
        <v>44507</v>
      </c>
      <c r="AA56">
        <f t="shared" si="12"/>
        <v>0</v>
      </c>
      <c r="AB56">
        <f t="shared" si="13"/>
        <v>-13</v>
      </c>
      <c r="AC56">
        <f t="shared" si="14"/>
        <v>-3</v>
      </c>
    </row>
    <row r="57">
      <c r="A57" s="8">
        <f>IFERROR(__xludf.DUMMYFUNCTION("""COMPUTED_VALUE"""),44504.0)</f>
        <v>44504</v>
      </c>
      <c r="B57">
        <f>IFERROR(__xludf.DUMMYFUNCTION("""COMPUTED_VALUE"""),2.0)</f>
        <v>2</v>
      </c>
      <c r="C57">
        <f>IFERROR(__xludf.DUMMYFUNCTION("""COMPUTED_VALUE"""),3.0)</f>
        <v>3</v>
      </c>
      <c r="D57">
        <f>IFERROR(__xludf.DUMMYFUNCTION("""COMPUTED_VALUE"""),1.0)</f>
        <v>1</v>
      </c>
      <c r="K57">
        <f t="shared" ref="K57:M57" si="127">if(B57=1,0,K56+1)</f>
        <v>6</v>
      </c>
      <c r="L57">
        <f t="shared" si="127"/>
        <v>1</v>
      </c>
      <c r="M57">
        <f t="shared" si="127"/>
        <v>0</v>
      </c>
      <c r="O57" s="8">
        <f>IFERROR(__xludf.DUMMYFUNCTION("""COMPUTED_VALUE"""),44504.0)</f>
        <v>44504</v>
      </c>
      <c r="P57">
        <f t="shared" ref="P57:R57" si="128">B57+P58</f>
        <v>437</v>
      </c>
      <c r="Q57">
        <f t="shared" si="128"/>
        <v>452</v>
      </c>
      <c r="R57">
        <f t="shared" si="128"/>
        <v>441</v>
      </c>
      <c r="S57">
        <f t="shared" si="129"/>
        <v>-4</v>
      </c>
      <c r="U57" s="8">
        <f>IFERROR(__xludf.DUMMYFUNCTION("""COMPUTED_VALUE"""),44504.0)</f>
        <v>44504</v>
      </c>
      <c r="V57">
        <f t="shared" si="9"/>
        <v>15</v>
      </c>
      <c r="W57">
        <f t="shared" si="10"/>
        <v>0</v>
      </c>
      <c r="X57">
        <f t="shared" si="11"/>
        <v>11</v>
      </c>
      <c r="Z57" s="8">
        <f>IFERROR(__xludf.DUMMYFUNCTION("""COMPUTED_VALUE"""),44504.0)</f>
        <v>44504</v>
      </c>
      <c r="AA57">
        <f t="shared" si="12"/>
        <v>0</v>
      </c>
      <c r="AB57">
        <f t="shared" si="13"/>
        <v>-15</v>
      </c>
      <c r="AC57">
        <f t="shared" si="14"/>
        <v>-4</v>
      </c>
    </row>
    <row r="58">
      <c r="A58" s="8">
        <f>IFERROR(__xludf.DUMMYFUNCTION("""COMPUTED_VALUE"""),44493.0)</f>
        <v>44493</v>
      </c>
      <c r="B58">
        <f>IFERROR(__xludf.DUMMYFUNCTION("""COMPUTED_VALUE"""),2.0)</f>
        <v>2</v>
      </c>
      <c r="C58">
        <f>IFERROR(__xludf.DUMMYFUNCTION("""COMPUTED_VALUE"""),3.0)</f>
        <v>3</v>
      </c>
      <c r="D58">
        <f>IFERROR(__xludf.DUMMYFUNCTION("""COMPUTED_VALUE"""),1.0)</f>
        <v>1</v>
      </c>
      <c r="K58">
        <f t="shared" ref="K58:M58" si="130">if(B58=1,0,K57+1)</f>
        <v>7</v>
      </c>
      <c r="L58">
        <f t="shared" si="130"/>
        <v>2</v>
      </c>
      <c r="M58">
        <f t="shared" si="130"/>
        <v>0</v>
      </c>
      <c r="O58" s="8">
        <f>IFERROR(__xludf.DUMMYFUNCTION("""COMPUTED_VALUE"""),44493.0)</f>
        <v>44493</v>
      </c>
      <c r="P58">
        <f t="shared" ref="P58:R58" si="131">B58+P59</f>
        <v>435</v>
      </c>
      <c r="Q58">
        <f t="shared" si="131"/>
        <v>449</v>
      </c>
      <c r="R58">
        <f t="shared" si="131"/>
        <v>440</v>
      </c>
      <c r="S58" s="1">
        <v>0.0</v>
      </c>
      <c r="U58" s="8">
        <f>IFERROR(__xludf.DUMMYFUNCTION("""COMPUTED_VALUE"""),44493.0)</f>
        <v>44493</v>
      </c>
      <c r="V58">
        <f t="shared" si="9"/>
        <v>14</v>
      </c>
      <c r="W58">
        <f t="shared" si="10"/>
        <v>0</v>
      </c>
      <c r="X58">
        <f t="shared" si="11"/>
        <v>9</v>
      </c>
      <c r="Z58" s="8">
        <f>IFERROR(__xludf.DUMMYFUNCTION("""COMPUTED_VALUE"""),44493.0)</f>
        <v>44493</v>
      </c>
      <c r="AA58">
        <f t="shared" si="12"/>
        <v>0</v>
      </c>
      <c r="AB58">
        <f t="shared" si="13"/>
        <v>-14</v>
      </c>
      <c r="AC58">
        <f t="shared" si="14"/>
        <v>-5</v>
      </c>
    </row>
    <row r="59">
      <c r="A59" s="8">
        <f>IFERROR(__xludf.DUMMYFUNCTION("""COMPUTED_VALUE"""),44458.0)</f>
        <v>44458</v>
      </c>
      <c r="B59">
        <f>IFERROR(__xludf.DUMMYFUNCTION("""COMPUTED_VALUE"""),2.0)</f>
        <v>2</v>
      </c>
      <c r="C59">
        <f>IFERROR(__xludf.DUMMYFUNCTION("""COMPUTED_VALUE"""),1.0)</f>
        <v>1</v>
      </c>
      <c r="D59">
        <f>IFERROR(__xludf.DUMMYFUNCTION("""COMPUTED_VALUE"""),3.0)</f>
        <v>3</v>
      </c>
      <c r="K59">
        <f t="shared" ref="K59:M59" si="132">if(B59=1,0,K58+1)</f>
        <v>8</v>
      </c>
      <c r="L59">
        <f t="shared" si="132"/>
        <v>0</v>
      </c>
      <c r="M59">
        <f t="shared" si="132"/>
        <v>1</v>
      </c>
      <c r="O59" s="8">
        <f>IFERROR(__xludf.DUMMYFUNCTION("""COMPUTED_VALUE"""),44458.0)</f>
        <v>44458</v>
      </c>
      <c r="P59">
        <f t="shared" ref="P59:R59" si="133">B59+P60</f>
        <v>433</v>
      </c>
      <c r="Q59">
        <f t="shared" si="133"/>
        <v>446</v>
      </c>
      <c r="R59">
        <f t="shared" si="133"/>
        <v>439</v>
      </c>
      <c r="S59">
        <f t="shared" ref="S59:S63" si="136">min(P59:R59)-MINIFS(P59:R59,P59:R59, "&lt;&gt;"&amp;Min(P59:R59))</f>
        <v>-6</v>
      </c>
      <c r="U59" s="8">
        <f>IFERROR(__xludf.DUMMYFUNCTION("""COMPUTED_VALUE"""),44458.0)</f>
        <v>44458</v>
      </c>
      <c r="V59">
        <f t="shared" si="9"/>
        <v>13</v>
      </c>
      <c r="W59">
        <f t="shared" si="10"/>
        <v>0</v>
      </c>
      <c r="X59">
        <f t="shared" si="11"/>
        <v>7</v>
      </c>
      <c r="Z59" s="8">
        <f>IFERROR(__xludf.DUMMYFUNCTION("""COMPUTED_VALUE"""),44458.0)</f>
        <v>44458</v>
      </c>
      <c r="AA59">
        <f t="shared" si="12"/>
        <v>0</v>
      </c>
      <c r="AB59">
        <f t="shared" si="13"/>
        <v>-13</v>
      </c>
      <c r="AC59">
        <f t="shared" si="14"/>
        <v>-6</v>
      </c>
    </row>
    <row r="60">
      <c r="A60" s="8">
        <f>IFERROR(__xludf.DUMMYFUNCTION("""COMPUTED_VALUE"""),44444.0)</f>
        <v>44444</v>
      </c>
      <c r="B60">
        <f>IFERROR(__xludf.DUMMYFUNCTION("""COMPUTED_VALUE"""),1.0)</f>
        <v>1</v>
      </c>
      <c r="C60">
        <f>IFERROR(__xludf.DUMMYFUNCTION("""COMPUTED_VALUE"""),2.0)</f>
        <v>2</v>
      </c>
      <c r="D60">
        <f>IFERROR(__xludf.DUMMYFUNCTION("""COMPUTED_VALUE"""),3.0)</f>
        <v>3</v>
      </c>
      <c r="K60">
        <f t="shared" ref="K60:M60" si="134">if(B60=1,0,K59+1)</f>
        <v>0</v>
      </c>
      <c r="L60">
        <f t="shared" si="134"/>
        <v>1</v>
      </c>
      <c r="M60">
        <f t="shared" si="134"/>
        <v>2</v>
      </c>
      <c r="O60" s="8">
        <f>IFERROR(__xludf.DUMMYFUNCTION("""COMPUTED_VALUE"""),44444.0)</f>
        <v>44444</v>
      </c>
      <c r="P60">
        <f t="shared" ref="P60:R60" si="135">B60+P61</f>
        <v>431</v>
      </c>
      <c r="Q60">
        <f t="shared" si="135"/>
        <v>445</v>
      </c>
      <c r="R60">
        <f t="shared" si="135"/>
        <v>436</v>
      </c>
      <c r="S60">
        <f t="shared" si="136"/>
        <v>-5</v>
      </c>
      <c r="U60" s="8">
        <f>IFERROR(__xludf.DUMMYFUNCTION("""COMPUTED_VALUE"""),44444.0)</f>
        <v>44444</v>
      </c>
      <c r="V60">
        <f t="shared" si="9"/>
        <v>14</v>
      </c>
      <c r="W60">
        <f t="shared" si="10"/>
        <v>0</v>
      </c>
      <c r="X60">
        <f t="shared" si="11"/>
        <v>9</v>
      </c>
      <c r="Z60" s="8">
        <f>IFERROR(__xludf.DUMMYFUNCTION("""COMPUTED_VALUE"""),44444.0)</f>
        <v>44444</v>
      </c>
      <c r="AA60">
        <f t="shared" si="12"/>
        <v>0</v>
      </c>
      <c r="AB60">
        <f t="shared" si="13"/>
        <v>-14</v>
      </c>
      <c r="AC60">
        <f t="shared" si="14"/>
        <v>-5</v>
      </c>
    </row>
    <row r="61">
      <c r="A61" s="8">
        <f>IFERROR(__xludf.DUMMYFUNCTION("""COMPUTED_VALUE"""),44430.0)</f>
        <v>44430</v>
      </c>
      <c r="B61">
        <f>IFERROR(__xludf.DUMMYFUNCTION("""COMPUTED_VALUE"""),2.0)</f>
        <v>2</v>
      </c>
      <c r="C61">
        <f>IFERROR(__xludf.DUMMYFUNCTION("""COMPUTED_VALUE"""),3.0)</f>
        <v>3</v>
      </c>
      <c r="D61">
        <f>IFERROR(__xludf.DUMMYFUNCTION("""COMPUTED_VALUE"""),1.0)</f>
        <v>1</v>
      </c>
      <c r="K61">
        <f t="shared" ref="K61:M61" si="137">if(B61=1,0,K60+1)</f>
        <v>1</v>
      </c>
      <c r="L61">
        <f t="shared" si="137"/>
        <v>2</v>
      </c>
      <c r="M61">
        <f t="shared" si="137"/>
        <v>0</v>
      </c>
      <c r="O61" s="8">
        <f>IFERROR(__xludf.DUMMYFUNCTION("""COMPUTED_VALUE"""),44430.0)</f>
        <v>44430</v>
      </c>
      <c r="P61">
        <f t="shared" ref="P61:R61" si="138">B61+P62</f>
        <v>430</v>
      </c>
      <c r="Q61">
        <f t="shared" si="138"/>
        <v>443</v>
      </c>
      <c r="R61">
        <f t="shared" si="138"/>
        <v>433</v>
      </c>
      <c r="S61">
        <f t="shared" si="136"/>
        <v>-3</v>
      </c>
      <c r="U61" s="8">
        <f>IFERROR(__xludf.DUMMYFUNCTION("""COMPUTED_VALUE"""),44430.0)</f>
        <v>44430</v>
      </c>
      <c r="V61">
        <f t="shared" si="9"/>
        <v>13</v>
      </c>
      <c r="W61">
        <f t="shared" si="10"/>
        <v>0</v>
      </c>
      <c r="X61">
        <f t="shared" si="11"/>
        <v>10</v>
      </c>
      <c r="Z61" s="8">
        <f>IFERROR(__xludf.DUMMYFUNCTION("""COMPUTED_VALUE"""),44430.0)</f>
        <v>44430</v>
      </c>
      <c r="AA61">
        <f t="shared" si="12"/>
        <v>0</v>
      </c>
      <c r="AB61">
        <f t="shared" si="13"/>
        <v>-13</v>
      </c>
      <c r="AC61">
        <f t="shared" si="14"/>
        <v>-3</v>
      </c>
    </row>
    <row r="62">
      <c r="A62" s="8">
        <f>IFERROR(__xludf.DUMMYFUNCTION("""COMPUTED_VALUE"""),44426.0)</f>
        <v>44426</v>
      </c>
      <c r="B62">
        <f>IFERROR(__xludf.DUMMYFUNCTION("""COMPUTED_VALUE"""),1.0)</f>
        <v>1</v>
      </c>
      <c r="C62">
        <f>IFERROR(__xludf.DUMMYFUNCTION("""COMPUTED_VALUE"""),2.0)</f>
        <v>2</v>
      </c>
      <c r="D62">
        <f>IFERROR(__xludf.DUMMYFUNCTION("""COMPUTED_VALUE"""),3.0)</f>
        <v>3</v>
      </c>
      <c r="K62">
        <f t="shared" ref="K62:M62" si="139">if(B62=1,0,K61+1)</f>
        <v>0</v>
      </c>
      <c r="L62">
        <f t="shared" si="139"/>
        <v>3</v>
      </c>
      <c r="M62">
        <f t="shared" si="139"/>
        <v>1</v>
      </c>
      <c r="O62" s="8">
        <f>IFERROR(__xludf.DUMMYFUNCTION("""COMPUTED_VALUE"""),44426.0)</f>
        <v>44426</v>
      </c>
      <c r="P62">
        <f t="shared" ref="P62:R62" si="140">B62+P63</f>
        <v>428</v>
      </c>
      <c r="Q62">
        <f t="shared" si="140"/>
        <v>440</v>
      </c>
      <c r="R62">
        <f t="shared" si="140"/>
        <v>432</v>
      </c>
      <c r="S62">
        <f t="shared" si="136"/>
        <v>-4</v>
      </c>
      <c r="U62" s="8">
        <f>IFERROR(__xludf.DUMMYFUNCTION("""COMPUTED_VALUE"""),44426.0)</f>
        <v>44426</v>
      </c>
      <c r="V62">
        <f t="shared" si="9"/>
        <v>12</v>
      </c>
      <c r="W62">
        <f t="shared" si="10"/>
        <v>0</v>
      </c>
      <c r="X62">
        <f t="shared" si="11"/>
        <v>8</v>
      </c>
      <c r="Z62" s="8">
        <f>IFERROR(__xludf.DUMMYFUNCTION("""COMPUTED_VALUE"""),44426.0)</f>
        <v>44426</v>
      </c>
      <c r="AA62">
        <f t="shared" si="12"/>
        <v>0</v>
      </c>
      <c r="AB62">
        <f t="shared" si="13"/>
        <v>-12</v>
      </c>
      <c r="AC62">
        <f t="shared" si="14"/>
        <v>-4</v>
      </c>
    </row>
    <row r="63">
      <c r="A63" s="8">
        <f>IFERROR(__xludf.DUMMYFUNCTION("""COMPUTED_VALUE"""),44423.0)</f>
        <v>44423</v>
      </c>
      <c r="B63">
        <f>IFERROR(__xludf.DUMMYFUNCTION("""COMPUTED_VALUE"""),2.0)</f>
        <v>2</v>
      </c>
      <c r="C63">
        <f>IFERROR(__xludf.DUMMYFUNCTION("""COMPUTED_VALUE"""),1.0)</f>
        <v>1</v>
      </c>
      <c r="D63">
        <f>IFERROR(__xludf.DUMMYFUNCTION("""COMPUTED_VALUE"""),3.0)</f>
        <v>3</v>
      </c>
      <c r="K63">
        <f t="shared" ref="K63:M63" si="141">if(B63=1,0,K62+1)</f>
        <v>1</v>
      </c>
      <c r="L63">
        <f t="shared" si="141"/>
        <v>0</v>
      </c>
      <c r="M63">
        <f t="shared" si="141"/>
        <v>2</v>
      </c>
      <c r="O63" s="8">
        <f>IFERROR(__xludf.DUMMYFUNCTION("""COMPUTED_VALUE"""),44423.0)</f>
        <v>44423</v>
      </c>
      <c r="P63">
        <f t="shared" ref="P63:R63" si="142">B63+P64</f>
        <v>427</v>
      </c>
      <c r="Q63">
        <f t="shared" si="142"/>
        <v>438</v>
      </c>
      <c r="R63">
        <f t="shared" si="142"/>
        <v>429</v>
      </c>
      <c r="S63">
        <f t="shared" si="136"/>
        <v>-2</v>
      </c>
      <c r="U63" s="8">
        <f>IFERROR(__xludf.DUMMYFUNCTION("""COMPUTED_VALUE"""),44423.0)</f>
        <v>44423</v>
      </c>
      <c r="V63">
        <f t="shared" si="9"/>
        <v>11</v>
      </c>
      <c r="W63">
        <f t="shared" si="10"/>
        <v>0</v>
      </c>
      <c r="X63">
        <f t="shared" si="11"/>
        <v>9</v>
      </c>
      <c r="Z63" s="8">
        <f>IFERROR(__xludf.DUMMYFUNCTION("""COMPUTED_VALUE"""),44423.0)</f>
        <v>44423</v>
      </c>
      <c r="AA63">
        <f t="shared" si="12"/>
        <v>0</v>
      </c>
      <c r="AB63">
        <f t="shared" si="13"/>
        <v>-11</v>
      </c>
      <c r="AC63">
        <f t="shared" si="14"/>
        <v>-2</v>
      </c>
    </row>
    <row r="64">
      <c r="A64" s="8">
        <f>IFERROR(__xludf.DUMMYFUNCTION("""COMPUTED_VALUE"""),44416.0)</f>
        <v>44416</v>
      </c>
      <c r="B64">
        <f>IFERROR(__xludf.DUMMYFUNCTION("""COMPUTED_VALUE"""),3.0)</f>
        <v>3</v>
      </c>
      <c r="C64">
        <f>IFERROR(__xludf.DUMMYFUNCTION("""COMPUTED_VALUE"""),1.0)</f>
        <v>1</v>
      </c>
      <c r="D64">
        <f>IFERROR(__xludf.DUMMYFUNCTION("""COMPUTED_VALUE"""),2.0)</f>
        <v>2</v>
      </c>
      <c r="K64">
        <f t="shared" ref="K64:M64" si="143">if(B64=1,0,K63+1)</f>
        <v>2</v>
      </c>
      <c r="L64">
        <f t="shared" si="143"/>
        <v>0</v>
      </c>
      <c r="M64">
        <f t="shared" si="143"/>
        <v>3</v>
      </c>
      <c r="O64" s="8">
        <f>IFERROR(__xludf.DUMMYFUNCTION("""COMPUTED_VALUE"""),44416.0)</f>
        <v>44416</v>
      </c>
      <c r="P64">
        <f t="shared" ref="P64:R64" si="144">B64+P65</f>
        <v>425</v>
      </c>
      <c r="Q64">
        <f t="shared" si="144"/>
        <v>437</v>
      </c>
      <c r="R64">
        <f t="shared" si="144"/>
        <v>426</v>
      </c>
      <c r="S64" s="1">
        <v>0.0</v>
      </c>
      <c r="U64" s="8">
        <f>IFERROR(__xludf.DUMMYFUNCTION("""COMPUTED_VALUE"""),44416.0)</f>
        <v>44416</v>
      </c>
      <c r="V64">
        <f t="shared" si="9"/>
        <v>12</v>
      </c>
      <c r="W64">
        <f t="shared" si="10"/>
        <v>0</v>
      </c>
      <c r="X64">
        <f t="shared" si="11"/>
        <v>11</v>
      </c>
      <c r="Z64" s="8">
        <f>IFERROR(__xludf.DUMMYFUNCTION("""COMPUTED_VALUE"""),44416.0)</f>
        <v>44416</v>
      </c>
      <c r="AA64">
        <f t="shared" si="12"/>
        <v>0</v>
      </c>
      <c r="AB64">
        <f t="shared" si="13"/>
        <v>-12</v>
      </c>
      <c r="AC64">
        <f t="shared" si="14"/>
        <v>-1</v>
      </c>
    </row>
    <row r="65">
      <c r="A65" s="8">
        <f>IFERROR(__xludf.DUMMYFUNCTION("""COMPUTED_VALUE"""),44409.0)</f>
        <v>44409</v>
      </c>
      <c r="B65">
        <f>IFERROR(__xludf.DUMMYFUNCTION("""COMPUTED_VALUE"""),2.0)</f>
        <v>2</v>
      </c>
      <c r="C65">
        <f>IFERROR(__xludf.DUMMYFUNCTION("""COMPUTED_VALUE"""),3.0)</f>
        <v>3</v>
      </c>
      <c r="D65">
        <f>IFERROR(__xludf.DUMMYFUNCTION("""COMPUTED_VALUE"""),1.0)</f>
        <v>1</v>
      </c>
      <c r="K65">
        <f t="shared" ref="K65:M65" si="145">if(B65=1,0,K64+1)</f>
        <v>3</v>
      </c>
      <c r="L65">
        <f t="shared" si="145"/>
        <v>1</v>
      </c>
      <c r="M65">
        <f t="shared" si="145"/>
        <v>0</v>
      </c>
      <c r="O65" s="8">
        <f>IFERROR(__xludf.DUMMYFUNCTION("""COMPUTED_VALUE"""),44409.0)</f>
        <v>44409</v>
      </c>
      <c r="P65">
        <f t="shared" ref="P65:R65" si="146">B65+P66</f>
        <v>422</v>
      </c>
      <c r="Q65">
        <f t="shared" si="146"/>
        <v>436</v>
      </c>
      <c r="R65">
        <f t="shared" si="146"/>
        <v>424</v>
      </c>
      <c r="S65">
        <f>min(P65:R65)-MINIFS(P65:R65,P65:R65, "&lt;&gt;"&amp;Min(P65:R65))</f>
        <v>-2</v>
      </c>
      <c r="U65" s="8">
        <f>IFERROR(__xludf.DUMMYFUNCTION("""COMPUTED_VALUE"""),44409.0)</f>
        <v>44409</v>
      </c>
      <c r="V65">
        <f t="shared" si="9"/>
        <v>14</v>
      </c>
      <c r="W65">
        <f t="shared" si="10"/>
        <v>0</v>
      </c>
      <c r="X65">
        <f t="shared" si="11"/>
        <v>12</v>
      </c>
      <c r="Z65" s="8">
        <f>IFERROR(__xludf.DUMMYFUNCTION("""COMPUTED_VALUE"""),44409.0)</f>
        <v>44409</v>
      </c>
      <c r="AA65">
        <f t="shared" si="12"/>
        <v>0</v>
      </c>
      <c r="AB65">
        <f t="shared" si="13"/>
        <v>-14</v>
      </c>
      <c r="AC65">
        <f t="shared" si="14"/>
        <v>-2</v>
      </c>
    </row>
    <row r="66">
      <c r="A66" s="8">
        <f>IFERROR(__xludf.DUMMYFUNCTION("""COMPUTED_VALUE"""),44402.0)</f>
        <v>44402</v>
      </c>
      <c r="B66">
        <f>IFERROR(__xludf.DUMMYFUNCTION("""COMPUTED_VALUE"""),2.0)</f>
        <v>2</v>
      </c>
      <c r="C66">
        <f>IFERROR(__xludf.DUMMYFUNCTION("""COMPUTED_VALUE"""),1.0)</f>
        <v>1</v>
      </c>
      <c r="D66">
        <f>IFERROR(__xludf.DUMMYFUNCTION("""COMPUTED_VALUE"""),3.0)</f>
        <v>3</v>
      </c>
      <c r="K66">
        <f t="shared" ref="K66:M66" si="147">if(B66=1,0,K65+1)</f>
        <v>4</v>
      </c>
      <c r="L66">
        <f t="shared" si="147"/>
        <v>0</v>
      </c>
      <c r="M66">
        <f t="shared" si="147"/>
        <v>1</v>
      </c>
      <c r="O66" s="8">
        <f>IFERROR(__xludf.DUMMYFUNCTION("""COMPUTED_VALUE"""),44402.0)</f>
        <v>44402</v>
      </c>
      <c r="P66">
        <f t="shared" ref="P66:R66" si="148">B66+P67</f>
        <v>420</v>
      </c>
      <c r="Q66">
        <f t="shared" si="148"/>
        <v>433</v>
      </c>
      <c r="R66">
        <f t="shared" si="148"/>
        <v>423</v>
      </c>
      <c r="S66" s="1">
        <v>0.0</v>
      </c>
      <c r="U66" s="8">
        <f>IFERROR(__xludf.DUMMYFUNCTION("""COMPUTED_VALUE"""),44402.0)</f>
        <v>44402</v>
      </c>
      <c r="V66">
        <f t="shared" si="9"/>
        <v>13</v>
      </c>
      <c r="W66">
        <f t="shared" si="10"/>
        <v>0</v>
      </c>
      <c r="X66">
        <f t="shared" si="11"/>
        <v>10</v>
      </c>
      <c r="Z66" s="8">
        <f>IFERROR(__xludf.DUMMYFUNCTION("""COMPUTED_VALUE"""),44402.0)</f>
        <v>44402</v>
      </c>
      <c r="AA66">
        <f t="shared" si="12"/>
        <v>0</v>
      </c>
      <c r="AB66">
        <f t="shared" si="13"/>
        <v>-13</v>
      </c>
      <c r="AC66">
        <f t="shared" si="14"/>
        <v>-3</v>
      </c>
    </row>
    <row r="67">
      <c r="A67" s="8">
        <f>IFERROR(__xludf.DUMMYFUNCTION("""COMPUTED_VALUE"""),44398.0)</f>
        <v>44398</v>
      </c>
      <c r="B67">
        <f>IFERROR(__xludf.DUMMYFUNCTION("""COMPUTED_VALUE"""),1.0)</f>
        <v>1</v>
      </c>
      <c r="C67">
        <f>IFERROR(__xludf.DUMMYFUNCTION("""COMPUTED_VALUE"""),3.0)</f>
        <v>3</v>
      </c>
      <c r="D67">
        <f>IFERROR(__xludf.DUMMYFUNCTION("""COMPUTED_VALUE"""),2.0)</f>
        <v>2</v>
      </c>
      <c r="K67">
        <f t="shared" ref="K67:M67" si="149">if(B67=1,0,K66+1)</f>
        <v>0</v>
      </c>
      <c r="L67">
        <f t="shared" si="149"/>
        <v>1</v>
      </c>
      <c r="M67">
        <f t="shared" si="149"/>
        <v>2</v>
      </c>
      <c r="O67" s="8">
        <f>IFERROR(__xludf.DUMMYFUNCTION("""COMPUTED_VALUE"""),44398.0)</f>
        <v>44398</v>
      </c>
      <c r="P67">
        <f t="shared" ref="P67:R67" si="150">B67+P68</f>
        <v>418</v>
      </c>
      <c r="Q67">
        <f t="shared" si="150"/>
        <v>432</v>
      </c>
      <c r="R67">
        <f t="shared" si="150"/>
        <v>420</v>
      </c>
      <c r="S67">
        <f t="shared" ref="S67:S72" si="153">min(P67:R67)-MINIFS(P67:R67,P67:R67, "&lt;&gt;"&amp;Min(P67:R67))</f>
        <v>-2</v>
      </c>
      <c r="U67" s="8">
        <f>IFERROR(__xludf.DUMMYFUNCTION("""COMPUTED_VALUE"""),44398.0)</f>
        <v>44398</v>
      </c>
      <c r="V67">
        <f t="shared" si="9"/>
        <v>14</v>
      </c>
      <c r="W67">
        <f t="shared" si="10"/>
        <v>0</v>
      </c>
      <c r="X67">
        <f t="shared" si="11"/>
        <v>12</v>
      </c>
      <c r="Z67" s="8">
        <f>IFERROR(__xludf.DUMMYFUNCTION("""COMPUTED_VALUE"""),44398.0)</f>
        <v>44398</v>
      </c>
      <c r="AA67">
        <f t="shared" si="12"/>
        <v>0</v>
      </c>
      <c r="AB67">
        <f t="shared" si="13"/>
        <v>-14</v>
      </c>
      <c r="AC67">
        <f t="shared" si="14"/>
        <v>-2</v>
      </c>
    </row>
    <row r="68">
      <c r="A68" s="8">
        <f>IFERROR(__xludf.DUMMYFUNCTION("""COMPUTED_VALUE"""),44391.0)</f>
        <v>44391</v>
      </c>
      <c r="B68">
        <f>IFERROR(__xludf.DUMMYFUNCTION("""COMPUTED_VALUE"""),1.0)</f>
        <v>1</v>
      </c>
      <c r="C68">
        <f>IFERROR(__xludf.DUMMYFUNCTION("""COMPUTED_VALUE"""),3.0)</f>
        <v>3</v>
      </c>
      <c r="D68">
        <f>IFERROR(__xludf.DUMMYFUNCTION("""COMPUTED_VALUE"""),2.0)</f>
        <v>2</v>
      </c>
      <c r="K68">
        <f t="shared" ref="K68:M68" si="151">if(B68=1,0,K67+1)</f>
        <v>0</v>
      </c>
      <c r="L68">
        <f t="shared" si="151"/>
        <v>2</v>
      </c>
      <c r="M68">
        <f t="shared" si="151"/>
        <v>3</v>
      </c>
      <c r="O68" s="8">
        <f>IFERROR(__xludf.DUMMYFUNCTION("""COMPUTED_VALUE"""),44391.0)</f>
        <v>44391</v>
      </c>
      <c r="P68">
        <f t="shared" ref="P68:R68" si="152">B68+P69</f>
        <v>417</v>
      </c>
      <c r="Q68">
        <f t="shared" si="152"/>
        <v>429</v>
      </c>
      <c r="R68">
        <f t="shared" si="152"/>
        <v>418</v>
      </c>
      <c r="S68">
        <f t="shared" si="153"/>
        <v>-1</v>
      </c>
      <c r="U68" s="8">
        <f>IFERROR(__xludf.DUMMYFUNCTION("""COMPUTED_VALUE"""),44391.0)</f>
        <v>44391</v>
      </c>
      <c r="V68">
        <f t="shared" si="9"/>
        <v>12</v>
      </c>
      <c r="W68">
        <f t="shared" si="10"/>
        <v>0</v>
      </c>
      <c r="X68">
        <f t="shared" si="11"/>
        <v>11</v>
      </c>
      <c r="Z68" s="8">
        <f>IFERROR(__xludf.DUMMYFUNCTION("""COMPUTED_VALUE"""),44391.0)</f>
        <v>44391</v>
      </c>
      <c r="AA68">
        <f t="shared" si="12"/>
        <v>0</v>
      </c>
      <c r="AB68">
        <f t="shared" si="13"/>
        <v>-12</v>
      </c>
      <c r="AC68">
        <f t="shared" si="14"/>
        <v>-1</v>
      </c>
    </row>
    <row r="69">
      <c r="A69" s="8">
        <f>IFERROR(__xludf.DUMMYFUNCTION("""COMPUTED_VALUE"""),44384.0)</f>
        <v>44384</v>
      </c>
      <c r="B69">
        <f>IFERROR(__xludf.DUMMYFUNCTION("""COMPUTED_VALUE"""),2.0)</f>
        <v>2</v>
      </c>
      <c r="C69">
        <f>IFERROR(__xludf.DUMMYFUNCTION("""COMPUTED_VALUE"""),3.0)</f>
        <v>3</v>
      </c>
      <c r="D69">
        <f>IFERROR(__xludf.DUMMYFUNCTION("""COMPUTED_VALUE"""),1.0)</f>
        <v>1</v>
      </c>
      <c r="K69">
        <f t="shared" ref="K69:M69" si="154">if(B69=1,0,K68+1)</f>
        <v>1</v>
      </c>
      <c r="L69">
        <f t="shared" si="154"/>
        <v>3</v>
      </c>
      <c r="M69">
        <f t="shared" si="154"/>
        <v>0</v>
      </c>
      <c r="O69" s="8">
        <f>IFERROR(__xludf.DUMMYFUNCTION("""COMPUTED_VALUE"""),44384.0)</f>
        <v>44384</v>
      </c>
      <c r="P69">
        <f t="shared" ref="P69:R69" si="155">B69+P70</f>
        <v>416</v>
      </c>
      <c r="Q69">
        <f t="shared" si="155"/>
        <v>426</v>
      </c>
      <c r="R69">
        <f t="shared" si="155"/>
        <v>416</v>
      </c>
      <c r="S69">
        <f t="shared" si="153"/>
        <v>-10</v>
      </c>
      <c r="U69" s="8">
        <f>IFERROR(__xludf.DUMMYFUNCTION("""COMPUTED_VALUE"""),44384.0)</f>
        <v>44384</v>
      </c>
      <c r="V69">
        <f t="shared" si="9"/>
        <v>10</v>
      </c>
      <c r="W69">
        <f t="shared" si="10"/>
        <v>0</v>
      </c>
      <c r="X69">
        <f t="shared" si="11"/>
        <v>10</v>
      </c>
      <c r="Z69" s="8">
        <f>IFERROR(__xludf.DUMMYFUNCTION("""COMPUTED_VALUE"""),44384.0)</f>
        <v>44384</v>
      </c>
      <c r="AA69">
        <f t="shared" si="12"/>
        <v>0</v>
      </c>
      <c r="AB69">
        <f t="shared" si="13"/>
        <v>-10</v>
      </c>
      <c r="AC69">
        <f t="shared" si="14"/>
        <v>0</v>
      </c>
    </row>
    <row r="70">
      <c r="A70" s="8">
        <f>IFERROR(__xludf.DUMMYFUNCTION("""COMPUTED_VALUE"""),44377.0)</f>
        <v>44377</v>
      </c>
      <c r="B70">
        <f>IFERROR(__xludf.DUMMYFUNCTION("""COMPUTED_VALUE"""),2.0)</f>
        <v>2</v>
      </c>
      <c r="C70">
        <f>IFERROR(__xludf.DUMMYFUNCTION("""COMPUTED_VALUE"""),1.0)</f>
        <v>1</v>
      </c>
      <c r="D70">
        <f>IFERROR(__xludf.DUMMYFUNCTION("""COMPUTED_VALUE"""),3.0)</f>
        <v>3</v>
      </c>
      <c r="K70">
        <f t="shared" ref="K70:M70" si="156">if(B70=1,0,K69+1)</f>
        <v>2</v>
      </c>
      <c r="L70">
        <f t="shared" si="156"/>
        <v>0</v>
      </c>
      <c r="M70">
        <f t="shared" si="156"/>
        <v>1</v>
      </c>
      <c r="O70" s="8">
        <f>IFERROR(__xludf.DUMMYFUNCTION("""COMPUTED_VALUE"""),44377.0)</f>
        <v>44377</v>
      </c>
      <c r="P70">
        <f t="shared" ref="P70:R70" si="157">B70+P71</f>
        <v>414</v>
      </c>
      <c r="Q70">
        <f t="shared" si="157"/>
        <v>423</v>
      </c>
      <c r="R70">
        <f t="shared" si="157"/>
        <v>415</v>
      </c>
      <c r="S70">
        <f t="shared" si="153"/>
        <v>-1</v>
      </c>
      <c r="U70" s="8">
        <f>IFERROR(__xludf.DUMMYFUNCTION("""COMPUTED_VALUE"""),44377.0)</f>
        <v>44377</v>
      </c>
      <c r="V70">
        <f t="shared" si="9"/>
        <v>9</v>
      </c>
      <c r="W70">
        <f t="shared" si="10"/>
        <v>0</v>
      </c>
      <c r="X70">
        <f t="shared" si="11"/>
        <v>8</v>
      </c>
      <c r="Z70" s="8">
        <f>IFERROR(__xludf.DUMMYFUNCTION("""COMPUTED_VALUE"""),44377.0)</f>
        <v>44377</v>
      </c>
      <c r="AA70">
        <f t="shared" si="12"/>
        <v>0</v>
      </c>
      <c r="AB70">
        <f t="shared" si="13"/>
        <v>-9</v>
      </c>
      <c r="AC70">
        <f t="shared" si="14"/>
        <v>-1</v>
      </c>
    </row>
    <row r="71">
      <c r="A71" s="8">
        <f>IFERROR(__xludf.DUMMYFUNCTION("""COMPUTED_VALUE"""),44374.0)</f>
        <v>44374</v>
      </c>
      <c r="B71">
        <f>IFERROR(__xludf.DUMMYFUNCTION("""COMPUTED_VALUE"""),1.0)</f>
        <v>1</v>
      </c>
      <c r="C71">
        <f>IFERROR(__xludf.DUMMYFUNCTION("""COMPUTED_VALUE"""),2.0)</f>
        <v>2</v>
      </c>
      <c r="D71">
        <f>IFERROR(__xludf.DUMMYFUNCTION("""COMPUTED_VALUE"""),3.0)</f>
        <v>3</v>
      </c>
      <c r="K71">
        <f t="shared" ref="K71:M71" si="158">if(B71=1,0,K70+1)</f>
        <v>0</v>
      </c>
      <c r="L71">
        <f t="shared" si="158"/>
        <v>1</v>
      </c>
      <c r="M71">
        <f t="shared" si="158"/>
        <v>2</v>
      </c>
      <c r="O71" s="8">
        <f>IFERROR(__xludf.DUMMYFUNCTION("""COMPUTED_VALUE"""),44374.0)</f>
        <v>44374</v>
      </c>
      <c r="P71">
        <f t="shared" ref="P71:R71" si="159">B71+P72</f>
        <v>412</v>
      </c>
      <c r="Q71">
        <f t="shared" si="159"/>
        <v>422</v>
      </c>
      <c r="R71">
        <f t="shared" si="159"/>
        <v>412</v>
      </c>
      <c r="S71">
        <f t="shared" si="153"/>
        <v>-10</v>
      </c>
      <c r="U71" s="8">
        <f>IFERROR(__xludf.DUMMYFUNCTION("""COMPUTED_VALUE"""),44374.0)</f>
        <v>44374</v>
      </c>
      <c r="V71">
        <f t="shared" si="9"/>
        <v>10</v>
      </c>
      <c r="W71">
        <f t="shared" si="10"/>
        <v>0</v>
      </c>
      <c r="X71">
        <f t="shared" si="11"/>
        <v>10</v>
      </c>
      <c r="Z71" s="8">
        <f>IFERROR(__xludf.DUMMYFUNCTION("""COMPUTED_VALUE"""),44374.0)</f>
        <v>44374</v>
      </c>
      <c r="AA71">
        <f t="shared" si="12"/>
        <v>0</v>
      </c>
      <c r="AB71">
        <f t="shared" si="13"/>
        <v>-10</v>
      </c>
      <c r="AC71">
        <f t="shared" si="14"/>
        <v>0</v>
      </c>
    </row>
    <row r="72">
      <c r="A72" s="8">
        <f>IFERROR(__xludf.DUMMYFUNCTION("""COMPUTED_VALUE"""),44367.0)</f>
        <v>44367</v>
      </c>
      <c r="B72">
        <f>IFERROR(__xludf.DUMMYFUNCTION("""COMPUTED_VALUE"""),3.0)</f>
        <v>3</v>
      </c>
      <c r="C72">
        <f>IFERROR(__xludf.DUMMYFUNCTION("""COMPUTED_VALUE"""),1.0)</f>
        <v>1</v>
      </c>
      <c r="D72">
        <f>IFERROR(__xludf.DUMMYFUNCTION("""COMPUTED_VALUE"""),2.0)</f>
        <v>2</v>
      </c>
      <c r="K72">
        <f t="shared" ref="K72:M72" si="160">if(B72=1,0,K71+1)</f>
        <v>1</v>
      </c>
      <c r="L72">
        <f t="shared" si="160"/>
        <v>0</v>
      </c>
      <c r="M72">
        <f t="shared" si="160"/>
        <v>3</v>
      </c>
      <c r="O72" s="8">
        <f>IFERROR(__xludf.DUMMYFUNCTION("""COMPUTED_VALUE"""),44367.0)</f>
        <v>44367</v>
      </c>
      <c r="P72">
        <f t="shared" ref="P72:R72" si="161">B72+P73</f>
        <v>411</v>
      </c>
      <c r="Q72">
        <f t="shared" si="161"/>
        <v>420</v>
      </c>
      <c r="R72">
        <f t="shared" si="161"/>
        <v>409</v>
      </c>
      <c r="S72">
        <f t="shared" si="153"/>
        <v>-2</v>
      </c>
      <c r="U72" s="8">
        <f>IFERROR(__xludf.DUMMYFUNCTION("""COMPUTED_VALUE"""),44367.0)</f>
        <v>44367</v>
      </c>
      <c r="V72">
        <f t="shared" si="9"/>
        <v>9</v>
      </c>
      <c r="W72">
        <f t="shared" si="10"/>
        <v>0</v>
      </c>
      <c r="X72">
        <f t="shared" si="11"/>
        <v>11</v>
      </c>
      <c r="Z72" s="8">
        <f>IFERROR(__xludf.DUMMYFUNCTION("""COMPUTED_VALUE"""),44367.0)</f>
        <v>44367</v>
      </c>
      <c r="AA72">
        <f t="shared" si="12"/>
        <v>-2</v>
      </c>
      <c r="AB72">
        <f t="shared" si="13"/>
        <v>-11</v>
      </c>
      <c r="AC72">
        <f t="shared" si="14"/>
        <v>0</v>
      </c>
    </row>
    <row r="73">
      <c r="A73" s="8">
        <f>IFERROR(__xludf.DUMMYFUNCTION("""COMPUTED_VALUE"""),44363.0)</f>
        <v>44363</v>
      </c>
      <c r="B73">
        <f>IFERROR(__xludf.DUMMYFUNCTION("""COMPUTED_VALUE"""),3.0)</f>
        <v>3</v>
      </c>
      <c r="C73">
        <f>IFERROR(__xludf.DUMMYFUNCTION("""COMPUTED_VALUE"""),2.0)</f>
        <v>2</v>
      </c>
      <c r="D73">
        <f>IFERROR(__xludf.DUMMYFUNCTION("""COMPUTED_VALUE"""),1.0)</f>
        <v>1</v>
      </c>
      <c r="K73">
        <f t="shared" ref="K73:M73" si="162">if(B73=1,0,K72+1)</f>
        <v>2</v>
      </c>
      <c r="L73">
        <f t="shared" si="162"/>
        <v>1</v>
      </c>
      <c r="M73">
        <f t="shared" si="162"/>
        <v>0</v>
      </c>
      <c r="O73" s="8">
        <f>IFERROR(__xludf.DUMMYFUNCTION("""COMPUTED_VALUE"""),44363.0)</f>
        <v>44363</v>
      </c>
      <c r="P73">
        <f t="shared" ref="P73:R73" si="163">B73+P74</f>
        <v>408</v>
      </c>
      <c r="Q73">
        <f t="shared" si="163"/>
        <v>419</v>
      </c>
      <c r="R73">
        <f t="shared" si="163"/>
        <v>407</v>
      </c>
      <c r="S73" s="1">
        <v>0.0</v>
      </c>
      <c r="U73" s="8">
        <f>IFERROR(__xludf.DUMMYFUNCTION("""COMPUTED_VALUE"""),44363.0)</f>
        <v>44363</v>
      </c>
      <c r="V73">
        <f t="shared" si="9"/>
        <v>11</v>
      </c>
      <c r="W73">
        <f t="shared" si="10"/>
        <v>0</v>
      </c>
      <c r="X73">
        <f t="shared" si="11"/>
        <v>12</v>
      </c>
      <c r="Z73" s="8">
        <f>IFERROR(__xludf.DUMMYFUNCTION("""COMPUTED_VALUE"""),44363.0)</f>
        <v>44363</v>
      </c>
      <c r="AA73">
        <f t="shared" si="12"/>
        <v>-1</v>
      </c>
      <c r="AB73">
        <f t="shared" si="13"/>
        <v>-12</v>
      </c>
      <c r="AC73">
        <f t="shared" si="14"/>
        <v>0</v>
      </c>
    </row>
    <row r="74">
      <c r="A74" s="8">
        <f>IFERROR(__xludf.DUMMYFUNCTION("""COMPUTED_VALUE"""),44353.0)</f>
        <v>44353</v>
      </c>
      <c r="B74">
        <f>IFERROR(__xludf.DUMMYFUNCTION("""COMPUTED_VALUE"""),1.0)</f>
        <v>1</v>
      </c>
      <c r="C74">
        <f>IFERROR(__xludf.DUMMYFUNCTION("""COMPUTED_VALUE"""),2.0)</f>
        <v>2</v>
      </c>
      <c r="D74">
        <f>IFERROR(__xludf.DUMMYFUNCTION("""COMPUTED_VALUE"""),3.0)</f>
        <v>3</v>
      </c>
      <c r="K74">
        <f t="shared" ref="K74:M74" si="164">if(B74=1,0,K73+1)</f>
        <v>0</v>
      </c>
      <c r="L74">
        <f t="shared" si="164"/>
        <v>2</v>
      </c>
      <c r="M74">
        <f t="shared" si="164"/>
        <v>1</v>
      </c>
      <c r="O74" s="8">
        <f>IFERROR(__xludf.DUMMYFUNCTION("""COMPUTED_VALUE"""),44353.0)</f>
        <v>44353</v>
      </c>
      <c r="P74">
        <f t="shared" ref="P74:R74" si="165">B74+P75</f>
        <v>405</v>
      </c>
      <c r="Q74">
        <f t="shared" si="165"/>
        <v>417</v>
      </c>
      <c r="R74">
        <f t="shared" si="165"/>
        <v>406</v>
      </c>
      <c r="S74">
        <f t="shared" ref="S74:S83" si="168">min(P74:R74)-MINIFS(P74:R74,P74:R74, "&lt;&gt;"&amp;Min(P74:R74))</f>
        <v>-1</v>
      </c>
      <c r="U74" s="8">
        <f>IFERROR(__xludf.DUMMYFUNCTION("""COMPUTED_VALUE"""),44353.0)</f>
        <v>44353</v>
      </c>
      <c r="V74">
        <f t="shared" si="9"/>
        <v>12</v>
      </c>
      <c r="W74">
        <f t="shared" si="10"/>
        <v>0</v>
      </c>
      <c r="X74">
        <f t="shared" si="11"/>
        <v>11</v>
      </c>
      <c r="Z74" s="8">
        <f>IFERROR(__xludf.DUMMYFUNCTION("""COMPUTED_VALUE"""),44353.0)</f>
        <v>44353</v>
      </c>
      <c r="AA74">
        <f t="shared" si="12"/>
        <v>0</v>
      </c>
      <c r="AB74">
        <f t="shared" si="13"/>
        <v>-12</v>
      </c>
      <c r="AC74">
        <f t="shared" si="14"/>
        <v>-1</v>
      </c>
    </row>
    <row r="75">
      <c r="A75" s="8">
        <f>IFERROR(__xludf.DUMMYFUNCTION("""COMPUTED_VALUE"""),44343.0)</f>
        <v>44343</v>
      </c>
      <c r="B75">
        <f>IFERROR(__xludf.DUMMYFUNCTION("""COMPUTED_VALUE"""),3.0)</f>
        <v>3</v>
      </c>
      <c r="C75">
        <f>IFERROR(__xludf.DUMMYFUNCTION("""COMPUTED_VALUE"""),2.0)</f>
        <v>2</v>
      </c>
      <c r="D75">
        <f>IFERROR(__xludf.DUMMYFUNCTION("""COMPUTED_VALUE"""),1.0)</f>
        <v>1</v>
      </c>
      <c r="K75">
        <f t="shared" ref="K75:M75" si="166">if(B75=1,0,K74+1)</f>
        <v>1</v>
      </c>
      <c r="L75">
        <f t="shared" si="166"/>
        <v>3</v>
      </c>
      <c r="M75">
        <f t="shared" si="166"/>
        <v>0</v>
      </c>
      <c r="O75" s="8">
        <f>IFERROR(__xludf.DUMMYFUNCTION("""COMPUTED_VALUE"""),44343.0)</f>
        <v>44343</v>
      </c>
      <c r="P75">
        <f t="shared" ref="P75:R75" si="167">B75+P76</f>
        <v>404</v>
      </c>
      <c r="Q75">
        <f t="shared" si="167"/>
        <v>415</v>
      </c>
      <c r="R75">
        <f t="shared" si="167"/>
        <v>403</v>
      </c>
      <c r="S75">
        <f t="shared" si="168"/>
        <v>-1</v>
      </c>
      <c r="U75" s="8">
        <f>IFERROR(__xludf.DUMMYFUNCTION("""COMPUTED_VALUE"""),44343.0)</f>
        <v>44343</v>
      </c>
      <c r="V75">
        <f t="shared" si="9"/>
        <v>11</v>
      </c>
      <c r="W75">
        <f t="shared" si="10"/>
        <v>0</v>
      </c>
      <c r="X75">
        <f t="shared" si="11"/>
        <v>12</v>
      </c>
      <c r="Z75" s="8">
        <f>IFERROR(__xludf.DUMMYFUNCTION("""COMPUTED_VALUE"""),44343.0)</f>
        <v>44343</v>
      </c>
      <c r="AA75">
        <f t="shared" si="12"/>
        <v>-1</v>
      </c>
      <c r="AB75">
        <f t="shared" si="13"/>
        <v>-12</v>
      </c>
      <c r="AC75">
        <f t="shared" si="14"/>
        <v>0</v>
      </c>
    </row>
    <row r="76">
      <c r="A76" s="8">
        <f>IFERROR(__xludf.DUMMYFUNCTION("""COMPUTED_VALUE"""),44339.0)</f>
        <v>44339</v>
      </c>
      <c r="B76">
        <f>IFERROR(__xludf.DUMMYFUNCTION("""COMPUTED_VALUE"""),2.0)</f>
        <v>2</v>
      </c>
      <c r="C76">
        <f>IFERROR(__xludf.DUMMYFUNCTION("""COMPUTED_VALUE"""),3.0)</f>
        <v>3</v>
      </c>
      <c r="D76">
        <f>IFERROR(__xludf.DUMMYFUNCTION("""COMPUTED_VALUE"""),1.0)</f>
        <v>1</v>
      </c>
      <c r="K76">
        <f t="shared" ref="K76:M76" si="169">if(B76=1,0,K75+1)</f>
        <v>2</v>
      </c>
      <c r="L76">
        <f t="shared" si="169"/>
        <v>4</v>
      </c>
      <c r="M76">
        <f t="shared" si="169"/>
        <v>0</v>
      </c>
      <c r="O76" s="8">
        <f>IFERROR(__xludf.DUMMYFUNCTION("""COMPUTED_VALUE"""),44339.0)</f>
        <v>44339</v>
      </c>
      <c r="P76">
        <f t="shared" ref="P76:R76" si="170">B76+P77</f>
        <v>401</v>
      </c>
      <c r="Q76">
        <f t="shared" si="170"/>
        <v>413</v>
      </c>
      <c r="R76">
        <f t="shared" si="170"/>
        <v>402</v>
      </c>
      <c r="S76">
        <f t="shared" si="168"/>
        <v>-1</v>
      </c>
      <c r="U76" s="8">
        <f>IFERROR(__xludf.DUMMYFUNCTION("""COMPUTED_VALUE"""),44339.0)</f>
        <v>44339</v>
      </c>
      <c r="V76">
        <f t="shared" si="9"/>
        <v>12</v>
      </c>
      <c r="W76">
        <f t="shared" si="10"/>
        <v>0</v>
      </c>
      <c r="X76">
        <f t="shared" si="11"/>
        <v>11</v>
      </c>
      <c r="Z76" s="8">
        <f>IFERROR(__xludf.DUMMYFUNCTION("""COMPUTED_VALUE"""),44339.0)</f>
        <v>44339</v>
      </c>
      <c r="AA76">
        <f t="shared" si="12"/>
        <v>0</v>
      </c>
      <c r="AB76">
        <f t="shared" si="13"/>
        <v>-12</v>
      </c>
      <c r="AC76">
        <f t="shared" si="14"/>
        <v>-1</v>
      </c>
    </row>
    <row r="77">
      <c r="A77" s="8">
        <f>IFERROR(__xludf.DUMMYFUNCTION("""COMPUTED_VALUE"""),44336.0)</f>
        <v>44336</v>
      </c>
      <c r="B77">
        <f>IFERROR(__xludf.DUMMYFUNCTION("""COMPUTED_VALUE"""),2.0)</f>
        <v>2</v>
      </c>
      <c r="C77">
        <f>IFERROR(__xludf.DUMMYFUNCTION("""COMPUTED_VALUE"""),1.0)</f>
        <v>1</v>
      </c>
      <c r="D77">
        <f>IFERROR(__xludf.DUMMYFUNCTION("""COMPUTED_VALUE"""),3.0)</f>
        <v>3</v>
      </c>
      <c r="K77">
        <f t="shared" ref="K77:M77" si="171">if(B77=1,0,K76+1)</f>
        <v>3</v>
      </c>
      <c r="L77">
        <f t="shared" si="171"/>
        <v>0</v>
      </c>
      <c r="M77">
        <f t="shared" si="171"/>
        <v>1</v>
      </c>
      <c r="O77" s="8">
        <f>IFERROR(__xludf.DUMMYFUNCTION("""COMPUTED_VALUE"""),44336.0)</f>
        <v>44336</v>
      </c>
      <c r="P77">
        <f t="shared" ref="P77:R77" si="172">B77+P78</f>
        <v>399</v>
      </c>
      <c r="Q77">
        <f t="shared" si="172"/>
        <v>410</v>
      </c>
      <c r="R77">
        <f t="shared" si="172"/>
        <v>401</v>
      </c>
      <c r="S77">
        <f t="shared" si="168"/>
        <v>-2</v>
      </c>
      <c r="U77" s="8">
        <f>IFERROR(__xludf.DUMMYFUNCTION("""COMPUTED_VALUE"""),44336.0)</f>
        <v>44336</v>
      </c>
      <c r="V77">
        <f t="shared" si="9"/>
        <v>11</v>
      </c>
      <c r="W77">
        <f t="shared" si="10"/>
        <v>0</v>
      </c>
      <c r="X77">
        <f t="shared" si="11"/>
        <v>9</v>
      </c>
      <c r="Z77" s="8">
        <f>IFERROR(__xludf.DUMMYFUNCTION("""COMPUTED_VALUE"""),44336.0)</f>
        <v>44336</v>
      </c>
      <c r="AA77">
        <f t="shared" si="12"/>
        <v>0</v>
      </c>
      <c r="AB77">
        <f t="shared" si="13"/>
        <v>-11</v>
      </c>
      <c r="AC77">
        <f t="shared" si="14"/>
        <v>-2</v>
      </c>
    </row>
    <row r="78">
      <c r="A78" s="8">
        <f>IFERROR(__xludf.DUMMYFUNCTION("""COMPUTED_VALUE"""),44332.0)</f>
        <v>44332</v>
      </c>
      <c r="B78">
        <f>IFERROR(__xludf.DUMMYFUNCTION("""COMPUTED_VALUE"""),1.0)</f>
        <v>1</v>
      </c>
      <c r="C78">
        <f>IFERROR(__xludf.DUMMYFUNCTION("""COMPUTED_VALUE"""),3.0)</f>
        <v>3</v>
      </c>
      <c r="D78">
        <f>IFERROR(__xludf.DUMMYFUNCTION("""COMPUTED_VALUE"""),2.0)</f>
        <v>2</v>
      </c>
      <c r="K78">
        <f t="shared" ref="K78:M78" si="173">if(B78=1,0,K77+1)</f>
        <v>0</v>
      </c>
      <c r="L78">
        <f t="shared" si="173"/>
        <v>1</v>
      </c>
      <c r="M78">
        <f t="shared" si="173"/>
        <v>2</v>
      </c>
      <c r="O78" s="8">
        <f>IFERROR(__xludf.DUMMYFUNCTION("""COMPUTED_VALUE"""),44332.0)</f>
        <v>44332</v>
      </c>
      <c r="P78">
        <f t="shared" ref="P78:R78" si="174">B78+P79</f>
        <v>397</v>
      </c>
      <c r="Q78">
        <f t="shared" si="174"/>
        <v>409</v>
      </c>
      <c r="R78">
        <f t="shared" si="174"/>
        <v>398</v>
      </c>
      <c r="S78">
        <f t="shared" si="168"/>
        <v>-1</v>
      </c>
      <c r="U78" s="8">
        <f>IFERROR(__xludf.DUMMYFUNCTION("""COMPUTED_VALUE"""),44332.0)</f>
        <v>44332</v>
      </c>
      <c r="V78">
        <f t="shared" si="9"/>
        <v>12</v>
      </c>
      <c r="W78">
        <f t="shared" si="10"/>
        <v>0</v>
      </c>
      <c r="X78">
        <f t="shared" si="11"/>
        <v>11</v>
      </c>
      <c r="Z78" s="8">
        <f>IFERROR(__xludf.DUMMYFUNCTION("""COMPUTED_VALUE"""),44332.0)</f>
        <v>44332</v>
      </c>
      <c r="AA78">
        <f t="shared" si="12"/>
        <v>0</v>
      </c>
      <c r="AB78">
        <f t="shared" si="13"/>
        <v>-12</v>
      </c>
      <c r="AC78">
        <f t="shared" si="14"/>
        <v>-1</v>
      </c>
    </row>
    <row r="79">
      <c r="A79" s="8">
        <f>IFERROR(__xludf.DUMMYFUNCTION("""COMPUTED_VALUE"""),44325.0)</f>
        <v>44325</v>
      </c>
      <c r="B79">
        <f>IFERROR(__xludf.DUMMYFUNCTION("""COMPUTED_VALUE"""),3.0)</f>
        <v>3</v>
      </c>
      <c r="C79">
        <f>IFERROR(__xludf.DUMMYFUNCTION("""COMPUTED_VALUE"""),2.0)</f>
        <v>2</v>
      </c>
      <c r="D79">
        <f>IFERROR(__xludf.DUMMYFUNCTION("""COMPUTED_VALUE"""),1.0)</f>
        <v>1</v>
      </c>
      <c r="K79">
        <f t="shared" ref="K79:M79" si="175">if(B79=1,0,K78+1)</f>
        <v>1</v>
      </c>
      <c r="L79">
        <f t="shared" si="175"/>
        <v>2</v>
      </c>
      <c r="M79">
        <f t="shared" si="175"/>
        <v>0</v>
      </c>
      <c r="O79" s="8">
        <f>IFERROR(__xludf.DUMMYFUNCTION("""COMPUTED_VALUE"""),44325.0)</f>
        <v>44325</v>
      </c>
      <c r="P79">
        <f t="shared" ref="P79:R79" si="176">B79+P80</f>
        <v>396</v>
      </c>
      <c r="Q79">
        <f t="shared" si="176"/>
        <v>406</v>
      </c>
      <c r="R79">
        <f t="shared" si="176"/>
        <v>396</v>
      </c>
      <c r="S79">
        <f t="shared" si="168"/>
        <v>-10</v>
      </c>
      <c r="U79" s="8">
        <f>IFERROR(__xludf.DUMMYFUNCTION("""COMPUTED_VALUE"""),44325.0)</f>
        <v>44325</v>
      </c>
      <c r="V79">
        <f t="shared" si="9"/>
        <v>10</v>
      </c>
      <c r="W79">
        <f t="shared" si="10"/>
        <v>0</v>
      </c>
      <c r="X79">
        <f t="shared" si="11"/>
        <v>10</v>
      </c>
      <c r="Z79" s="8">
        <f>IFERROR(__xludf.DUMMYFUNCTION("""COMPUTED_VALUE"""),44325.0)</f>
        <v>44325</v>
      </c>
      <c r="AA79">
        <f t="shared" si="12"/>
        <v>0</v>
      </c>
      <c r="AB79">
        <f t="shared" si="13"/>
        <v>-10</v>
      </c>
      <c r="AC79">
        <f t="shared" si="14"/>
        <v>0</v>
      </c>
    </row>
    <row r="80">
      <c r="A80" s="8">
        <f>IFERROR(__xludf.DUMMYFUNCTION("""COMPUTED_VALUE"""),44322.0)</f>
        <v>44322</v>
      </c>
      <c r="B80">
        <f>IFERROR(__xludf.DUMMYFUNCTION("""COMPUTED_VALUE"""),3.0)</f>
        <v>3</v>
      </c>
      <c r="C80">
        <f>IFERROR(__xludf.DUMMYFUNCTION("""COMPUTED_VALUE"""),1.0)</f>
        <v>1</v>
      </c>
      <c r="D80">
        <f>IFERROR(__xludf.DUMMYFUNCTION("""COMPUTED_VALUE"""),2.0)</f>
        <v>2</v>
      </c>
      <c r="K80">
        <f t="shared" ref="K80:M80" si="177">if(B80=1,0,K79+1)</f>
        <v>2</v>
      </c>
      <c r="L80">
        <f t="shared" si="177"/>
        <v>0</v>
      </c>
      <c r="M80">
        <f t="shared" si="177"/>
        <v>1</v>
      </c>
      <c r="O80" s="8">
        <f>IFERROR(__xludf.DUMMYFUNCTION("""COMPUTED_VALUE"""),44322.0)</f>
        <v>44322</v>
      </c>
      <c r="P80">
        <f t="shared" ref="P80:R80" si="178">B80+P81</f>
        <v>393</v>
      </c>
      <c r="Q80">
        <f t="shared" si="178"/>
        <v>404</v>
      </c>
      <c r="R80">
        <f t="shared" si="178"/>
        <v>395</v>
      </c>
      <c r="S80">
        <f t="shared" si="168"/>
        <v>-2</v>
      </c>
      <c r="U80" s="8">
        <f>IFERROR(__xludf.DUMMYFUNCTION("""COMPUTED_VALUE"""),44322.0)</f>
        <v>44322</v>
      </c>
      <c r="V80">
        <f t="shared" si="9"/>
        <v>11</v>
      </c>
      <c r="W80">
        <f t="shared" si="10"/>
        <v>0</v>
      </c>
      <c r="X80">
        <f t="shared" si="11"/>
        <v>9</v>
      </c>
      <c r="Z80" s="8">
        <f>IFERROR(__xludf.DUMMYFUNCTION("""COMPUTED_VALUE"""),44322.0)</f>
        <v>44322</v>
      </c>
      <c r="AA80">
        <f t="shared" si="12"/>
        <v>0</v>
      </c>
      <c r="AB80">
        <f t="shared" si="13"/>
        <v>-11</v>
      </c>
      <c r="AC80">
        <f t="shared" si="14"/>
        <v>-2</v>
      </c>
    </row>
    <row r="81">
      <c r="A81" s="8">
        <f>IFERROR(__xludf.DUMMYFUNCTION("""COMPUTED_VALUE"""),44318.0)</f>
        <v>44318</v>
      </c>
      <c r="B81">
        <f>IFERROR(__xludf.DUMMYFUNCTION("""COMPUTED_VALUE"""),2.0)</f>
        <v>2</v>
      </c>
      <c r="C81">
        <f>IFERROR(__xludf.DUMMYFUNCTION("""COMPUTED_VALUE"""),1.0)</f>
        <v>1</v>
      </c>
      <c r="D81">
        <f>IFERROR(__xludf.DUMMYFUNCTION("""COMPUTED_VALUE"""),3.0)</f>
        <v>3</v>
      </c>
      <c r="K81">
        <f t="shared" ref="K81:M81" si="179">if(B81=1,0,K80+1)</f>
        <v>3</v>
      </c>
      <c r="L81">
        <f t="shared" si="179"/>
        <v>0</v>
      </c>
      <c r="M81">
        <f t="shared" si="179"/>
        <v>2</v>
      </c>
      <c r="O81" s="8">
        <f>IFERROR(__xludf.DUMMYFUNCTION("""COMPUTED_VALUE"""),44318.0)</f>
        <v>44318</v>
      </c>
      <c r="P81">
        <f t="shared" ref="P81:R81" si="180">B81+P82</f>
        <v>390</v>
      </c>
      <c r="Q81">
        <f t="shared" si="180"/>
        <v>403</v>
      </c>
      <c r="R81">
        <f t="shared" si="180"/>
        <v>393</v>
      </c>
      <c r="S81">
        <f t="shared" si="168"/>
        <v>-3</v>
      </c>
      <c r="U81" s="8">
        <f>IFERROR(__xludf.DUMMYFUNCTION("""COMPUTED_VALUE"""),44318.0)</f>
        <v>44318</v>
      </c>
      <c r="V81">
        <f t="shared" si="9"/>
        <v>13</v>
      </c>
      <c r="W81">
        <f t="shared" si="10"/>
        <v>0</v>
      </c>
      <c r="X81">
        <f t="shared" si="11"/>
        <v>10</v>
      </c>
      <c r="Z81" s="8">
        <f>IFERROR(__xludf.DUMMYFUNCTION("""COMPUTED_VALUE"""),44318.0)</f>
        <v>44318</v>
      </c>
      <c r="AA81">
        <f t="shared" si="12"/>
        <v>0</v>
      </c>
      <c r="AB81">
        <f t="shared" si="13"/>
        <v>-13</v>
      </c>
      <c r="AC81">
        <f t="shared" si="14"/>
        <v>-3</v>
      </c>
    </row>
    <row r="82">
      <c r="A82" s="8">
        <f>IFERROR(__xludf.DUMMYFUNCTION("""COMPUTED_VALUE"""),44308.0)</f>
        <v>44308</v>
      </c>
      <c r="B82">
        <f>IFERROR(__xludf.DUMMYFUNCTION("""COMPUTED_VALUE"""),3.0)</f>
        <v>3</v>
      </c>
      <c r="C82">
        <f>IFERROR(__xludf.DUMMYFUNCTION("""COMPUTED_VALUE"""),1.0)</f>
        <v>1</v>
      </c>
      <c r="D82">
        <f>IFERROR(__xludf.DUMMYFUNCTION("""COMPUTED_VALUE"""),2.0)</f>
        <v>2</v>
      </c>
      <c r="K82">
        <f t="shared" ref="K82:M82" si="181">if(B82=1,0,K81+1)</f>
        <v>4</v>
      </c>
      <c r="L82">
        <f t="shared" si="181"/>
        <v>0</v>
      </c>
      <c r="M82">
        <f t="shared" si="181"/>
        <v>3</v>
      </c>
      <c r="O82" s="8">
        <f>IFERROR(__xludf.DUMMYFUNCTION("""COMPUTED_VALUE"""),44308.0)</f>
        <v>44308</v>
      </c>
      <c r="P82">
        <f t="shared" ref="P82:R82" si="182">B82+P83</f>
        <v>388</v>
      </c>
      <c r="Q82">
        <f t="shared" si="182"/>
        <v>402</v>
      </c>
      <c r="R82">
        <f t="shared" si="182"/>
        <v>390</v>
      </c>
      <c r="S82">
        <f t="shared" si="168"/>
        <v>-2</v>
      </c>
      <c r="U82" s="8">
        <f>IFERROR(__xludf.DUMMYFUNCTION("""COMPUTED_VALUE"""),44308.0)</f>
        <v>44308</v>
      </c>
      <c r="V82">
        <f t="shared" si="9"/>
        <v>14</v>
      </c>
      <c r="W82">
        <f t="shared" si="10"/>
        <v>0</v>
      </c>
      <c r="X82">
        <f t="shared" si="11"/>
        <v>12</v>
      </c>
      <c r="Z82" s="8">
        <f>IFERROR(__xludf.DUMMYFUNCTION("""COMPUTED_VALUE"""),44308.0)</f>
        <v>44308</v>
      </c>
      <c r="AA82">
        <f t="shared" si="12"/>
        <v>0</v>
      </c>
      <c r="AB82">
        <f t="shared" si="13"/>
        <v>-14</v>
      </c>
      <c r="AC82">
        <f t="shared" si="14"/>
        <v>-2</v>
      </c>
    </row>
    <row r="83">
      <c r="A83" s="8">
        <f>IFERROR(__xludf.DUMMYFUNCTION("""COMPUTED_VALUE"""),44304.0)</f>
        <v>44304</v>
      </c>
      <c r="B83">
        <f>IFERROR(__xludf.DUMMYFUNCTION("""COMPUTED_VALUE"""),2.0)</f>
        <v>2</v>
      </c>
      <c r="C83">
        <f>IFERROR(__xludf.DUMMYFUNCTION("""COMPUTED_VALUE"""),1.0)</f>
        <v>1</v>
      </c>
      <c r="D83">
        <f>IFERROR(__xludf.DUMMYFUNCTION("""COMPUTED_VALUE"""),3.0)</f>
        <v>3</v>
      </c>
      <c r="K83">
        <f t="shared" ref="K83:M83" si="183">if(B83=1,0,K82+1)</f>
        <v>5</v>
      </c>
      <c r="L83">
        <f t="shared" si="183"/>
        <v>0</v>
      </c>
      <c r="M83">
        <f t="shared" si="183"/>
        <v>4</v>
      </c>
      <c r="O83" s="8">
        <f>IFERROR(__xludf.DUMMYFUNCTION("""COMPUTED_VALUE"""),44304.0)</f>
        <v>44304</v>
      </c>
      <c r="P83">
        <f t="shared" ref="P83:R83" si="184">B83+P84</f>
        <v>385</v>
      </c>
      <c r="Q83">
        <f t="shared" si="184"/>
        <v>401</v>
      </c>
      <c r="R83">
        <f t="shared" si="184"/>
        <v>388</v>
      </c>
      <c r="S83">
        <f t="shared" si="168"/>
        <v>-3</v>
      </c>
      <c r="U83" s="8">
        <f>IFERROR(__xludf.DUMMYFUNCTION("""COMPUTED_VALUE"""),44304.0)</f>
        <v>44304</v>
      </c>
      <c r="V83">
        <f t="shared" si="9"/>
        <v>16</v>
      </c>
      <c r="W83">
        <f t="shared" si="10"/>
        <v>0</v>
      </c>
      <c r="X83">
        <f t="shared" si="11"/>
        <v>13</v>
      </c>
      <c r="Z83" s="8">
        <f>IFERROR(__xludf.DUMMYFUNCTION("""COMPUTED_VALUE"""),44304.0)</f>
        <v>44304</v>
      </c>
      <c r="AA83">
        <f t="shared" si="12"/>
        <v>0</v>
      </c>
      <c r="AB83">
        <f t="shared" si="13"/>
        <v>-16</v>
      </c>
      <c r="AC83">
        <f t="shared" si="14"/>
        <v>-3</v>
      </c>
    </row>
    <row r="84">
      <c r="A84" s="8">
        <f>IFERROR(__xludf.DUMMYFUNCTION("""COMPUTED_VALUE"""),44301.0)</f>
        <v>44301</v>
      </c>
      <c r="B84">
        <f>IFERROR(__xludf.DUMMYFUNCTION("""COMPUTED_VALUE"""),3.0)</f>
        <v>3</v>
      </c>
      <c r="C84">
        <f>IFERROR(__xludf.DUMMYFUNCTION("""COMPUTED_VALUE"""),2.0)</f>
        <v>2</v>
      </c>
      <c r="D84">
        <f>IFERROR(__xludf.DUMMYFUNCTION("""COMPUTED_VALUE"""),1.0)</f>
        <v>1</v>
      </c>
      <c r="K84">
        <f t="shared" ref="K84:M84" si="185">if(B84=1,0,K83+1)</f>
        <v>6</v>
      </c>
      <c r="L84">
        <f t="shared" si="185"/>
        <v>1</v>
      </c>
      <c r="M84">
        <f t="shared" si="185"/>
        <v>0</v>
      </c>
      <c r="O84" s="8">
        <f>IFERROR(__xludf.DUMMYFUNCTION("""COMPUTED_VALUE"""),44301.0)</f>
        <v>44301</v>
      </c>
      <c r="P84">
        <f t="shared" ref="P84:R84" si="186">B84+P85</f>
        <v>383</v>
      </c>
      <c r="Q84">
        <f t="shared" si="186"/>
        <v>400</v>
      </c>
      <c r="R84">
        <f t="shared" si="186"/>
        <v>385</v>
      </c>
      <c r="S84" s="1">
        <v>0.0</v>
      </c>
      <c r="U84" s="8">
        <f>IFERROR(__xludf.DUMMYFUNCTION("""COMPUTED_VALUE"""),44301.0)</f>
        <v>44301</v>
      </c>
      <c r="V84">
        <f t="shared" si="9"/>
        <v>17</v>
      </c>
      <c r="W84">
        <f t="shared" si="10"/>
        <v>0</v>
      </c>
      <c r="X84">
        <f t="shared" si="11"/>
        <v>15</v>
      </c>
      <c r="Z84" s="8">
        <f>IFERROR(__xludf.DUMMYFUNCTION("""COMPUTED_VALUE"""),44301.0)</f>
        <v>44301</v>
      </c>
      <c r="AA84">
        <f t="shared" si="12"/>
        <v>0</v>
      </c>
      <c r="AB84">
        <f t="shared" si="13"/>
        <v>-17</v>
      </c>
      <c r="AC84">
        <f t="shared" si="14"/>
        <v>-2</v>
      </c>
    </row>
    <row r="85">
      <c r="A85" s="8">
        <f>IFERROR(__xludf.DUMMYFUNCTION("""COMPUTED_VALUE"""),44297.0)</f>
        <v>44297</v>
      </c>
      <c r="B85">
        <f>IFERROR(__xludf.DUMMYFUNCTION("""COMPUTED_VALUE"""),2.0)</f>
        <v>2</v>
      </c>
      <c r="C85">
        <f>IFERROR(__xludf.DUMMYFUNCTION("""COMPUTED_VALUE"""),3.0)</f>
        <v>3</v>
      </c>
      <c r="D85">
        <f>IFERROR(__xludf.DUMMYFUNCTION("""COMPUTED_VALUE"""),1.0)</f>
        <v>1</v>
      </c>
      <c r="K85">
        <f t="shared" ref="K85:M85" si="187">if(B85=1,0,K84+1)</f>
        <v>7</v>
      </c>
      <c r="L85">
        <f t="shared" si="187"/>
        <v>2</v>
      </c>
      <c r="M85">
        <f t="shared" si="187"/>
        <v>0</v>
      </c>
      <c r="O85" s="8">
        <f>IFERROR(__xludf.DUMMYFUNCTION("""COMPUTED_VALUE"""),44297.0)</f>
        <v>44297</v>
      </c>
      <c r="P85">
        <f t="shared" ref="P85:R85" si="188">B85+P86</f>
        <v>380</v>
      </c>
      <c r="Q85">
        <f t="shared" si="188"/>
        <v>398</v>
      </c>
      <c r="R85">
        <f t="shared" si="188"/>
        <v>384</v>
      </c>
      <c r="S85">
        <f>min(P85:R85)-MINIFS(P85:R85,P85:R85, "&lt;&gt;"&amp;Min(P85:R85))</f>
        <v>-4</v>
      </c>
      <c r="U85" s="8">
        <f>IFERROR(__xludf.DUMMYFUNCTION("""COMPUTED_VALUE"""),44297.0)</f>
        <v>44297</v>
      </c>
      <c r="V85">
        <f t="shared" si="9"/>
        <v>18</v>
      </c>
      <c r="W85">
        <f t="shared" si="10"/>
        <v>0</v>
      </c>
      <c r="X85">
        <f t="shared" si="11"/>
        <v>14</v>
      </c>
      <c r="Z85" s="8">
        <f>IFERROR(__xludf.DUMMYFUNCTION("""COMPUTED_VALUE"""),44297.0)</f>
        <v>44297</v>
      </c>
      <c r="AA85">
        <f t="shared" si="12"/>
        <v>0</v>
      </c>
      <c r="AB85">
        <f t="shared" si="13"/>
        <v>-18</v>
      </c>
      <c r="AC85">
        <f t="shared" si="14"/>
        <v>-4</v>
      </c>
    </row>
    <row r="86">
      <c r="A86" s="8">
        <f>IFERROR(__xludf.DUMMYFUNCTION("""COMPUTED_VALUE"""),44294.0)</f>
        <v>44294</v>
      </c>
      <c r="B86">
        <f>IFERROR(__xludf.DUMMYFUNCTION("""COMPUTED_VALUE"""),3.0)</f>
        <v>3</v>
      </c>
      <c r="C86">
        <f>IFERROR(__xludf.DUMMYFUNCTION("""COMPUTED_VALUE"""),2.0)</f>
        <v>2</v>
      </c>
      <c r="D86">
        <f>IFERROR(__xludf.DUMMYFUNCTION("""COMPUTED_VALUE"""),1.0)</f>
        <v>1</v>
      </c>
      <c r="K86">
        <f t="shared" ref="K86:M86" si="189">if(B86=1,0,K85+1)</f>
        <v>8</v>
      </c>
      <c r="L86">
        <f t="shared" si="189"/>
        <v>3</v>
      </c>
      <c r="M86">
        <f t="shared" si="189"/>
        <v>0</v>
      </c>
      <c r="O86" s="8">
        <f>IFERROR(__xludf.DUMMYFUNCTION("""COMPUTED_VALUE"""),44294.0)</f>
        <v>44294</v>
      </c>
      <c r="P86">
        <f t="shared" ref="P86:R86" si="190">B86+P87</f>
        <v>378</v>
      </c>
      <c r="Q86">
        <f t="shared" si="190"/>
        <v>395</v>
      </c>
      <c r="R86">
        <f t="shared" si="190"/>
        <v>383</v>
      </c>
      <c r="S86" s="1">
        <v>0.0</v>
      </c>
      <c r="U86" s="8">
        <f>IFERROR(__xludf.DUMMYFUNCTION("""COMPUTED_VALUE"""),44294.0)</f>
        <v>44294</v>
      </c>
      <c r="V86">
        <f t="shared" si="9"/>
        <v>17</v>
      </c>
      <c r="W86">
        <f t="shared" si="10"/>
        <v>0</v>
      </c>
      <c r="X86">
        <f t="shared" si="11"/>
        <v>12</v>
      </c>
      <c r="Z86" s="8">
        <f>IFERROR(__xludf.DUMMYFUNCTION("""COMPUTED_VALUE"""),44294.0)</f>
        <v>44294</v>
      </c>
      <c r="AA86">
        <f t="shared" si="12"/>
        <v>0</v>
      </c>
      <c r="AB86">
        <f t="shared" si="13"/>
        <v>-17</v>
      </c>
      <c r="AC86">
        <f t="shared" si="14"/>
        <v>-5</v>
      </c>
    </row>
    <row r="87">
      <c r="A87" s="8">
        <f>IFERROR(__xludf.DUMMYFUNCTION("""COMPUTED_VALUE"""),44290.0)</f>
        <v>44290</v>
      </c>
      <c r="B87">
        <f>IFERROR(__xludf.DUMMYFUNCTION("""COMPUTED_VALUE"""),1.0)</f>
        <v>1</v>
      </c>
      <c r="C87">
        <f>IFERROR(__xludf.DUMMYFUNCTION("""COMPUTED_VALUE"""),3.0)</f>
        <v>3</v>
      </c>
      <c r="D87">
        <f>IFERROR(__xludf.DUMMYFUNCTION("""COMPUTED_VALUE"""),2.0)</f>
        <v>2</v>
      </c>
      <c r="K87">
        <f t="shared" ref="K87:M87" si="191">if(B87=1,0,K86+1)</f>
        <v>0</v>
      </c>
      <c r="L87">
        <f t="shared" si="191"/>
        <v>4</v>
      </c>
      <c r="M87">
        <f t="shared" si="191"/>
        <v>1</v>
      </c>
      <c r="O87" s="8">
        <f>IFERROR(__xludf.DUMMYFUNCTION("""COMPUTED_VALUE"""),44290.0)</f>
        <v>44290</v>
      </c>
      <c r="P87">
        <f t="shared" ref="P87:R87" si="192">B87+P88</f>
        <v>375</v>
      </c>
      <c r="Q87">
        <f t="shared" si="192"/>
        <v>393</v>
      </c>
      <c r="R87">
        <f t="shared" si="192"/>
        <v>382</v>
      </c>
      <c r="S87">
        <f>min(P87:R87)-MINIFS(P87:R87,P87:R87, "&lt;&gt;"&amp;Min(P87:R87))</f>
        <v>-7</v>
      </c>
      <c r="U87" s="8">
        <f>IFERROR(__xludf.DUMMYFUNCTION("""COMPUTED_VALUE"""),44290.0)</f>
        <v>44290</v>
      </c>
      <c r="V87">
        <f t="shared" si="9"/>
        <v>18</v>
      </c>
      <c r="W87">
        <f t="shared" si="10"/>
        <v>0</v>
      </c>
      <c r="X87">
        <f t="shared" si="11"/>
        <v>11</v>
      </c>
      <c r="Z87" s="8">
        <f>IFERROR(__xludf.DUMMYFUNCTION("""COMPUTED_VALUE"""),44290.0)</f>
        <v>44290</v>
      </c>
      <c r="AA87">
        <f t="shared" si="12"/>
        <v>0</v>
      </c>
      <c r="AB87">
        <f t="shared" si="13"/>
        <v>-18</v>
      </c>
      <c r="AC87">
        <f t="shared" si="14"/>
        <v>-7</v>
      </c>
    </row>
    <row r="88">
      <c r="A88" s="8">
        <f>IFERROR(__xludf.DUMMYFUNCTION("""COMPUTED_VALUE"""),44287.0)</f>
        <v>44287</v>
      </c>
      <c r="B88">
        <f>IFERROR(__xludf.DUMMYFUNCTION("""COMPUTED_VALUE"""),1.0)</f>
        <v>1</v>
      </c>
      <c r="C88">
        <f>IFERROR(__xludf.DUMMYFUNCTION("""COMPUTED_VALUE"""),3.0)</f>
        <v>3</v>
      </c>
      <c r="D88">
        <f>IFERROR(__xludf.DUMMYFUNCTION("""COMPUTED_VALUE"""),2.0)</f>
        <v>2</v>
      </c>
      <c r="K88">
        <f t="shared" ref="K88:M88" si="193">if(B88=1,0,K87+1)</f>
        <v>0</v>
      </c>
      <c r="L88">
        <f t="shared" si="193"/>
        <v>5</v>
      </c>
      <c r="M88">
        <f t="shared" si="193"/>
        <v>2</v>
      </c>
      <c r="O88" s="8">
        <f>IFERROR(__xludf.DUMMYFUNCTION("""COMPUTED_VALUE"""),44287.0)</f>
        <v>44287</v>
      </c>
      <c r="P88">
        <f t="shared" ref="P88:R88" si="194">B88+P89</f>
        <v>374</v>
      </c>
      <c r="Q88">
        <f t="shared" si="194"/>
        <v>390</v>
      </c>
      <c r="R88">
        <f t="shared" si="194"/>
        <v>380</v>
      </c>
      <c r="S88" s="1">
        <v>0.0</v>
      </c>
      <c r="U88" s="8">
        <f>IFERROR(__xludf.DUMMYFUNCTION("""COMPUTED_VALUE"""),44287.0)</f>
        <v>44287</v>
      </c>
      <c r="V88">
        <f t="shared" si="9"/>
        <v>16</v>
      </c>
      <c r="W88">
        <f t="shared" si="10"/>
        <v>0</v>
      </c>
      <c r="X88">
        <f t="shared" si="11"/>
        <v>10</v>
      </c>
      <c r="Z88" s="8">
        <f>IFERROR(__xludf.DUMMYFUNCTION("""COMPUTED_VALUE"""),44287.0)</f>
        <v>44287</v>
      </c>
      <c r="AA88">
        <f t="shared" si="12"/>
        <v>0</v>
      </c>
      <c r="AB88">
        <f t="shared" si="13"/>
        <v>-16</v>
      </c>
      <c r="AC88">
        <f t="shared" si="14"/>
        <v>-6</v>
      </c>
    </row>
    <row r="89">
      <c r="A89" s="8">
        <f>IFERROR(__xludf.DUMMYFUNCTION("""COMPUTED_VALUE"""),44283.0)</f>
        <v>44283</v>
      </c>
      <c r="B89">
        <f>IFERROR(__xludf.DUMMYFUNCTION("""COMPUTED_VALUE"""),3.0)</f>
        <v>3</v>
      </c>
      <c r="C89">
        <f>IFERROR(__xludf.DUMMYFUNCTION("""COMPUTED_VALUE"""),2.0)</f>
        <v>2</v>
      </c>
      <c r="D89">
        <f>IFERROR(__xludf.DUMMYFUNCTION("""COMPUTED_VALUE"""),1.0)</f>
        <v>1</v>
      </c>
      <c r="K89">
        <f t="shared" ref="K89:M89" si="195">if(B89=1,0,K88+1)</f>
        <v>1</v>
      </c>
      <c r="L89">
        <f t="shared" si="195"/>
        <v>6</v>
      </c>
      <c r="M89">
        <f t="shared" si="195"/>
        <v>0</v>
      </c>
      <c r="O89" s="8">
        <f>IFERROR(__xludf.DUMMYFUNCTION("""COMPUTED_VALUE"""),44283.0)</f>
        <v>44283</v>
      </c>
      <c r="P89">
        <f t="shared" ref="P89:R89" si="196">B89+P90</f>
        <v>373</v>
      </c>
      <c r="Q89">
        <f t="shared" si="196"/>
        <v>387</v>
      </c>
      <c r="R89">
        <f t="shared" si="196"/>
        <v>378</v>
      </c>
      <c r="S89">
        <f t="shared" ref="S89:S109" si="199">min(P89:R89)-MINIFS(P89:R89,P89:R89, "&lt;&gt;"&amp;Min(P89:R89))</f>
        <v>-5</v>
      </c>
      <c r="U89" s="8">
        <f>IFERROR(__xludf.DUMMYFUNCTION("""COMPUTED_VALUE"""),44283.0)</f>
        <v>44283</v>
      </c>
      <c r="V89">
        <f t="shared" si="9"/>
        <v>14</v>
      </c>
      <c r="W89">
        <f t="shared" si="10"/>
        <v>0</v>
      </c>
      <c r="X89">
        <f t="shared" si="11"/>
        <v>9</v>
      </c>
      <c r="Z89" s="8">
        <f>IFERROR(__xludf.DUMMYFUNCTION("""COMPUTED_VALUE"""),44283.0)</f>
        <v>44283</v>
      </c>
      <c r="AA89">
        <f t="shared" si="12"/>
        <v>0</v>
      </c>
      <c r="AB89">
        <f t="shared" si="13"/>
        <v>-14</v>
      </c>
      <c r="AC89">
        <f t="shared" si="14"/>
        <v>-5</v>
      </c>
    </row>
    <row r="90">
      <c r="A90" s="8">
        <f>IFERROR(__xludf.DUMMYFUNCTION("""COMPUTED_VALUE"""),44276.0)</f>
        <v>44276</v>
      </c>
      <c r="B90">
        <f>IFERROR(__xludf.DUMMYFUNCTION("""COMPUTED_VALUE"""),3.0)</f>
        <v>3</v>
      </c>
      <c r="C90">
        <f>IFERROR(__xludf.DUMMYFUNCTION("""COMPUTED_VALUE"""),2.0)</f>
        <v>2</v>
      </c>
      <c r="D90">
        <f>IFERROR(__xludf.DUMMYFUNCTION("""COMPUTED_VALUE"""),1.0)</f>
        <v>1</v>
      </c>
      <c r="K90">
        <f t="shared" ref="K90:M90" si="197">if(B90=1,0,K89+1)</f>
        <v>2</v>
      </c>
      <c r="L90">
        <f t="shared" si="197"/>
        <v>7</v>
      </c>
      <c r="M90">
        <f t="shared" si="197"/>
        <v>0</v>
      </c>
      <c r="O90" s="8">
        <f>IFERROR(__xludf.DUMMYFUNCTION("""COMPUTED_VALUE"""),44276.0)</f>
        <v>44276</v>
      </c>
      <c r="P90">
        <f t="shared" ref="P90:R90" si="198">B90+P91</f>
        <v>370</v>
      </c>
      <c r="Q90">
        <f t="shared" si="198"/>
        <v>385</v>
      </c>
      <c r="R90">
        <f t="shared" si="198"/>
        <v>377</v>
      </c>
      <c r="S90">
        <f t="shared" si="199"/>
        <v>-7</v>
      </c>
      <c r="U90" s="8">
        <f>IFERROR(__xludf.DUMMYFUNCTION("""COMPUTED_VALUE"""),44276.0)</f>
        <v>44276</v>
      </c>
      <c r="V90">
        <f t="shared" si="9"/>
        <v>15</v>
      </c>
      <c r="W90">
        <f t="shared" si="10"/>
        <v>0</v>
      </c>
      <c r="X90">
        <f t="shared" si="11"/>
        <v>8</v>
      </c>
      <c r="Z90" s="8">
        <f>IFERROR(__xludf.DUMMYFUNCTION("""COMPUTED_VALUE"""),44276.0)</f>
        <v>44276</v>
      </c>
      <c r="AA90">
        <f t="shared" si="12"/>
        <v>0</v>
      </c>
      <c r="AB90">
        <f t="shared" si="13"/>
        <v>-15</v>
      </c>
      <c r="AC90">
        <f t="shared" si="14"/>
        <v>-7</v>
      </c>
    </row>
    <row r="91">
      <c r="A91" s="8">
        <f>IFERROR(__xludf.DUMMYFUNCTION("""COMPUTED_VALUE"""),44269.0)</f>
        <v>44269</v>
      </c>
      <c r="B91">
        <f>IFERROR(__xludf.DUMMYFUNCTION("""COMPUTED_VALUE"""),2.0)</f>
        <v>2</v>
      </c>
      <c r="C91">
        <f>IFERROR(__xludf.DUMMYFUNCTION("""COMPUTED_VALUE"""),1.0)</f>
        <v>1</v>
      </c>
      <c r="D91">
        <f>IFERROR(__xludf.DUMMYFUNCTION("""COMPUTED_VALUE"""),3.0)</f>
        <v>3</v>
      </c>
      <c r="K91">
        <f t="shared" ref="K91:M91" si="200">if(B91=1,0,K90+1)</f>
        <v>3</v>
      </c>
      <c r="L91">
        <f t="shared" si="200"/>
        <v>0</v>
      </c>
      <c r="M91">
        <f t="shared" si="200"/>
        <v>1</v>
      </c>
      <c r="O91" s="8">
        <f>IFERROR(__xludf.DUMMYFUNCTION("""COMPUTED_VALUE"""),44269.0)</f>
        <v>44269</v>
      </c>
      <c r="P91">
        <f t="shared" ref="P91:R91" si="201">B91+P92</f>
        <v>367</v>
      </c>
      <c r="Q91">
        <f t="shared" si="201"/>
        <v>383</v>
      </c>
      <c r="R91">
        <f t="shared" si="201"/>
        <v>376</v>
      </c>
      <c r="S91">
        <f t="shared" si="199"/>
        <v>-9</v>
      </c>
      <c r="U91" s="8">
        <f>IFERROR(__xludf.DUMMYFUNCTION("""COMPUTED_VALUE"""),44269.0)</f>
        <v>44269</v>
      </c>
      <c r="V91">
        <f t="shared" si="9"/>
        <v>16</v>
      </c>
      <c r="W91">
        <f t="shared" si="10"/>
        <v>0</v>
      </c>
      <c r="X91">
        <f t="shared" si="11"/>
        <v>7</v>
      </c>
      <c r="Z91" s="8">
        <f>IFERROR(__xludf.DUMMYFUNCTION("""COMPUTED_VALUE"""),44269.0)</f>
        <v>44269</v>
      </c>
      <c r="AA91">
        <f t="shared" si="12"/>
        <v>0</v>
      </c>
      <c r="AB91">
        <f t="shared" si="13"/>
        <v>-16</v>
      </c>
      <c r="AC91">
        <f t="shared" si="14"/>
        <v>-9</v>
      </c>
    </row>
    <row r="92">
      <c r="A92" s="8">
        <f>IFERROR(__xludf.DUMMYFUNCTION("""COMPUTED_VALUE"""),44262.0)</f>
        <v>44262</v>
      </c>
      <c r="B92">
        <f>IFERROR(__xludf.DUMMYFUNCTION("""COMPUTED_VALUE"""),1.0)</f>
        <v>1</v>
      </c>
      <c r="C92">
        <f>IFERROR(__xludf.DUMMYFUNCTION("""COMPUTED_VALUE"""),2.0)</f>
        <v>2</v>
      </c>
      <c r="D92">
        <f>IFERROR(__xludf.DUMMYFUNCTION("""COMPUTED_VALUE"""),3.0)</f>
        <v>3</v>
      </c>
      <c r="K92">
        <f t="shared" ref="K92:M92" si="202">if(B92=1,0,K91+1)</f>
        <v>0</v>
      </c>
      <c r="L92">
        <f t="shared" si="202"/>
        <v>1</v>
      </c>
      <c r="M92">
        <f t="shared" si="202"/>
        <v>2</v>
      </c>
      <c r="O92" s="8">
        <f>IFERROR(__xludf.DUMMYFUNCTION("""COMPUTED_VALUE"""),44262.0)</f>
        <v>44262</v>
      </c>
      <c r="P92">
        <f t="shared" ref="P92:R92" si="203">B92+P93</f>
        <v>365</v>
      </c>
      <c r="Q92">
        <f t="shared" si="203"/>
        <v>382</v>
      </c>
      <c r="R92">
        <f t="shared" si="203"/>
        <v>373</v>
      </c>
      <c r="S92">
        <f t="shared" si="199"/>
        <v>-8</v>
      </c>
      <c r="U92" s="8">
        <f>IFERROR(__xludf.DUMMYFUNCTION("""COMPUTED_VALUE"""),44262.0)</f>
        <v>44262</v>
      </c>
      <c r="V92">
        <f t="shared" si="9"/>
        <v>17</v>
      </c>
      <c r="W92">
        <f t="shared" si="10"/>
        <v>0</v>
      </c>
      <c r="X92">
        <f t="shared" si="11"/>
        <v>9</v>
      </c>
      <c r="Z92" s="8">
        <f>IFERROR(__xludf.DUMMYFUNCTION("""COMPUTED_VALUE"""),44262.0)</f>
        <v>44262</v>
      </c>
      <c r="AA92">
        <f t="shared" si="12"/>
        <v>0</v>
      </c>
      <c r="AB92">
        <f t="shared" si="13"/>
        <v>-17</v>
      </c>
      <c r="AC92">
        <f t="shared" si="14"/>
        <v>-8</v>
      </c>
    </row>
    <row r="93">
      <c r="A93" s="8">
        <f>IFERROR(__xludf.DUMMYFUNCTION("""COMPUTED_VALUE"""),44259.0)</f>
        <v>44259</v>
      </c>
      <c r="B93">
        <f>IFERROR(__xludf.DUMMYFUNCTION("""COMPUTED_VALUE"""),2.0)</f>
        <v>2</v>
      </c>
      <c r="C93">
        <f>IFERROR(__xludf.DUMMYFUNCTION("""COMPUTED_VALUE"""),3.0)</f>
        <v>3</v>
      </c>
      <c r="D93">
        <f>IFERROR(__xludf.DUMMYFUNCTION("""COMPUTED_VALUE"""),1.0)</f>
        <v>1</v>
      </c>
      <c r="K93">
        <f t="shared" ref="K93:M93" si="204">if(B93=1,0,K92+1)</f>
        <v>1</v>
      </c>
      <c r="L93">
        <f t="shared" si="204"/>
        <v>2</v>
      </c>
      <c r="M93">
        <f t="shared" si="204"/>
        <v>0</v>
      </c>
      <c r="O93" s="8">
        <f>IFERROR(__xludf.DUMMYFUNCTION("""COMPUTED_VALUE"""),44259.0)</f>
        <v>44259</v>
      </c>
      <c r="P93">
        <f t="shared" ref="P93:R93" si="205">B93+P94</f>
        <v>364</v>
      </c>
      <c r="Q93">
        <f t="shared" si="205"/>
        <v>380</v>
      </c>
      <c r="R93">
        <f t="shared" si="205"/>
        <v>370</v>
      </c>
      <c r="S93">
        <f t="shared" si="199"/>
        <v>-6</v>
      </c>
      <c r="U93" s="8">
        <f>IFERROR(__xludf.DUMMYFUNCTION("""COMPUTED_VALUE"""),44259.0)</f>
        <v>44259</v>
      </c>
      <c r="V93">
        <f t="shared" si="9"/>
        <v>16</v>
      </c>
      <c r="W93">
        <f t="shared" si="10"/>
        <v>0</v>
      </c>
      <c r="X93">
        <f t="shared" si="11"/>
        <v>10</v>
      </c>
      <c r="Z93" s="8">
        <f>IFERROR(__xludf.DUMMYFUNCTION("""COMPUTED_VALUE"""),44259.0)</f>
        <v>44259</v>
      </c>
      <c r="AA93">
        <f t="shared" si="12"/>
        <v>0</v>
      </c>
      <c r="AB93">
        <f t="shared" si="13"/>
        <v>-16</v>
      </c>
      <c r="AC93">
        <f t="shared" si="14"/>
        <v>-6</v>
      </c>
    </row>
    <row r="94">
      <c r="A94" s="8">
        <f>IFERROR(__xludf.DUMMYFUNCTION("""COMPUTED_VALUE"""),44255.0)</f>
        <v>44255</v>
      </c>
      <c r="B94">
        <f>IFERROR(__xludf.DUMMYFUNCTION("""COMPUTED_VALUE"""),1.0)</f>
        <v>1</v>
      </c>
      <c r="C94">
        <f>IFERROR(__xludf.DUMMYFUNCTION("""COMPUTED_VALUE"""),2.0)</f>
        <v>2</v>
      </c>
      <c r="D94">
        <f>IFERROR(__xludf.DUMMYFUNCTION("""COMPUTED_VALUE"""),3.0)</f>
        <v>3</v>
      </c>
      <c r="K94">
        <f t="shared" ref="K94:M94" si="206">if(B94=1,0,K93+1)</f>
        <v>0</v>
      </c>
      <c r="L94">
        <f t="shared" si="206"/>
        <v>3</v>
      </c>
      <c r="M94">
        <f t="shared" si="206"/>
        <v>1</v>
      </c>
      <c r="O94" s="8">
        <f>IFERROR(__xludf.DUMMYFUNCTION("""COMPUTED_VALUE"""),44255.0)</f>
        <v>44255</v>
      </c>
      <c r="P94">
        <f t="shared" ref="P94:R94" si="207">B94+P95</f>
        <v>362</v>
      </c>
      <c r="Q94">
        <f t="shared" si="207"/>
        <v>377</v>
      </c>
      <c r="R94">
        <f t="shared" si="207"/>
        <v>369</v>
      </c>
      <c r="S94">
        <f t="shared" si="199"/>
        <v>-7</v>
      </c>
      <c r="U94" s="8">
        <f>IFERROR(__xludf.DUMMYFUNCTION("""COMPUTED_VALUE"""),44255.0)</f>
        <v>44255</v>
      </c>
      <c r="V94">
        <f t="shared" si="9"/>
        <v>15</v>
      </c>
      <c r="W94">
        <f t="shared" si="10"/>
        <v>0</v>
      </c>
      <c r="X94">
        <f t="shared" si="11"/>
        <v>8</v>
      </c>
      <c r="Z94" s="8">
        <f>IFERROR(__xludf.DUMMYFUNCTION("""COMPUTED_VALUE"""),44255.0)</f>
        <v>44255</v>
      </c>
      <c r="AA94">
        <f t="shared" si="12"/>
        <v>0</v>
      </c>
      <c r="AB94">
        <f t="shared" si="13"/>
        <v>-15</v>
      </c>
      <c r="AC94">
        <f t="shared" si="14"/>
        <v>-7</v>
      </c>
    </row>
    <row r="95">
      <c r="A95" s="8">
        <f>IFERROR(__xludf.DUMMYFUNCTION("""COMPUTED_VALUE"""),44248.0)</f>
        <v>44248</v>
      </c>
      <c r="B95">
        <f>IFERROR(__xludf.DUMMYFUNCTION("""COMPUTED_VALUE"""),1.0)</f>
        <v>1</v>
      </c>
      <c r="C95">
        <f>IFERROR(__xludf.DUMMYFUNCTION("""COMPUTED_VALUE"""),3.0)</f>
        <v>3</v>
      </c>
      <c r="D95">
        <f>IFERROR(__xludf.DUMMYFUNCTION("""COMPUTED_VALUE"""),2.0)</f>
        <v>2</v>
      </c>
      <c r="K95">
        <f t="shared" ref="K95:M95" si="208">if(B95=1,0,K94+1)</f>
        <v>0</v>
      </c>
      <c r="L95">
        <f t="shared" si="208"/>
        <v>4</v>
      </c>
      <c r="M95">
        <f t="shared" si="208"/>
        <v>2</v>
      </c>
      <c r="O95" s="8">
        <f>IFERROR(__xludf.DUMMYFUNCTION("""COMPUTED_VALUE"""),44248.0)</f>
        <v>44248</v>
      </c>
      <c r="P95">
        <f t="shared" ref="P95:R95" si="209">B95+P96</f>
        <v>361</v>
      </c>
      <c r="Q95">
        <f t="shared" si="209"/>
        <v>375</v>
      </c>
      <c r="R95">
        <f t="shared" si="209"/>
        <v>366</v>
      </c>
      <c r="S95">
        <f t="shared" si="199"/>
        <v>-5</v>
      </c>
      <c r="U95" s="8">
        <f>IFERROR(__xludf.DUMMYFUNCTION("""COMPUTED_VALUE"""),44248.0)</f>
        <v>44248</v>
      </c>
      <c r="V95">
        <f t="shared" si="9"/>
        <v>14</v>
      </c>
      <c r="W95">
        <f t="shared" si="10"/>
        <v>0</v>
      </c>
      <c r="X95">
        <f t="shared" si="11"/>
        <v>9</v>
      </c>
      <c r="Z95" s="8">
        <f>IFERROR(__xludf.DUMMYFUNCTION("""COMPUTED_VALUE"""),44248.0)</f>
        <v>44248</v>
      </c>
      <c r="AA95">
        <f t="shared" si="12"/>
        <v>0</v>
      </c>
      <c r="AB95">
        <f t="shared" si="13"/>
        <v>-14</v>
      </c>
      <c r="AC95">
        <f t="shared" si="14"/>
        <v>-5</v>
      </c>
    </row>
    <row r="96">
      <c r="A96" s="8">
        <f>IFERROR(__xludf.DUMMYFUNCTION("""COMPUTED_VALUE"""),44238.0)</f>
        <v>44238</v>
      </c>
      <c r="B96">
        <f>IFERROR(__xludf.DUMMYFUNCTION("""COMPUTED_VALUE"""),2.0)</f>
        <v>2</v>
      </c>
      <c r="C96">
        <f>IFERROR(__xludf.DUMMYFUNCTION("""COMPUTED_VALUE"""),1.0)</f>
        <v>1</v>
      </c>
      <c r="D96">
        <f>IFERROR(__xludf.DUMMYFUNCTION("""COMPUTED_VALUE"""),3.0)</f>
        <v>3</v>
      </c>
      <c r="K96">
        <f t="shared" ref="K96:M96" si="210">if(B96=1,0,K95+1)</f>
        <v>1</v>
      </c>
      <c r="L96">
        <f t="shared" si="210"/>
        <v>0</v>
      </c>
      <c r="M96">
        <f t="shared" si="210"/>
        <v>3</v>
      </c>
      <c r="O96" s="8">
        <f>IFERROR(__xludf.DUMMYFUNCTION("""COMPUTED_VALUE"""),44238.0)</f>
        <v>44238</v>
      </c>
      <c r="P96">
        <f t="shared" ref="P96:R96" si="211">B96+P97</f>
        <v>360</v>
      </c>
      <c r="Q96">
        <f t="shared" si="211"/>
        <v>372</v>
      </c>
      <c r="R96">
        <f t="shared" si="211"/>
        <v>364</v>
      </c>
      <c r="S96">
        <f t="shared" si="199"/>
        <v>-4</v>
      </c>
      <c r="U96" s="8">
        <f>IFERROR(__xludf.DUMMYFUNCTION("""COMPUTED_VALUE"""),44238.0)</f>
        <v>44238</v>
      </c>
      <c r="V96">
        <f t="shared" si="9"/>
        <v>12</v>
      </c>
      <c r="W96">
        <f t="shared" si="10"/>
        <v>0</v>
      </c>
      <c r="X96">
        <f t="shared" si="11"/>
        <v>8</v>
      </c>
      <c r="Z96" s="8">
        <f>IFERROR(__xludf.DUMMYFUNCTION("""COMPUTED_VALUE"""),44238.0)</f>
        <v>44238</v>
      </c>
      <c r="AA96">
        <f t="shared" si="12"/>
        <v>0</v>
      </c>
      <c r="AB96">
        <f t="shared" si="13"/>
        <v>-12</v>
      </c>
      <c r="AC96">
        <f t="shared" si="14"/>
        <v>-4</v>
      </c>
    </row>
    <row r="97">
      <c r="A97" s="8">
        <f>IFERROR(__xludf.DUMMYFUNCTION("""COMPUTED_VALUE"""),44231.0)</f>
        <v>44231</v>
      </c>
      <c r="B97">
        <f>IFERROR(__xludf.DUMMYFUNCTION("""COMPUTED_VALUE"""),3.0)</f>
        <v>3</v>
      </c>
      <c r="C97">
        <f>IFERROR(__xludf.DUMMYFUNCTION("""COMPUTED_VALUE"""),2.0)</f>
        <v>2</v>
      </c>
      <c r="D97">
        <f>IFERROR(__xludf.DUMMYFUNCTION("""COMPUTED_VALUE"""),1.0)</f>
        <v>1</v>
      </c>
      <c r="K97">
        <f t="shared" ref="K97:M97" si="212">if(B97=1,0,K96+1)</f>
        <v>2</v>
      </c>
      <c r="L97">
        <f t="shared" si="212"/>
        <v>1</v>
      </c>
      <c r="M97">
        <f t="shared" si="212"/>
        <v>0</v>
      </c>
      <c r="O97" s="8">
        <f>IFERROR(__xludf.DUMMYFUNCTION("""COMPUTED_VALUE"""),44231.0)</f>
        <v>44231</v>
      </c>
      <c r="P97">
        <f t="shared" ref="P97:R97" si="213">B97+P98</f>
        <v>358</v>
      </c>
      <c r="Q97">
        <f t="shared" si="213"/>
        <v>371</v>
      </c>
      <c r="R97">
        <f t="shared" si="213"/>
        <v>361</v>
      </c>
      <c r="S97">
        <f t="shared" si="199"/>
        <v>-3</v>
      </c>
      <c r="U97" s="8">
        <f>IFERROR(__xludf.DUMMYFUNCTION("""COMPUTED_VALUE"""),44231.0)</f>
        <v>44231</v>
      </c>
      <c r="V97">
        <f t="shared" si="9"/>
        <v>13</v>
      </c>
      <c r="W97">
        <f t="shared" si="10"/>
        <v>0</v>
      </c>
      <c r="X97">
        <f t="shared" si="11"/>
        <v>10</v>
      </c>
      <c r="Z97" s="8">
        <f>IFERROR(__xludf.DUMMYFUNCTION("""COMPUTED_VALUE"""),44231.0)</f>
        <v>44231</v>
      </c>
      <c r="AA97">
        <f t="shared" si="12"/>
        <v>0</v>
      </c>
      <c r="AB97">
        <f t="shared" si="13"/>
        <v>-13</v>
      </c>
      <c r="AC97">
        <f t="shared" si="14"/>
        <v>-3</v>
      </c>
    </row>
    <row r="98">
      <c r="A98" s="8">
        <f>IFERROR(__xludf.DUMMYFUNCTION("""COMPUTED_VALUE"""),44226.0)</f>
        <v>44226</v>
      </c>
      <c r="B98">
        <f>IFERROR(__xludf.DUMMYFUNCTION("""COMPUTED_VALUE"""),2.0)</f>
        <v>2</v>
      </c>
      <c r="C98">
        <f>IFERROR(__xludf.DUMMYFUNCTION("""COMPUTED_VALUE"""),1.0)</f>
        <v>1</v>
      </c>
      <c r="D98">
        <f>IFERROR(__xludf.DUMMYFUNCTION("""COMPUTED_VALUE"""),3.0)</f>
        <v>3</v>
      </c>
      <c r="K98">
        <f t="shared" ref="K98:M98" si="214">if(B98=1,0,K97+1)</f>
        <v>3</v>
      </c>
      <c r="L98">
        <f t="shared" si="214"/>
        <v>0</v>
      </c>
      <c r="M98">
        <f t="shared" si="214"/>
        <v>1</v>
      </c>
      <c r="O98" s="8">
        <f>IFERROR(__xludf.DUMMYFUNCTION("""COMPUTED_VALUE"""),44226.0)</f>
        <v>44226</v>
      </c>
      <c r="P98">
        <f t="shared" ref="P98:R98" si="215">B98+P99</f>
        <v>355</v>
      </c>
      <c r="Q98">
        <f t="shared" si="215"/>
        <v>369</v>
      </c>
      <c r="R98">
        <f t="shared" si="215"/>
        <v>360</v>
      </c>
      <c r="S98">
        <f t="shared" si="199"/>
        <v>-5</v>
      </c>
      <c r="U98" s="8">
        <f>IFERROR(__xludf.DUMMYFUNCTION("""COMPUTED_VALUE"""),44226.0)</f>
        <v>44226</v>
      </c>
      <c r="V98">
        <f t="shared" si="9"/>
        <v>14</v>
      </c>
      <c r="W98">
        <f t="shared" si="10"/>
        <v>0</v>
      </c>
      <c r="X98">
        <f t="shared" si="11"/>
        <v>9</v>
      </c>
      <c r="Z98" s="8">
        <f>IFERROR(__xludf.DUMMYFUNCTION("""COMPUTED_VALUE"""),44226.0)</f>
        <v>44226</v>
      </c>
      <c r="AA98">
        <f t="shared" si="12"/>
        <v>0</v>
      </c>
      <c r="AB98">
        <f t="shared" si="13"/>
        <v>-14</v>
      </c>
      <c r="AC98">
        <f t="shared" si="14"/>
        <v>-5</v>
      </c>
    </row>
    <row r="99">
      <c r="A99" s="8">
        <f>IFERROR(__xludf.DUMMYFUNCTION("""COMPUTED_VALUE"""),44217.0)</f>
        <v>44217</v>
      </c>
      <c r="B99">
        <f>IFERROR(__xludf.DUMMYFUNCTION("""COMPUTED_VALUE"""),2.0)</f>
        <v>2</v>
      </c>
      <c r="C99">
        <f>IFERROR(__xludf.DUMMYFUNCTION("""COMPUTED_VALUE"""),1.0)</f>
        <v>1</v>
      </c>
      <c r="D99">
        <f>IFERROR(__xludf.DUMMYFUNCTION("""COMPUTED_VALUE"""),3.0)</f>
        <v>3</v>
      </c>
      <c r="K99">
        <f t="shared" ref="K99:M99" si="216">if(B99=1,0,K98+1)</f>
        <v>4</v>
      </c>
      <c r="L99">
        <f t="shared" si="216"/>
        <v>0</v>
      </c>
      <c r="M99">
        <f t="shared" si="216"/>
        <v>2</v>
      </c>
      <c r="O99" s="8">
        <f>IFERROR(__xludf.DUMMYFUNCTION("""COMPUTED_VALUE"""),44217.0)</f>
        <v>44217</v>
      </c>
      <c r="P99">
        <f t="shared" ref="P99:R99" si="217">B99+P100</f>
        <v>353</v>
      </c>
      <c r="Q99">
        <f t="shared" si="217"/>
        <v>368</v>
      </c>
      <c r="R99">
        <f t="shared" si="217"/>
        <v>357</v>
      </c>
      <c r="S99">
        <f t="shared" si="199"/>
        <v>-4</v>
      </c>
      <c r="U99" s="8">
        <f>IFERROR(__xludf.DUMMYFUNCTION("""COMPUTED_VALUE"""),44217.0)</f>
        <v>44217</v>
      </c>
      <c r="V99">
        <f t="shared" si="9"/>
        <v>15</v>
      </c>
      <c r="W99">
        <f t="shared" si="10"/>
        <v>0</v>
      </c>
      <c r="X99">
        <f t="shared" si="11"/>
        <v>11</v>
      </c>
      <c r="Z99" s="8">
        <f>IFERROR(__xludf.DUMMYFUNCTION("""COMPUTED_VALUE"""),44217.0)</f>
        <v>44217</v>
      </c>
      <c r="AA99">
        <f t="shared" si="12"/>
        <v>0</v>
      </c>
      <c r="AB99">
        <f t="shared" si="13"/>
        <v>-15</v>
      </c>
      <c r="AC99">
        <f t="shared" si="14"/>
        <v>-4</v>
      </c>
    </row>
    <row r="100">
      <c r="A100" s="8">
        <f>IFERROR(__xludf.DUMMYFUNCTION("""COMPUTED_VALUE"""),44213.0)</f>
        <v>44213</v>
      </c>
      <c r="B100">
        <f>IFERROR(__xludf.DUMMYFUNCTION("""COMPUTED_VALUE"""),1.0)</f>
        <v>1</v>
      </c>
      <c r="C100">
        <f>IFERROR(__xludf.DUMMYFUNCTION("""COMPUTED_VALUE"""),2.0)</f>
        <v>2</v>
      </c>
      <c r="D100">
        <f>IFERROR(__xludf.DUMMYFUNCTION("""COMPUTED_VALUE"""),4.0)</f>
        <v>4</v>
      </c>
      <c r="K100">
        <f t="shared" ref="K100:M100" si="218">if(B100=1,0,K99+1)</f>
        <v>0</v>
      </c>
      <c r="L100">
        <f t="shared" si="218"/>
        <v>1</v>
      </c>
      <c r="M100">
        <f t="shared" si="218"/>
        <v>3</v>
      </c>
      <c r="O100" s="8">
        <f>IFERROR(__xludf.DUMMYFUNCTION("""COMPUTED_VALUE"""),44213.0)</f>
        <v>44213</v>
      </c>
      <c r="P100">
        <f t="shared" ref="P100:R100" si="219">B100+P101</f>
        <v>351</v>
      </c>
      <c r="Q100">
        <f t="shared" si="219"/>
        <v>367</v>
      </c>
      <c r="R100">
        <f t="shared" si="219"/>
        <v>354</v>
      </c>
      <c r="S100">
        <f t="shared" si="199"/>
        <v>-3</v>
      </c>
      <c r="U100" s="8">
        <f>IFERROR(__xludf.DUMMYFUNCTION("""COMPUTED_VALUE"""),44213.0)</f>
        <v>44213</v>
      </c>
      <c r="V100">
        <f t="shared" si="9"/>
        <v>16</v>
      </c>
      <c r="W100">
        <f t="shared" si="10"/>
        <v>0</v>
      </c>
      <c r="X100">
        <f t="shared" si="11"/>
        <v>13</v>
      </c>
      <c r="Z100" s="8">
        <f>IFERROR(__xludf.DUMMYFUNCTION("""COMPUTED_VALUE"""),44213.0)</f>
        <v>44213</v>
      </c>
      <c r="AA100">
        <f t="shared" si="12"/>
        <v>0</v>
      </c>
      <c r="AB100">
        <f t="shared" si="13"/>
        <v>-16</v>
      </c>
      <c r="AC100">
        <f t="shared" si="14"/>
        <v>-3</v>
      </c>
    </row>
    <row r="101">
      <c r="A101" s="8">
        <f>IFERROR(__xludf.DUMMYFUNCTION("""COMPUTED_VALUE"""),44206.0)</f>
        <v>44206</v>
      </c>
      <c r="B101">
        <f>IFERROR(__xludf.DUMMYFUNCTION("""COMPUTED_VALUE"""),3.0)</f>
        <v>3</v>
      </c>
      <c r="C101">
        <f>IFERROR(__xludf.DUMMYFUNCTION("""COMPUTED_VALUE"""),1.0)</f>
        <v>1</v>
      </c>
      <c r="D101">
        <f>IFERROR(__xludf.DUMMYFUNCTION("""COMPUTED_VALUE"""),2.0)</f>
        <v>2</v>
      </c>
      <c r="K101">
        <f t="shared" ref="K101:M101" si="220">if(B101=1,0,K100+1)</f>
        <v>1</v>
      </c>
      <c r="L101">
        <f t="shared" si="220"/>
        <v>0</v>
      </c>
      <c r="M101">
        <f t="shared" si="220"/>
        <v>4</v>
      </c>
      <c r="O101" s="8">
        <f>IFERROR(__xludf.DUMMYFUNCTION("""COMPUTED_VALUE"""),44206.0)</f>
        <v>44206</v>
      </c>
      <c r="P101">
        <f t="shared" ref="P101:R101" si="221">B101+P102</f>
        <v>350</v>
      </c>
      <c r="Q101">
        <f t="shared" si="221"/>
        <v>365</v>
      </c>
      <c r="R101">
        <f t="shared" si="221"/>
        <v>350</v>
      </c>
      <c r="S101">
        <f t="shared" si="199"/>
        <v>-15</v>
      </c>
      <c r="U101" s="8">
        <f>IFERROR(__xludf.DUMMYFUNCTION("""COMPUTED_VALUE"""),44206.0)</f>
        <v>44206</v>
      </c>
      <c r="V101">
        <f t="shared" si="9"/>
        <v>15</v>
      </c>
      <c r="W101">
        <f t="shared" si="10"/>
        <v>0</v>
      </c>
      <c r="X101">
        <f t="shared" si="11"/>
        <v>15</v>
      </c>
      <c r="Z101" s="8">
        <f>IFERROR(__xludf.DUMMYFUNCTION("""COMPUTED_VALUE"""),44206.0)</f>
        <v>44206</v>
      </c>
      <c r="AA101">
        <f t="shared" si="12"/>
        <v>0</v>
      </c>
      <c r="AB101">
        <f t="shared" si="13"/>
        <v>-15</v>
      </c>
      <c r="AC101">
        <f t="shared" si="14"/>
        <v>0</v>
      </c>
    </row>
    <row r="102">
      <c r="A102" s="8">
        <f>IFERROR(__xludf.DUMMYFUNCTION("""COMPUTED_VALUE"""),44202.0)</f>
        <v>44202</v>
      </c>
      <c r="B102">
        <f>IFERROR(__xludf.DUMMYFUNCTION("""COMPUTED_VALUE"""),2.0)</f>
        <v>2</v>
      </c>
      <c r="C102">
        <f>IFERROR(__xludf.DUMMYFUNCTION("""COMPUTED_VALUE"""),1.0)</f>
        <v>1</v>
      </c>
      <c r="D102">
        <f>IFERROR(__xludf.DUMMYFUNCTION("""COMPUTED_VALUE"""),3.0)</f>
        <v>3</v>
      </c>
      <c r="K102">
        <f t="shared" ref="K102:M102" si="222">if(B102=1,0,K101+1)</f>
        <v>2</v>
      </c>
      <c r="L102">
        <f t="shared" si="222"/>
        <v>0</v>
      </c>
      <c r="M102">
        <f t="shared" si="222"/>
        <v>5</v>
      </c>
      <c r="O102" s="8">
        <f>IFERROR(__xludf.DUMMYFUNCTION("""COMPUTED_VALUE"""),44202.0)</f>
        <v>44202</v>
      </c>
      <c r="P102">
        <f t="shared" ref="P102:R102" si="223">B102+P103</f>
        <v>347</v>
      </c>
      <c r="Q102">
        <f t="shared" si="223"/>
        <v>364</v>
      </c>
      <c r="R102">
        <f t="shared" si="223"/>
        <v>348</v>
      </c>
      <c r="S102">
        <f t="shared" si="199"/>
        <v>-1</v>
      </c>
      <c r="U102" s="8">
        <f>IFERROR(__xludf.DUMMYFUNCTION("""COMPUTED_VALUE"""),44202.0)</f>
        <v>44202</v>
      </c>
      <c r="V102">
        <f t="shared" si="9"/>
        <v>17</v>
      </c>
      <c r="W102">
        <f t="shared" si="10"/>
        <v>0</v>
      </c>
      <c r="X102">
        <f t="shared" si="11"/>
        <v>16</v>
      </c>
      <c r="Z102" s="8">
        <f>IFERROR(__xludf.DUMMYFUNCTION("""COMPUTED_VALUE"""),44202.0)</f>
        <v>44202</v>
      </c>
      <c r="AA102">
        <f t="shared" si="12"/>
        <v>0</v>
      </c>
      <c r="AB102">
        <f t="shared" si="13"/>
        <v>-17</v>
      </c>
      <c r="AC102">
        <f t="shared" si="14"/>
        <v>-1</v>
      </c>
    </row>
    <row r="103">
      <c r="A103" s="8">
        <f>IFERROR(__xludf.DUMMYFUNCTION("""COMPUTED_VALUE"""),44199.0)</f>
        <v>44199</v>
      </c>
      <c r="B103">
        <f>IFERROR(__xludf.DUMMYFUNCTION("""COMPUTED_VALUE"""),1.0)</f>
        <v>1</v>
      </c>
      <c r="C103">
        <f>IFERROR(__xludf.DUMMYFUNCTION("""COMPUTED_VALUE"""),3.0)</f>
        <v>3</v>
      </c>
      <c r="D103">
        <f>IFERROR(__xludf.DUMMYFUNCTION("""COMPUTED_VALUE"""),2.0)</f>
        <v>2</v>
      </c>
      <c r="K103">
        <f t="shared" ref="K103:M103" si="224">if(B103=1,0,K102+1)</f>
        <v>0</v>
      </c>
      <c r="L103">
        <f t="shared" si="224"/>
        <v>1</v>
      </c>
      <c r="M103">
        <f t="shared" si="224"/>
        <v>6</v>
      </c>
      <c r="O103" s="8">
        <f>IFERROR(__xludf.DUMMYFUNCTION("""COMPUTED_VALUE"""),44199.0)</f>
        <v>44199</v>
      </c>
      <c r="P103">
        <f t="shared" ref="P103:R103" si="225">B103+P104</f>
        <v>345</v>
      </c>
      <c r="Q103">
        <f t="shared" si="225"/>
        <v>363</v>
      </c>
      <c r="R103">
        <f t="shared" si="225"/>
        <v>345</v>
      </c>
      <c r="S103">
        <f t="shared" si="199"/>
        <v>-18</v>
      </c>
      <c r="U103" s="8">
        <f>IFERROR(__xludf.DUMMYFUNCTION("""COMPUTED_VALUE"""),44199.0)</f>
        <v>44199</v>
      </c>
      <c r="V103">
        <f t="shared" si="9"/>
        <v>18</v>
      </c>
      <c r="W103">
        <f t="shared" si="10"/>
        <v>0</v>
      </c>
      <c r="X103">
        <f t="shared" si="11"/>
        <v>18</v>
      </c>
      <c r="Z103" s="8">
        <f>IFERROR(__xludf.DUMMYFUNCTION("""COMPUTED_VALUE"""),44199.0)</f>
        <v>44199</v>
      </c>
      <c r="AA103">
        <f t="shared" si="12"/>
        <v>0</v>
      </c>
      <c r="AB103">
        <f t="shared" si="13"/>
        <v>-18</v>
      </c>
      <c r="AC103">
        <f t="shared" si="14"/>
        <v>0</v>
      </c>
    </row>
    <row r="104">
      <c r="A104" s="8">
        <f>IFERROR(__xludf.DUMMYFUNCTION("""COMPUTED_VALUE"""),44195.0)</f>
        <v>44195</v>
      </c>
      <c r="B104">
        <f>IFERROR(__xludf.DUMMYFUNCTION("""COMPUTED_VALUE"""),2.0)</f>
        <v>2</v>
      </c>
      <c r="C104">
        <f>IFERROR(__xludf.DUMMYFUNCTION("""COMPUTED_VALUE"""),3.0)</f>
        <v>3</v>
      </c>
      <c r="D104">
        <f>IFERROR(__xludf.DUMMYFUNCTION("""COMPUTED_VALUE"""),1.0)</f>
        <v>1</v>
      </c>
      <c r="K104">
        <f t="shared" ref="K104:M104" si="226">if(B104=1,0,K103+1)</f>
        <v>1</v>
      </c>
      <c r="L104">
        <f t="shared" si="226"/>
        <v>2</v>
      </c>
      <c r="M104">
        <f t="shared" si="226"/>
        <v>0</v>
      </c>
      <c r="O104" s="8">
        <f>IFERROR(__xludf.DUMMYFUNCTION("""COMPUTED_VALUE"""),44195.0)</f>
        <v>44195</v>
      </c>
      <c r="P104">
        <f t="shared" ref="P104:R104" si="227">B104+P105</f>
        <v>344</v>
      </c>
      <c r="Q104">
        <f t="shared" si="227"/>
        <v>360</v>
      </c>
      <c r="R104">
        <f t="shared" si="227"/>
        <v>343</v>
      </c>
      <c r="S104">
        <f t="shared" si="199"/>
        <v>-1</v>
      </c>
      <c r="U104" s="8">
        <f>IFERROR(__xludf.DUMMYFUNCTION("""COMPUTED_VALUE"""),44195.0)</f>
        <v>44195</v>
      </c>
      <c r="V104">
        <f t="shared" si="9"/>
        <v>16</v>
      </c>
      <c r="W104">
        <f t="shared" si="10"/>
        <v>0</v>
      </c>
      <c r="X104">
        <f t="shared" si="11"/>
        <v>17</v>
      </c>
      <c r="Z104" s="8">
        <f>IFERROR(__xludf.DUMMYFUNCTION("""COMPUTED_VALUE"""),44195.0)</f>
        <v>44195</v>
      </c>
      <c r="AA104">
        <f t="shared" si="12"/>
        <v>-1</v>
      </c>
      <c r="AB104">
        <f t="shared" si="13"/>
        <v>-17</v>
      </c>
      <c r="AC104">
        <f t="shared" si="14"/>
        <v>0</v>
      </c>
    </row>
    <row r="105">
      <c r="A105" s="8">
        <f>IFERROR(__xludf.DUMMYFUNCTION("""COMPUTED_VALUE"""),44192.0)</f>
        <v>44192</v>
      </c>
      <c r="B105">
        <f>IFERROR(__xludf.DUMMYFUNCTION("""COMPUTED_VALUE"""),2.0)</f>
        <v>2</v>
      </c>
      <c r="C105">
        <f>IFERROR(__xludf.DUMMYFUNCTION("""COMPUTED_VALUE"""),3.0)</f>
        <v>3</v>
      </c>
      <c r="D105">
        <f>IFERROR(__xludf.DUMMYFUNCTION("""COMPUTED_VALUE"""),1.0)</f>
        <v>1</v>
      </c>
      <c r="K105">
        <f t="shared" ref="K105:M105" si="228">if(B105=1,0,K104+1)</f>
        <v>2</v>
      </c>
      <c r="L105">
        <f t="shared" si="228"/>
        <v>3</v>
      </c>
      <c r="M105">
        <f t="shared" si="228"/>
        <v>0</v>
      </c>
      <c r="O105" s="8">
        <f>IFERROR(__xludf.DUMMYFUNCTION("""COMPUTED_VALUE"""),44192.0)</f>
        <v>44192</v>
      </c>
      <c r="P105">
        <f t="shared" ref="P105:R105" si="229">B105+P106</f>
        <v>342</v>
      </c>
      <c r="Q105">
        <f t="shared" si="229"/>
        <v>357</v>
      </c>
      <c r="R105">
        <f t="shared" si="229"/>
        <v>342</v>
      </c>
      <c r="S105">
        <f t="shared" si="199"/>
        <v>-15</v>
      </c>
      <c r="U105" s="8">
        <f>IFERROR(__xludf.DUMMYFUNCTION("""COMPUTED_VALUE"""),44192.0)</f>
        <v>44192</v>
      </c>
      <c r="V105">
        <f t="shared" si="9"/>
        <v>15</v>
      </c>
      <c r="W105">
        <f t="shared" si="10"/>
        <v>0</v>
      </c>
      <c r="X105">
        <f t="shared" si="11"/>
        <v>15</v>
      </c>
      <c r="Z105" s="8">
        <f>IFERROR(__xludf.DUMMYFUNCTION("""COMPUTED_VALUE"""),44192.0)</f>
        <v>44192</v>
      </c>
      <c r="AA105">
        <f t="shared" si="12"/>
        <v>0</v>
      </c>
      <c r="AB105">
        <f t="shared" si="13"/>
        <v>-15</v>
      </c>
      <c r="AC105">
        <f t="shared" si="14"/>
        <v>0</v>
      </c>
    </row>
    <row r="106">
      <c r="A106" s="8">
        <f>IFERROR(__xludf.DUMMYFUNCTION("""COMPUTED_VALUE"""),44190.0)</f>
        <v>44190</v>
      </c>
      <c r="B106">
        <f>IFERROR(__xludf.DUMMYFUNCTION("""COMPUTED_VALUE"""),2.0)</f>
        <v>2</v>
      </c>
      <c r="C106">
        <f>IFERROR(__xludf.DUMMYFUNCTION("""COMPUTED_VALUE"""),3.0)</f>
        <v>3</v>
      </c>
      <c r="D106">
        <f>IFERROR(__xludf.DUMMYFUNCTION("""COMPUTED_VALUE"""),1.0)</f>
        <v>1</v>
      </c>
      <c r="K106">
        <f t="shared" ref="K106:M106" si="230">if(B106=1,0,K105+1)</f>
        <v>3</v>
      </c>
      <c r="L106">
        <f t="shared" si="230"/>
        <v>4</v>
      </c>
      <c r="M106">
        <f t="shared" si="230"/>
        <v>0</v>
      </c>
      <c r="O106" s="8">
        <f>IFERROR(__xludf.DUMMYFUNCTION("""COMPUTED_VALUE"""),44190.0)</f>
        <v>44190</v>
      </c>
      <c r="P106">
        <f t="shared" ref="P106:R106" si="231">B106+P107</f>
        <v>340</v>
      </c>
      <c r="Q106">
        <f t="shared" si="231"/>
        <v>354</v>
      </c>
      <c r="R106">
        <f t="shared" si="231"/>
        <v>341</v>
      </c>
      <c r="S106">
        <f t="shared" si="199"/>
        <v>-1</v>
      </c>
      <c r="U106" s="8">
        <f>IFERROR(__xludf.DUMMYFUNCTION("""COMPUTED_VALUE"""),44190.0)</f>
        <v>44190</v>
      </c>
      <c r="V106">
        <f t="shared" si="9"/>
        <v>14</v>
      </c>
      <c r="W106">
        <f t="shared" si="10"/>
        <v>0</v>
      </c>
      <c r="X106">
        <f t="shared" si="11"/>
        <v>13</v>
      </c>
      <c r="Z106" s="8">
        <f>IFERROR(__xludf.DUMMYFUNCTION("""COMPUTED_VALUE"""),44190.0)</f>
        <v>44190</v>
      </c>
      <c r="AA106">
        <f t="shared" si="12"/>
        <v>0</v>
      </c>
      <c r="AB106">
        <f t="shared" si="13"/>
        <v>-14</v>
      </c>
      <c r="AC106">
        <f t="shared" si="14"/>
        <v>-1</v>
      </c>
    </row>
    <row r="107">
      <c r="A107" s="8">
        <f>IFERROR(__xludf.DUMMYFUNCTION("""COMPUTED_VALUE"""),44185.0)</f>
        <v>44185</v>
      </c>
      <c r="B107">
        <f>IFERROR(__xludf.DUMMYFUNCTION("""COMPUTED_VALUE"""),1.0)</f>
        <v>1</v>
      </c>
      <c r="C107">
        <f>IFERROR(__xludf.DUMMYFUNCTION("""COMPUTED_VALUE"""),2.0)</f>
        <v>2</v>
      </c>
      <c r="D107">
        <f>IFERROR(__xludf.DUMMYFUNCTION("""COMPUTED_VALUE"""),3.0)</f>
        <v>3</v>
      </c>
      <c r="K107">
        <f t="shared" ref="K107:M107" si="232">if(B107=1,0,K106+1)</f>
        <v>0</v>
      </c>
      <c r="L107">
        <f t="shared" si="232"/>
        <v>5</v>
      </c>
      <c r="M107">
        <f t="shared" si="232"/>
        <v>1</v>
      </c>
      <c r="O107" s="8">
        <f>IFERROR(__xludf.DUMMYFUNCTION("""COMPUTED_VALUE"""),44185.0)</f>
        <v>44185</v>
      </c>
      <c r="P107">
        <f t="shared" ref="P107:R107" si="233">B107+P108</f>
        <v>338</v>
      </c>
      <c r="Q107">
        <f t="shared" si="233"/>
        <v>351</v>
      </c>
      <c r="R107">
        <f t="shared" si="233"/>
        <v>340</v>
      </c>
      <c r="S107">
        <f t="shared" si="199"/>
        <v>-2</v>
      </c>
      <c r="U107" s="8">
        <f>IFERROR(__xludf.DUMMYFUNCTION("""COMPUTED_VALUE"""),44185.0)</f>
        <v>44185</v>
      </c>
      <c r="V107">
        <f t="shared" si="9"/>
        <v>13</v>
      </c>
      <c r="W107">
        <f t="shared" si="10"/>
        <v>0</v>
      </c>
      <c r="X107">
        <f t="shared" si="11"/>
        <v>11</v>
      </c>
      <c r="Z107" s="8">
        <f>IFERROR(__xludf.DUMMYFUNCTION("""COMPUTED_VALUE"""),44185.0)</f>
        <v>44185</v>
      </c>
      <c r="AA107">
        <f t="shared" si="12"/>
        <v>0</v>
      </c>
      <c r="AB107">
        <f t="shared" si="13"/>
        <v>-13</v>
      </c>
      <c r="AC107">
        <f t="shared" si="14"/>
        <v>-2</v>
      </c>
    </row>
    <row r="108">
      <c r="A108" s="8">
        <f>IFERROR(__xludf.DUMMYFUNCTION("""COMPUTED_VALUE"""),44181.0)</f>
        <v>44181</v>
      </c>
      <c r="B108">
        <f>IFERROR(__xludf.DUMMYFUNCTION("""COMPUTED_VALUE"""),2.0)</f>
        <v>2</v>
      </c>
      <c r="C108">
        <f>IFERROR(__xludf.DUMMYFUNCTION("""COMPUTED_VALUE"""),1.0)</f>
        <v>1</v>
      </c>
      <c r="D108">
        <f>IFERROR(__xludf.DUMMYFUNCTION("""COMPUTED_VALUE"""),3.0)</f>
        <v>3</v>
      </c>
      <c r="K108">
        <f t="shared" ref="K108:M108" si="234">if(B108=1,0,K107+1)</f>
        <v>1</v>
      </c>
      <c r="L108">
        <f t="shared" si="234"/>
        <v>0</v>
      </c>
      <c r="M108">
        <f t="shared" si="234"/>
        <v>2</v>
      </c>
      <c r="O108" s="8">
        <f>IFERROR(__xludf.DUMMYFUNCTION("""COMPUTED_VALUE"""),44181.0)</f>
        <v>44181</v>
      </c>
      <c r="P108">
        <f t="shared" ref="P108:R108" si="235">B108+P109</f>
        <v>337</v>
      </c>
      <c r="Q108">
        <f t="shared" si="235"/>
        <v>349</v>
      </c>
      <c r="R108">
        <f t="shared" si="235"/>
        <v>337</v>
      </c>
      <c r="S108">
        <f t="shared" si="199"/>
        <v>-12</v>
      </c>
      <c r="U108" s="8">
        <f>IFERROR(__xludf.DUMMYFUNCTION("""COMPUTED_VALUE"""),44181.0)</f>
        <v>44181</v>
      </c>
      <c r="V108">
        <f t="shared" si="9"/>
        <v>12</v>
      </c>
      <c r="W108">
        <f t="shared" si="10"/>
        <v>0</v>
      </c>
      <c r="X108">
        <f t="shared" si="11"/>
        <v>12</v>
      </c>
      <c r="Z108" s="8">
        <f>IFERROR(__xludf.DUMMYFUNCTION("""COMPUTED_VALUE"""),44181.0)</f>
        <v>44181</v>
      </c>
      <c r="AA108">
        <f t="shared" si="12"/>
        <v>0</v>
      </c>
      <c r="AB108">
        <f t="shared" si="13"/>
        <v>-12</v>
      </c>
      <c r="AC108">
        <f t="shared" si="14"/>
        <v>0</v>
      </c>
    </row>
    <row r="109">
      <c r="A109" s="8">
        <f>IFERROR(__xludf.DUMMYFUNCTION("""COMPUTED_VALUE"""),44178.0)</f>
        <v>44178</v>
      </c>
      <c r="B109">
        <f>IFERROR(__xludf.DUMMYFUNCTION("""COMPUTED_VALUE"""),1.0)</f>
        <v>1</v>
      </c>
      <c r="C109">
        <f>IFERROR(__xludf.DUMMYFUNCTION("""COMPUTED_VALUE"""),3.0)</f>
        <v>3</v>
      </c>
      <c r="D109">
        <f>IFERROR(__xludf.DUMMYFUNCTION("""COMPUTED_VALUE"""),2.0)</f>
        <v>2</v>
      </c>
      <c r="K109">
        <f t="shared" ref="K109:M109" si="236">if(B109=1,0,K108+1)</f>
        <v>0</v>
      </c>
      <c r="L109">
        <f t="shared" si="236"/>
        <v>1</v>
      </c>
      <c r="M109">
        <f t="shared" si="236"/>
        <v>3</v>
      </c>
      <c r="O109" s="8">
        <f>IFERROR(__xludf.DUMMYFUNCTION("""COMPUTED_VALUE"""),44178.0)</f>
        <v>44178</v>
      </c>
      <c r="P109">
        <f t="shared" ref="P109:R109" si="237">B109+P110</f>
        <v>335</v>
      </c>
      <c r="Q109">
        <f t="shared" si="237"/>
        <v>348</v>
      </c>
      <c r="R109">
        <f t="shared" si="237"/>
        <v>334</v>
      </c>
      <c r="S109">
        <f t="shared" si="199"/>
        <v>-1</v>
      </c>
      <c r="U109" s="8">
        <f>IFERROR(__xludf.DUMMYFUNCTION("""COMPUTED_VALUE"""),44178.0)</f>
        <v>44178</v>
      </c>
      <c r="V109">
        <f t="shared" si="9"/>
        <v>13</v>
      </c>
      <c r="W109">
        <f t="shared" si="10"/>
        <v>0</v>
      </c>
      <c r="X109">
        <f t="shared" si="11"/>
        <v>14</v>
      </c>
      <c r="Z109" s="8">
        <f>IFERROR(__xludf.DUMMYFUNCTION("""COMPUTED_VALUE"""),44178.0)</f>
        <v>44178</v>
      </c>
      <c r="AA109">
        <f t="shared" si="12"/>
        <v>-1</v>
      </c>
      <c r="AB109">
        <f t="shared" si="13"/>
        <v>-14</v>
      </c>
      <c r="AC109">
        <f t="shared" si="14"/>
        <v>0</v>
      </c>
    </row>
    <row r="110">
      <c r="A110" s="8">
        <f>IFERROR(__xludf.DUMMYFUNCTION("""COMPUTED_VALUE"""),44174.0)</f>
        <v>44174</v>
      </c>
      <c r="B110">
        <f>IFERROR(__xludf.DUMMYFUNCTION("""COMPUTED_VALUE"""),3.0)</f>
        <v>3</v>
      </c>
      <c r="C110">
        <f>IFERROR(__xludf.DUMMYFUNCTION("""COMPUTED_VALUE"""),2.0)</f>
        <v>2</v>
      </c>
      <c r="D110">
        <f>IFERROR(__xludf.DUMMYFUNCTION("""COMPUTED_VALUE"""),1.0)</f>
        <v>1</v>
      </c>
      <c r="K110">
        <f t="shared" ref="K110:M110" si="238">if(B110=1,0,K109+1)</f>
        <v>1</v>
      </c>
      <c r="L110">
        <f t="shared" si="238"/>
        <v>2</v>
      </c>
      <c r="M110">
        <f t="shared" si="238"/>
        <v>0</v>
      </c>
      <c r="O110" s="8">
        <f>IFERROR(__xludf.DUMMYFUNCTION("""COMPUTED_VALUE"""),44174.0)</f>
        <v>44174</v>
      </c>
      <c r="P110">
        <f t="shared" ref="P110:R110" si="239">B110+P111</f>
        <v>334</v>
      </c>
      <c r="Q110">
        <f t="shared" si="239"/>
        <v>345</v>
      </c>
      <c r="R110">
        <f t="shared" si="239"/>
        <v>332</v>
      </c>
      <c r="S110" s="1">
        <v>0.0</v>
      </c>
      <c r="U110" s="8">
        <f>IFERROR(__xludf.DUMMYFUNCTION("""COMPUTED_VALUE"""),44174.0)</f>
        <v>44174</v>
      </c>
      <c r="V110">
        <f t="shared" si="9"/>
        <v>11</v>
      </c>
      <c r="W110">
        <f t="shared" si="10"/>
        <v>0</v>
      </c>
      <c r="X110">
        <f t="shared" si="11"/>
        <v>13</v>
      </c>
      <c r="Z110" s="8">
        <f>IFERROR(__xludf.DUMMYFUNCTION("""COMPUTED_VALUE"""),44174.0)</f>
        <v>44174</v>
      </c>
      <c r="AA110">
        <f t="shared" si="12"/>
        <v>-2</v>
      </c>
      <c r="AB110">
        <f t="shared" si="13"/>
        <v>-13</v>
      </c>
      <c r="AC110">
        <f t="shared" si="14"/>
        <v>0</v>
      </c>
    </row>
    <row r="111">
      <c r="A111" s="8">
        <f>IFERROR(__xludf.DUMMYFUNCTION("""COMPUTED_VALUE"""),44171.0)</f>
        <v>44171</v>
      </c>
      <c r="B111">
        <f>IFERROR(__xludf.DUMMYFUNCTION("""COMPUTED_VALUE"""),2.0)</f>
        <v>2</v>
      </c>
      <c r="C111">
        <f>IFERROR(__xludf.DUMMYFUNCTION("""COMPUTED_VALUE"""),1.0)</f>
        <v>1</v>
      </c>
      <c r="D111">
        <f>IFERROR(__xludf.DUMMYFUNCTION("""COMPUTED_VALUE"""),3.0)</f>
        <v>3</v>
      </c>
      <c r="K111">
        <f t="shared" ref="K111:M111" si="240">if(B111=1,0,K110+1)</f>
        <v>2</v>
      </c>
      <c r="L111">
        <f t="shared" si="240"/>
        <v>0</v>
      </c>
      <c r="M111">
        <f t="shared" si="240"/>
        <v>1</v>
      </c>
      <c r="O111" s="8">
        <f>IFERROR(__xludf.DUMMYFUNCTION("""COMPUTED_VALUE"""),44171.0)</f>
        <v>44171</v>
      </c>
      <c r="P111">
        <f t="shared" ref="P111:R111" si="241">B111+P112</f>
        <v>331</v>
      </c>
      <c r="Q111">
        <f t="shared" si="241"/>
        <v>343</v>
      </c>
      <c r="R111">
        <f t="shared" si="241"/>
        <v>331</v>
      </c>
      <c r="S111">
        <f t="shared" ref="S111:S117" si="244">min(P111:R111)-MINIFS(P111:R111,P111:R111, "&lt;&gt;"&amp;Min(P111:R111))</f>
        <v>-12</v>
      </c>
      <c r="U111" s="8">
        <f>IFERROR(__xludf.DUMMYFUNCTION("""COMPUTED_VALUE"""),44171.0)</f>
        <v>44171</v>
      </c>
      <c r="V111">
        <f t="shared" si="9"/>
        <v>12</v>
      </c>
      <c r="W111">
        <f t="shared" si="10"/>
        <v>0</v>
      </c>
      <c r="X111">
        <f t="shared" si="11"/>
        <v>12</v>
      </c>
      <c r="Z111" s="8">
        <f>IFERROR(__xludf.DUMMYFUNCTION("""COMPUTED_VALUE"""),44171.0)</f>
        <v>44171</v>
      </c>
      <c r="AA111">
        <f t="shared" si="12"/>
        <v>0</v>
      </c>
      <c r="AB111">
        <f t="shared" si="13"/>
        <v>-12</v>
      </c>
      <c r="AC111">
        <f t="shared" si="14"/>
        <v>0</v>
      </c>
    </row>
    <row r="112">
      <c r="A112" s="8">
        <f>IFERROR(__xludf.DUMMYFUNCTION("""COMPUTED_VALUE"""),44170.0)</f>
        <v>44170</v>
      </c>
      <c r="B112">
        <f>IFERROR(__xludf.DUMMYFUNCTION("""COMPUTED_VALUE"""),3.0)</f>
        <v>3</v>
      </c>
      <c r="C112">
        <f>IFERROR(__xludf.DUMMYFUNCTION("""COMPUTED_VALUE"""),2.0)</f>
        <v>2</v>
      </c>
      <c r="D112">
        <f>IFERROR(__xludf.DUMMYFUNCTION("""COMPUTED_VALUE"""),1.0)</f>
        <v>1</v>
      </c>
      <c r="K112">
        <f t="shared" ref="K112:M112" si="242">if(B112=1,0,K111+1)</f>
        <v>3</v>
      </c>
      <c r="L112">
        <f t="shared" si="242"/>
        <v>1</v>
      </c>
      <c r="M112">
        <f t="shared" si="242"/>
        <v>0</v>
      </c>
      <c r="O112" s="8">
        <f>IFERROR(__xludf.DUMMYFUNCTION("""COMPUTED_VALUE"""),44170.0)</f>
        <v>44170</v>
      </c>
      <c r="P112">
        <f t="shared" ref="P112:R112" si="243">B112+P113</f>
        <v>329</v>
      </c>
      <c r="Q112">
        <f t="shared" si="243"/>
        <v>342</v>
      </c>
      <c r="R112">
        <f t="shared" si="243"/>
        <v>328</v>
      </c>
      <c r="S112">
        <f t="shared" si="244"/>
        <v>-1</v>
      </c>
      <c r="U112" s="8">
        <f>IFERROR(__xludf.DUMMYFUNCTION("""COMPUTED_VALUE"""),44170.0)</f>
        <v>44170</v>
      </c>
      <c r="V112">
        <f t="shared" si="9"/>
        <v>13</v>
      </c>
      <c r="W112">
        <f t="shared" si="10"/>
        <v>0</v>
      </c>
      <c r="X112">
        <f t="shared" si="11"/>
        <v>14</v>
      </c>
      <c r="Z112" s="8">
        <f>IFERROR(__xludf.DUMMYFUNCTION("""COMPUTED_VALUE"""),44170.0)</f>
        <v>44170</v>
      </c>
      <c r="AA112">
        <f t="shared" si="12"/>
        <v>-1</v>
      </c>
      <c r="AB112">
        <f t="shared" si="13"/>
        <v>-14</v>
      </c>
      <c r="AC112">
        <f t="shared" si="14"/>
        <v>0</v>
      </c>
    </row>
    <row r="113">
      <c r="A113" s="8">
        <f>IFERROR(__xludf.DUMMYFUNCTION("""COMPUTED_VALUE"""),44167.0)</f>
        <v>44167</v>
      </c>
      <c r="B113">
        <f>IFERROR(__xludf.DUMMYFUNCTION("""COMPUTED_VALUE"""),3.0)</f>
        <v>3</v>
      </c>
      <c r="C113">
        <f>IFERROR(__xludf.DUMMYFUNCTION("""COMPUTED_VALUE"""),1.0)</f>
        <v>1</v>
      </c>
      <c r="D113">
        <f>IFERROR(__xludf.DUMMYFUNCTION("""COMPUTED_VALUE"""),2.0)</f>
        <v>2</v>
      </c>
      <c r="K113">
        <f t="shared" ref="K113:M113" si="245">if(B113=1,0,K112+1)</f>
        <v>4</v>
      </c>
      <c r="L113">
        <f t="shared" si="245"/>
        <v>0</v>
      </c>
      <c r="M113">
        <f t="shared" si="245"/>
        <v>1</v>
      </c>
      <c r="O113" s="8">
        <f>IFERROR(__xludf.DUMMYFUNCTION("""COMPUTED_VALUE"""),44167.0)</f>
        <v>44167</v>
      </c>
      <c r="P113">
        <f t="shared" ref="P113:R113" si="246">B113+P114</f>
        <v>326</v>
      </c>
      <c r="Q113">
        <f t="shared" si="246"/>
        <v>340</v>
      </c>
      <c r="R113">
        <f t="shared" si="246"/>
        <v>327</v>
      </c>
      <c r="S113">
        <f t="shared" si="244"/>
        <v>-1</v>
      </c>
      <c r="U113" s="8">
        <f>IFERROR(__xludf.DUMMYFUNCTION("""COMPUTED_VALUE"""),44167.0)</f>
        <v>44167</v>
      </c>
      <c r="V113">
        <f t="shared" si="9"/>
        <v>14</v>
      </c>
      <c r="W113">
        <f t="shared" si="10"/>
        <v>0</v>
      </c>
      <c r="X113">
        <f t="shared" si="11"/>
        <v>13</v>
      </c>
      <c r="Z113" s="8">
        <f>IFERROR(__xludf.DUMMYFUNCTION("""COMPUTED_VALUE"""),44167.0)</f>
        <v>44167</v>
      </c>
      <c r="AA113">
        <f t="shared" si="12"/>
        <v>0</v>
      </c>
      <c r="AB113">
        <f t="shared" si="13"/>
        <v>-14</v>
      </c>
      <c r="AC113">
        <f t="shared" si="14"/>
        <v>-1</v>
      </c>
    </row>
    <row r="114">
      <c r="A114" s="8">
        <f>IFERROR(__xludf.DUMMYFUNCTION("""COMPUTED_VALUE"""),44157.0)</f>
        <v>44157</v>
      </c>
      <c r="B114">
        <f>IFERROR(__xludf.DUMMYFUNCTION("""COMPUTED_VALUE"""),2.0)</f>
        <v>2</v>
      </c>
      <c r="C114">
        <f>IFERROR(__xludf.DUMMYFUNCTION("""COMPUTED_VALUE"""),1.0)</f>
        <v>1</v>
      </c>
      <c r="D114">
        <f>IFERROR(__xludf.DUMMYFUNCTION("""COMPUTED_VALUE"""),3.0)</f>
        <v>3</v>
      </c>
      <c r="K114">
        <f t="shared" ref="K114:M114" si="247">if(B114=1,0,K113+1)</f>
        <v>5</v>
      </c>
      <c r="L114">
        <f t="shared" si="247"/>
        <v>0</v>
      </c>
      <c r="M114">
        <f t="shared" si="247"/>
        <v>2</v>
      </c>
      <c r="O114" s="8">
        <f>IFERROR(__xludf.DUMMYFUNCTION("""COMPUTED_VALUE"""),44157.0)</f>
        <v>44157</v>
      </c>
      <c r="P114">
        <f t="shared" ref="P114:R114" si="248">B114+P115</f>
        <v>323</v>
      </c>
      <c r="Q114">
        <f t="shared" si="248"/>
        <v>339</v>
      </c>
      <c r="R114">
        <f t="shared" si="248"/>
        <v>325</v>
      </c>
      <c r="S114">
        <f t="shared" si="244"/>
        <v>-2</v>
      </c>
      <c r="U114" s="8">
        <f>IFERROR(__xludf.DUMMYFUNCTION("""COMPUTED_VALUE"""),44157.0)</f>
        <v>44157</v>
      </c>
      <c r="V114">
        <f t="shared" si="9"/>
        <v>16</v>
      </c>
      <c r="W114">
        <f t="shared" si="10"/>
        <v>0</v>
      </c>
      <c r="X114">
        <f t="shared" si="11"/>
        <v>14</v>
      </c>
      <c r="Z114" s="8">
        <f>IFERROR(__xludf.DUMMYFUNCTION("""COMPUTED_VALUE"""),44157.0)</f>
        <v>44157</v>
      </c>
      <c r="AA114">
        <f t="shared" si="12"/>
        <v>0</v>
      </c>
      <c r="AB114">
        <f t="shared" si="13"/>
        <v>-16</v>
      </c>
      <c r="AC114">
        <f t="shared" si="14"/>
        <v>-2</v>
      </c>
    </row>
    <row r="115">
      <c r="A115" s="8">
        <f>IFERROR(__xludf.DUMMYFUNCTION("""COMPUTED_VALUE"""),44150.0)</f>
        <v>44150</v>
      </c>
      <c r="B115">
        <f>IFERROR(__xludf.DUMMYFUNCTION("""COMPUTED_VALUE"""),2.0)</f>
        <v>2</v>
      </c>
      <c r="C115">
        <f>IFERROR(__xludf.DUMMYFUNCTION("""COMPUTED_VALUE"""),3.0)</f>
        <v>3</v>
      </c>
      <c r="D115">
        <f>IFERROR(__xludf.DUMMYFUNCTION("""COMPUTED_VALUE"""),1.0)</f>
        <v>1</v>
      </c>
      <c r="K115">
        <f t="shared" ref="K115:M115" si="249">if(B115=1,0,K114+1)</f>
        <v>6</v>
      </c>
      <c r="L115">
        <f t="shared" si="249"/>
        <v>1</v>
      </c>
      <c r="M115">
        <f t="shared" si="249"/>
        <v>0</v>
      </c>
      <c r="O115" s="8">
        <f>IFERROR(__xludf.DUMMYFUNCTION("""COMPUTED_VALUE"""),44150.0)</f>
        <v>44150</v>
      </c>
      <c r="P115">
        <f t="shared" ref="P115:R115" si="250">B115+P116</f>
        <v>321</v>
      </c>
      <c r="Q115">
        <f t="shared" si="250"/>
        <v>338</v>
      </c>
      <c r="R115">
        <f t="shared" si="250"/>
        <v>322</v>
      </c>
      <c r="S115">
        <f t="shared" si="244"/>
        <v>-1</v>
      </c>
      <c r="U115" s="8">
        <f>IFERROR(__xludf.DUMMYFUNCTION("""COMPUTED_VALUE"""),44150.0)</f>
        <v>44150</v>
      </c>
      <c r="V115">
        <f t="shared" si="9"/>
        <v>17</v>
      </c>
      <c r="W115">
        <f t="shared" si="10"/>
        <v>0</v>
      </c>
      <c r="X115">
        <f t="shared" si="11"/>
        <v>16</v>
      </c>
      <c r="Z115" s="8">
        <f>IFERROR(__xludf.DUMMYFUNCTION("""COMPUTED_VALUE"""),44150.0)</f>
        <v>44150</v>
      </c>
      <c r="AA115">
        <f t="shared" si="12"/>
        <v>0</v>
      </c>
      <c r="AB115">
        <f t="shared" si="13"/>
        <v>-17</v>
      </c>
      <c r="AC115">
        <f t="shared" si="14"/>
        <v>-1</v>
      </c>
    </row>
    <row r="116">
      <c r="A116" s="8">
        <f>IFERROR(__xludf.DUMMYFUNCTION("""COMPUTED_VALUE"""),44146.0)</f>
        <v>44146</v>
      </c>
      <c r="B116">
        <f>IFERROR(__xludf.DUMMYFUNCTION("""COMPUTED_VALUE"""),3.0)</f>
        <v>3</v>
      </c>
      <c r="C116">
        <f>IFERROR(__xludf.DUMMYFUNCTION("""COMPUTED_VALUE"""),1.0)</f>
        <v>1</v>
      </c>
      <c r="D116">
        <f>IFERROR(__xludf.DUMMYFUNCTION("""COMPUTED_VALUE"""),2.0)</f>
        <v>2</v>
      </c>
      <c r="K116">
        <f t="shared" ref="K116:M116" si="251">if(B116=1,0,K115+1)</f>
        <v>7</v>
      </c>
      <c r="L116">
        <f t="shared" si="251"/>
        <v>0</v>
      </c>
      <c r="M116">
        <f t="shared" si="251"/>
        <v>1</v>
      </c>
      <c r="O116" s="8">
        <f>IFERROR(__xludf.DUMMYFUNCTION("""COMPUTED_VALUE"""),44146.0)</f>
        <v>44146</v>
      </c>
      <c r="P116">
        <f t="shared" ref="P116:R116" si="252">B116+P117</f>
        <v>319</v>
      </c>
      <c r="Q116">
        <f t="shared" si="252"/>
        <v>335</v>
      </c>
      <c r="R116">
        <f t="shared" si="252"/>
        <v>321</v>
      </c>
      <c r="S116">
        <f t="shared" si="244"/>
        <v>-2</v>
      </c>
      <c r="U116" s="8">
        <f>IFERROR(__xludf.DUMMYFUNCTION("""COMPUTED_VALUE"""),44146.0)</f>
        <v>44146</v>
      </c>
      <c r="V116">
        <f t="shared" si="9"/>
        <v>16</v>
      </c>
      <c r="W116">
        <f t="shared" si="10"/>
        <v>0</v>
      </c>
      <c r="X116">
        <f t="shared" si="11"/>
        <v>14</v>
      </c>
      <c r="Z116" s="8">
        <f>IFERROR(__xludf.DUMMYFUNCTION("""COMPUTED_VALUE"""),44146.0)</f>
        <v>44146</v>
      </c>
      <c r="AA116">
        <f t="shared" si="12"/>
        <v>0</v>
      </c>
      <c r="AB116">
        <f t="shared" si="13"/>
        <v>-16</v>
      </c>
      <c r="AC116">
        <f t="shared" si="14"/>
        <v>-2</v>
      </c>
    </row>
    <row r="117">
      <c r="A117" s="8">
        <f>IFERROR(__xludf.DUMMYFUNCTION("""COMPUTED_VALUE"""),44143.0)</f>
        <v>44143</v>
      </c>
      <c r="B117">
        <f>IFERROR(__xludf.DUMMYFUNCTION("""COMPUTED_VALUE"""),2.0)</f>
        <v>2</v>
      </c>
      <c r="C117">
        <f>IFERROR(__xludf.DUMMYFUNCTION("""COMPUTED_VALUE"""),1.0)</f>
        <v>1</v>
      </c>
      <c r="D117">
        <f>IFERROR(__xludf.DUMMYFUNCTION("""COMPUTED_VALUE"""),3.0)</f>
        <v>3</v>
      </c>
      <c r="K117">
        <f t="shared" ref="K117:M117" si="253">if(B117=1,0,K116+1)</f>
        <v>8</v>
      </c>
      <c r="L117">
        <f t="shared" si="253"/>
        <v>0</v>
      </c>
      <c r="M117">
        <f t="shared" si="253"/>
        <v>2</v>
      </c>
      <c r="O117" s="8">
        <f>IFERROR(__xludf.DUMMYFUNCTION("""COMPUTED_VALUE"""),44143.0)</f>
        <v>44143</v>
      </c>
      <c r="P117">
        <f t="shared" ref="P117:R117" si="254">B117+P118</f>
        <v>316</v>
      </c>
      <c r="Q117">
        <f t="shared" si="254"/>
        <v>334</v>
      </c>
      <c r="R117">
        <f t="shared" si="254"/>
        <v>319</v>
      </c>
      <c r="S117">
        <f t="shared" si="244"/>
        <v>-3</v>
      </c>
      <c r="U117" s="8">
        <f>IFERROR(__xludf.DUMMYFUNCTION("""COMPUTED_VALUE"""),44143.0)</f>
        <v>44143</v>
      </c>
      <c r="V117">
        <f t="shared" si="9"/>
        <v>18</v>
      </c>
      <c r="W117">
        <f t="shared" si="10"/>
        <v>0</v>
      </c>
      <c r="X117">
        <f t="shared" si="11"/>
        <v>15</v>
      </c>
      <c r="Z117" s="8">
        <f>IFERROR(__xludf.DUMMYFUNCTION("""COMPUTED_VALUE"""),44143.0)</f>
        <v>44143</v>
      </c>
      <c r="AA117">
        <f t="shared" si="12"/>
        <v>0</v>
      </c>
      <c r="AB117">
        <f t="shared" si="13"/>
        <v>-18</v>
      </c>
      <c r="AC117">
        <f t="shared" si="14"/>
        <v>-3</v>
      </c>
    </row>
    <row r="118">
      <c r="A118" s="8">
        <f>IFERROR(__xludf.DUMMYFUNCTION("""COMPUTED_VALUE"""),44139.0)</f>
        <v>44139</v>
      </c>
      <c r="B118">
        <f>IFERROR(__xludf.DUMMYFUNCTION("""COMPUTED_VALUE"""),3.0)</f>
        <v>3</v>
      </c>
      <c r="C118">
        <f>IFERROR(__xludf.DUMMYFUNCTION("""COMPUTED_VALUE"""),2.0)</f>
        <v>2</v>
      </c>
      <c r="D118">
        <f>IFERROR(__xludf.DUMMYFUNCTION("""COMPUTED_VALUE"""),1.0)</f>
        <v>1</v>
      </c>
      <c r="K118">
        <f t="shared" ref="K118:M118" si="255">if(B118=1,0,K117+1)</f>
        <v>9</v>
      </c>
      <c r="L118">
        <f t="shared" si="255"/>
        <v>1</v>
      </c>
      <c r="M118">
        <f t="shared" si="255"/>
        <v>0</v>
      </c>
      <c r="O118" s="8">
        <f>IFERROR(__xludf.DUMMYFUNCTION("""COMPUTED_VALUE"""),44139.0)</f>
        <v>44139</v>
      </c>
      <c r="P118">
        <f t="shared" ref="P118:R118" si="256">B118+P119</f>
        <v>314</v>
      </c>
      <c r="Q118">
        <f t="shared" si="256"/>
        <v>333</v>
      </c>
      <c r="R118">
        <f t="shared" si="256"/>
        <v>316</v>
      </c>
      <c r="S118" s="1">
        <v>0.0</v>
      </c>
      <c r="U118" s="8">
        <f>IFERROR(__xludf.DUMMYFUNCTION("""COMPUTED_VALUE"""),44139.0)</f>
        <v>44139</v>
      </c>
      <c r="V118">
        <f t="shared" si="9"/>
        <v>19</v>
      </c>
      <c r="W118">
        <f t="shared" si="10"/>
        <v>0</v>
      </c>
      <c r="X118">
        <f t="shared" si="11"/>
        <v>17</v>
      </c>
      <c r="Z118" s="8">
        <f>IFERROR(__xludf.DUMMYFUNCTION("""COMPUTED_VALUE"""),44139.0)</f>
        <v>44139</v>
      </c>
      <c r="AA118">
        <f t="shared" si="12"/>
        <v>0</v>
      </c>
      <c r="AB118">
        <f t="shared" si="13"/>
        <v>-19</v>
      </c>
      <c r="AC118">
        <f t="shared" si="14"/>
        <v>-2</v>
      </c>
    </row>
    <row r="119">
      <c r="A119" s="8">
        <f>IFERROR(__xludf.DUMMYFUNCTION("""COMPUTED_VALUE"""),44136.0)</f>
        <v>44136</v>
      </c>
      <c r="B119">
        <f>IFERROR(__xludf.DUMMYFUNCTION("""COMPUTED_VALUE"""),1.0)</f>
        <v>1</v>
      </c>
      <c r="C119">
        <f>IFERROR(__xludf.DUMMYFUNCTION("""COMPUTED_VALUE"""),3.0)</f>
        <v>3</v>
      </c>
      <c r="D119">
        <f>IFERROR(__xludf.DUMMYFUNCTION("""COMPUTED_VALUE"""),2.0)</f>
        <v>2</v>
      </c>
      <c r="K119">
        <f t="shared" ref="K119:M119" si="257">if(B119=1,0,K118+1)</f>
        <v>0</v>
      </c>
      <c r="L119">
        <f t="shared" si="257"/>
        <v>2</v>
      </c>
      <c r="M119">
        <f t="shared" si="257"/>
        <v>1</v>
      </c>
      <c r="O119" s="8">
        <f>IFERROR(__xludf.DUMMYFUNCTION("""COMPUTED_VALUE"""),44136.0)</f>
        <v>44136</v>
      </c>
      <c r="P119">
        <f t="shared" ref="P119:R119" si="258">B119+P120</f>
        <v>311</v>
      </c>
      <c r="Q119">
        <f t="shared" si="258"/>
        <v>331</v>
      </c>
      <c r="R119">
        <f t="shared" si="258"/>
        <v>315</v>
      </c>
      <c r="S119">
        <f>min(P119:R119)-MINIFS(P119:R119,P119:R119, "&lt;&gt;"&amp;Min(P119:R119))</f>
        <v>-4</v>
      </c>
      <c r="U119" s="8">
        <f>IFERROR(__xludf.DUMMYFUNCTION("""COMPUTED_VALUE"""),44136.0)</f>
        <v>44136</v>
      </c>
      <c r="V119">
        <f t="shared" si="9"/>
        <v>20</v>
      </c>
      <c r="W119">
        <f t="shared" si="10"/>
        <v>0</v>
      </c>
      <c r="X119">
        <f t="shared" si="11"/>
        <v>16</v>
      </c>
      <c r="Z119" s="8">
        <f>IFERROR(__xludf.DUMMYFUNCTION("""COMPUTED_VALUE"""),44136.0)</f>
        <v>44136</v>
      </c>
      <c r="AA119">
        <f t="shared" si="12"/>
        <v>0</v>
      </c>
      <c r="AB119">
        <f t="shared" si="13"/>
        <v>-20</v>
      </c>
      <c r="AC119">
        <f t="shared" si="14"/>
        <v>-4</v>
      </c>
    </row>
    <row r="120">
      <c r="A120" s="8">
        <f>IFERROR(__xludf.DUMMYFUNCTION("""COMPUTED_VALUE"""),44132.0)</f>
        <v>44132</v>
      </c>
      <c r="B120">
        <f>IFERROR(__xludf.DUMMYFUNCTION("""COMPUTED_VALUE"""),1.0)</f>
        <v>1</v>
      </c>
      <c r="C120">
        <f>IFERROR(__xludf.DUMMYFUNCTION("""COMPUTED_VALUE"""),2.0)</f>
        <v>2</v>
      </c>
      <c r="D120">
        <f>IFERROR(__xludf.DUMMYFUNCTION("""COMPUTED_VALUE"""),3.0)</f>
        <v>3</v>
      </c>
      <c r="K120">
        <f t="shared" ref="K120:M120" si="259">if(B120=1,0,K119+1)</f>
        <v>0</v>
      </c>
      <c r="L120">
        <f t="shared" si="259"/>
        <v>3</v>
      </c>
      <c r="M120">
        <f t="shared" si="259"/>
        <v>2</v>
      </c>
      <c r="O120" s="8">
        <f>IFERROR(__xludf.DUMMYFUNCTION("""COMPUTED_VALUE"""),44132.0)</f>
        <v>44132</v>
      </c>
      <c r="P120">
        <f t="shared" ref="P120:R120" si="260">B120+P121</f>
        <v>310</v>
      </c>
      <c r="Q120">
        <f t="shared" si="260"/>
        <v>328</v>
      </c>
      <c r="R120">
        <f t="shared" si="260"/>
        <v>313</v>
      </c>
      <c r="S120" s="1">
        <v>0.0</v>
      </c>
      <c r="U120" s="8">
        <f>IFERROR(__xludf.DUMMYFUNCTION("""COMPUTED_VALUE"""),44132.0)</f>
        <v>44132</v>
      </c>
      <c r="V120">
        <f t="shared" si="9"/>
        <v>18</v>
      </c>
      <c r="W120">
        <f t="shared" si="10"/>
        <v>0</v>
      </c>
      <c r="X120">
        <f t="shared" si="11"/>
        <v>15</v>
      </c>
      <c r="Z120" s="8">
        <f>IFERROR(__xludf.DUMMYFUNCTION("""COMPUTED_VALUE"""),44132.0)</f>
        <v>44132</v>
      </c>
      <c r="AA120">
        <f t="shared" si="12"/>
        <v>0</v>
      </c>
      <c r="AB120">
        <f t="shared" si="13"/>
        <v>-18</v>
      </c>
      <c r="AC120">
        <f t="shared" si="14"/>
        <v>-3</v>
      </c>
    </row>
    <row r="121">
      <c r="A121" s="8">
        <f>IFERROR(__xludf.DUMMYFUNCTION("""COMPUTED_VALUE"""),44129.0)</f>
        <v>44129</v>
      </c>
      <c r="B121">
        <f>IFERROR(__xludf.DUMMYFUNCTION("""COMPUTED_VALUE"""),1.0)</f>
        <v>1</v>
      </c>
      <c r="C121">
        <f>IFERROR(__xludf.DUMMYFUNCTION("""COMPUTED_VALUE"""),2.0)</f>
        <v>2</v>
      </c>
      <c r="D121">
        <f>IFERROR(__xludf.DUMMYFUNCTION("""COMPUTED_VALUE"""),3.0)</f>
        <v>3</v>
      </c>
      <c r="K121">
        <f t="shared" ref="K121:M121" si="261">if(B121=1,0,K120+1)</f>
        <v>0</v>
      </c>
      <c r="L121">
        <f t="shared" si="261"/>
        <v>4</v>
      </c>
      <c r="M121">
        <f t="shared" si="261"/>
        <v>3</v>
      </c>
      <c r="O121" s="8">
        <f>IFERROR(__xludf.DUMMYFUNCTION("""COMPUTED_VALUE"""),44129.0)</f>
        <v>44129</v>
      </c>
      <c r="P121">
        <f t="shared" ref="P121:R121" si="262">B121+P122</f>
        <v>309</v>
      </c>
      <c r="Q121">
        <f t="shared" si="262"/>
        <v>326</v>
      </c>
      <c r="R121">
        <f t="shared" si="262"/>
        <v>310</v>
      </c>
      <c r="S121">
        <f t="shared" ref="S121:S1000" si="265">min(P121:R121)-MINIFS(P121:R121,P121:R121, "&lt;&gt;"&amp;Min(P121:R121))</f>
        <v>-1</v>
      </c>
      <c r="U121" s="8">
        <f>IFERROR(__xludf.DUMMYFUNCTION("""COMPUTED_VALUE"""),44129.0)</f>
        <v>44129</v>
      </c>
      <c r="V121">
        <f t="shared" si="9"/>
        <v>17</v>
      </c>
      <c r="W121">
        <f t="shared" si="10"/>
        <v>0</v>
      </c>
      <c r="X121">
        <f t="shared" si="11"/>
        <v>16</v>
      </c>
      <c r="Z121" s="8">
        <f>IFERROR(__xludf.DUMMYFUNCTION("""COMPUTED_VALUE"""),44129.0)</f>
        <v>44129</v>
      </c>
      <c r="AA121">
        <f t="shared" si="12"/>
        <v>0</v>
      </c>
      <c r="AB121">
        <f t="shared" si="13"/>
        <v>-17</v>
      </c>
      <c r="AC121">
        <f t="shared" si="14"/>
        <v>-1</v>
      </c>
    </row>
    <row r="122">
      <c r="A122" s="8">
        <f>IFERROR(__xludf.DUMMYFUNCTION("""COMPUTED_VALUE"""),44125.0)</f>
        <v>44125</v>
      </c>
      <c r="B122">
        <f>IFERROR(__xludf.DUMMYFUNCTION("""COMPUTED_VALUE"""),2.0)</f>
        <v>2</v>
      </c>
      <c r="C122">
        <f>IFERROR(__xludf.DUMMYFUNCTION("""COMPUTED_VALUE"""),1.0)</f>
        <v>1</v>
      </c>
      <c r="D122">
        <f>IFERROR(__xludf.DUMMYFUNCTION("""COMPUTED_VALUE"""),3.0)</f>
        <v>3</v>
      </c>
      <c r="K122">
        <f t="shared" ref="K122:M122" si="263">if(B122=1,0,K121+1)</f>
        <v>1</v>
      </c>
      <c r="L122">
        <f t="shared" si="263"/>
        <v>0</v>
      </c>
      <c r="M122">
        <f t="shared" si="263"/>
        <v>4</v>
      </c>
      <c r="O122" s="8">
        <f>IFERROR(__xludf.DUMMYFUNCTION("""COMPUTED_VALUE"""),44125.0)</f>
        <v>44125</v>
      </c>
      <c r="P122">
        <f t="shared" ref="P122:R122" si="264">B122+P123</f>
        <v>308</v>
      </c>
      <c r="Q122">
        <f t="shared" si="264"/>
        <v>324</v>
      </c>
      <c r="R122">
        <f t="shared" si="264"/>
        <v>307</v>
      </c>
      <c r="S122">
        <f t="shared" si="265"/>
        <v>-1</v>
      </c>
      <c r="U122" s="8">
        <f>IFERROR(__xludf.DUMMYFUNCTION("""COMPUTED_VALUE"""),44125.0)</f>
        <v>44125</v>
      </c>
      <c r="V122">
        <f t="shared" si="9"/>
        <v>16</v>
      </c>
      <c r="W122">
        <f t="shared" si="10"/>
        <v>0</v>
      </c>
      <c r="X122">
        <f t="shared" si="11"/>
        <v>17</v>
      </c>
      <c r="Z122" s="8">
        <f>IFERROR(__xludf.DUMMYFUNCTION("""COMPUTED_VALUE"""),44125.0)</f>
        <v>44125</v>
      </c>
      <c r="AA122">
        <f t="shared" si="12"/>
        <v>-1</v>
      </c>
      <c r="AB122">
        <f t="shared" si="13"/>
        <v>-17</v>
      </c>
      <c r="AC122">
        <f t="shared" si="14"/>
        <v>0</v>
      </c>
    </row>
    <row r="123">
      <c r="A123" s="8">
        <f>IFERROR(__xludf.DUMMYFUNCTION("""COMPUTED_VALUE"""),44122.0)</f>
        <v>44122</v>
      </c>
      <c r="B123">
        <f>IFERROR(__xludf.DUMMYFUNCTION("""COMPUTED_VALUE"""),1.0)</f>
        <v>1</v>
      </c>
      <c r="C123">
        <f>IFERROR(__xludf.DUMMYFUNCTION("""COMPUTED_VALUE"""),3.0)</f>
        <v>3</v>
      </c>
      <c r="D123">
        <f>IFERROR(__xludf.DUMMYFUNCTION("""COMPUTED_VALUE"""),2.0)</f>
        <v>2</v>
      </c>
      <c r="K123">
        <f t="shared" ref="K123:M123" si="266">if(B123=1,0,K122+1)</f>
        <v>0</v>
      </c>
      <c r="L123">
        <f t="shared" si="266"/>
        <v>1</v>
      </c>
      <c r="M123">
        <f t="shared" si="266"/>
        <v>5</v>
      </c>
      <c r="O123" s="8">
        <f>IFERROR(__xludf.DUMMYFUNCTION("""COMPUTED_VALUE"""),44122.0)</f>
        <v>44122</v>
      </c>
      <c r="P123">
        <f t="shared" ref="P123:R123" si="267">B123+P124</f>
        <v>306</v>
      </c>
      <c r="Q123">
        <f t="shared" si="267"/>
        <v>323</v>
      </c>
      <c r="R123">
        <f t="shared" si="267"/>
        <v>304</v>
      </c>
      <c r="S123">
        <f t="shared" si="265"/>
        <v>-2</v>
      </c>
      <c r="U123" s="8">
        <f>IFERROR(__xludf.DUMMYFUNCTION("""COMPUTED_VALUE"""),44122.0)</f>
        <v>44122</v>
      </c>
      <c r="V123">
        <f t="shared" si="9"/>
        <v>17</v>
      </c>
      <c r="W123">
        <f t="shared" si="10"/>
        <v>0</v>
      </c>
      <c r="X123">
        <f t="shared" si="11"/>
        <v>19</v>
      </c>
      <c r="Z123" s="8">
        <f>IFERROR(__xludf.DUMMYFUNCTION("""COMPUTED_VALUE"""),44122.0)</f>
        <v>44122</v>
      </c>
      <c r="AA123">
        <f t="shared" si="12"/>
        <v>-2</v>
      </c>
      <c r="AB123">
        <f t="shared" si="13"/>
        <v>-19</v>
      </c>
      <c r="AC123">
        <f t="shared" si="14"/>
        <v>0</v>
      </c>
    </row>
    <row r="124">
      <c r="A124" s="8">
        <f>IFERROR(__xludf.DUMMYFUNCTION("""COMPUTED_VALUE"""),44118.0)</f>
        <v>44118</v>
      </c>
      <c r="B124">
        <f>IFERROR(__xludf.DUMMYFUNCTION("""COMPUTED_VALUE"""),2.0)</f>
        <v>2</v>
      </c>
      <c r="C124">
        <f>IFERROR(__xludf.DUMMYFUNCTION("""COMPUTED_VALUE"""),1.0)</f>
        <v>1</v>
      </c>
      <c r="D124">
        <f>IFERROR(__xludf.DUMMYFUNCTION("""COMPUTED_VALUE"""),3.0)</f>
        <v>3</v>
      </c>
      <c r="K124">
        <f t="shared" ref="K124:M124" si="268">if(B124=1,0,K123+1)</f>
        <v>1</v>
      </c>
      <c r="L124">
        <f t="shared" si="268"/>
        <v>0</v>
      </c>
      <c r="M124">
        <f t="shared" si="268"/>
        <v>6</v>
      </c>
      <c r="O124" s="8">
        <f>IFERROR(__xludf.DUMMYFUNCTION("""COMPUTED_VALUE"""),44118.0)</f>
        <v>44118</v>
      </c>
      <c r="P124">
        <f t="shared" ref="P124:R124" si="269">B124+P125</f>
        <v>305</v>
      </c>
      <c r="Q124">
        <f t="shared" si="269"/>
        <v>320</v>
      </c>
      <c r="R124">
        <f t="shared" si="269"/>
        <v>302</v>
      </c>
      <c r="S124">
        <f t="shared" si="265"/>
        <v>-3</v>
      </c>
      <c r="U124" s="8">
        <f>IFERROR(__xludf.DUMMYFUNCTION("""COMPUTED_VALUE"""),44118.0)</f>
        <v>44118</v>
      </c>
      <c r="V124">
        <f t="shared" si="9"/>
        <v>15</v>
      </c>
      <c r="W124">
        <f t="shared" si="10"/>
        <v>0</v>
      </c>
      <c r="X124">
        <f t="shared" si="11"/>
        <v>18</v>
      </c>
      <c r="Z124" s="8">
        <f>IFERROR(__xludf.DUMMYFUNCTION("""COMPUTED_VALUE"""),44118.0)</f>
        <v>44118</v>
      </c>
      <c r="AA124">
        <f t="shared" si="12"/>
        <v>-3</v>
      </c>
      <c r="AB124">
        <f t="shared" si="13"/>
        <v>-18</v>
      </c>
      <c r="AC124">
        <f t="shared" si="14"/>
        <v>0</v>
      </c>
    </row>
    <row r="125">
      <c r="A125" s="8">
        <f>IFERROR(__xludf.DUMMYFUNCTION("""COMPUTED_VALUE"""),44101.0)</f>
        <v>44101</v>
      </c>
      <c r="B125">
        <f>IFERROR(__xludf.DUMMYFUNCTION("""COMPUTED_VALUE"""),1.0)</f>
        <v>1</v>
      </c>
      <c r="C125">
        <f>IFERROR(__xludf.DUMMYFUNCTION("""COMPUTED_VALUE"""),3.0)</f>
        <v>3</v>
      </c>
      <c r="D125">
        <f>IFERROR(__xludf.DUMMYFUNCTION("""COMPUTED_VALUE"""),2.0)</f>
        <v>2</v>
      </c>
      <c r="K125">
        <f t="shared" ref="K125:M125" si="270">if(B125=1,0,K124+1)</f>
        <v>0</v>
      </c>
      <c r="L125">
        <f t="shared" si="270"/>
        <v>1</v>
      </c>
      <c r="M125">
        <f t="shared" si="270"/>
        <v>7</v>
      </c>
      <c r="O125" s="8">
        <f>IFERROR(__xludf.DUMMYFUNCTION("""COMPUTED_VALUE"""),44101.0)</f>
        <v>44101</v>
      </c>
      <c r="P125">
        <f t="shared" ref="P125:R125" si="271">B125+P126</f>
        <v>303</v>
      </c>
      <c r="Q125">
        <f t="shared" si="271"/>
        <v>319</v>
      </c>
      <c r="R125">
        <f t="shared" si="271"/>
        <v>299</v>
      </c>
      <c r="S125">
        <f t="shared" si="265"/>
        <v>-4</v>
      </c>
      <c r="U125" s="8">
        <f>IFERROR(__xludf.DUMMYFUNCTION("""COMPUTED_VALUE"""),44101.0)</f>
        <v>44101</v>
      </c>
      <c r="V125">
        <f t="shared" si="9"/>
        <v>16</v>
      </c>
      <c r="W125">
        <f t="shared" si="10"/>
        <v>0</v>
      </c>
      <c r="X125">
        <f t="shared" si="11"/>
        <v>20</v>
      </c>
      <c r="Z125" s="8">
        <f>IFERROR(__xludf.DUMMYFUNCTION("""COMPUTED_VALUE"""),44101.0)</f>
        <v>44101</v>
      </c>
      <c r="AA125">
        <f t="shared" si="12"/>
        <v>-4</v>
      </c>
      <c r="AB125">
        <f t="shared" si="13"/>
        <v>-20</v>
      </c>
      <c r="AC125">
        <f t="shared" si="14"/>
        <v>0</v>
      </c>
    </row>
    <row r="126">
      <c r="A126" s="8">
        <f>IFERROR(__xludf.DUMMYFUNCTION("""COMPUTED_VALUE"""),44097.0)</f>
        <v>44097</v>
      </c>
      <c r="B126">
        <f>IFERROR(__xludf.DUMMYFUNCTION("""COMPUTED_VALUE"""),3.0)</f>
        <v>3</v>
      </c>
      <c r="C126">
        <f>IFERROR(__xludf.DUMMYFUNCTION("""COMPUTED_VALUE"""),1.0)</f>
        <v>1</v>
      </c>
      <c r="D126">
        <f>IFERROR(__xludf.DUMMYFUNCTION("""COMPUTED_VALUE"""),2.0)</f>
        <v>2</v>
      </c>
      <c r="K126">
        <f t="shared" ref="K126:M126" si="272">if(B126=1,0,K125+1)</f>
        <v>1</v>
      </c>
      <c r="L126">
        <f t="shared" si="272"/>
        <v>0</v>
      </c>
      <c r="M126">
        <f t="shared" si="272"/>
        <v>8</v>
      </c>
      <c r="O126" s="8">
        <f>IFERROR(__xludf.DUMMYFUNCTION("""COMPUTED_VALUE"""),44097.0)</f>
        <v>44097</v>
      </c>
      <c r="P126">
        <f t="shared" ref="P126:R126" si="273">B126+P127</f>
        <v>302</v>
      </c>
      <c r="Q126">
        <f t="shared" si="273"/>
        <v>316</v>
      </c>
      <c r="R126">
        <f t="shared" si="273"/>
        <v>297</v>
      </c>
      <c r="S126">
        <f t="shared" si="265"/>
        <v>-5</v>
      </c>
      <c r="U126" s="8">
        <f>IFERROR(__xludf.DUMMYFUNCTION("""COMPUTED_VALUE"""),44097.0)</f>
        <v>44097</v>
      </c>
      <c r="V126">
        <f t="shared" si="9"/>
        <v>14</v>
      </c>
      <c r="W126">
        <f t="shared" si="10"/>
        <v>0</v>
      </c>
      <c r="X126">
        <f t="shared" si="11"/>
        <v>19</v>
      </c>
      <c r="Z126" s="8">
        <f>IFERROR(__xludf.DUMMYFUNCTION("""COMPUTED_VALUE"""),44097.0)</f>
        <v>44097</v>
      </c>
      <c r="AA126">
        <f t="shared" si="12"/>
        <v>-5</v>
      </c>
      <c r="AB126">
        <f t="shared" si="13"/>
        <v>-19</v>
      </c>
      <c r="AC126">
        <f t="shared" si="14"/>
        <v>0</v>
      </c>
    </row>
    <row r="127">
      <c r="A127" s="8">
        <f>IFERROR(__xludf.DUMMYFUNCTION("""COMPUTED_VALUE"""),44093.0)</f>
        <v>44093</v>
      </c>
      <c r="B127">
        <f>IFERROR(__xludf.DUMMYFUNCTION("""COMPUTED_VALUE"""),2.0)</f>
        <v>2</v>
      </c>
      <c r="C127">
        <f>IFERROR(__xludf.DUMMYFUNCTION("""COMPUTED_VALUE"""),1.0)</f>
        <v>1</v>
      </c>
      <c r="D127">
        <f>IFERROR(__xludf.DUMMYFUNCTION("""COMPUTED_VALUE"""),3.0)</f>
        <v>3</v>
      </c>
      <c r="K127">
        <f t="shared" ref="K127:M127" si="274">if(B127=1,0,K126+1)</f>
        <v>2</v>
      </c>
      <c r="L127">
        <f t="shared" si="274"/>
        <v>0</v>
      </c>
      <c r="M127">
        <f t="shared" si="274"/>
        <v>9</v>
      </c>
      <c r="O127" s="8">
        <f>IFERROR(__xludf.DUMMYFUNCTION("""COMPUTED_VALUE"""),44093.0)</f>
        <v>44093</v>
      </c>
      <c r="P127">
        <f t="shared" ref="P127:R127" si="275">B127+P128</f>
        <v>299</v>
      </c>
      <c r="Q127">
        <f t="shared" si="275"/>
        <v>315</v>
      </c>
      <c r="R127">
        <f t="shared" si="275"/>
        <v>295</v>
      </c>
      <c r="S127">
        <f t="shared" si="265"/>
        <v>-4</v>
      </c>
      <c r="U127" s="8">
        <f>IFERROR(__xludf.DUMMYFUNCTION("""COMPUTED_VALUE"""),44093.0)</f>
        <v>44093</v>
      </c>
      <c r="V127">
        <f t="shared" si="9"/>
        <v>16</v>
      </c>
      <c r="W127">
        <f t="shared" si="10"/>
        <v>0</v>
      </c>
      <c r="X127">
        <f t="shared" si="11"/>
        <v>20</v>
      </c>
      <c r="Z127" s="8">
        <f>IFERROR(__xludf.DUMMYFUNCTION("""COMPUTED_VALUE"""),44093.0)</f>
        <v>44093</v>
      </c>
      <c r="AA127">
        <f t="shared" si="12"/>
        <v>-4</v>
      </c>
      <c r="AB127">
        <f t="shared" si="13"/>
        <v>-20</v>
      </c>
      <c r="AC127">
        <f t="shared" si="14"/>
        <v>0</v>
      </c>
    </row>
    <row r="128">
      <c r="A128" s="8">
        <f>IFERROR(__xludf.DUMMYFUNCTION("""COMPUTED_VALUE"""),44087.0)</f>
        <v>44087</v>
      </c>
      <c r="B128">
        <f>IFERROR(__xludf.DUMMYFUNCTION("""COMPUTED_VALUE"""),1.0)</f>
        <v>1</v>
      </c>
      <c r="C128">
        <f>IFERROR(__xludf.DUMMYFUNCTION("""COMPUTED_VALUE"""),2.0)</f>
        <v>2</v>
      </c>
      <c r="D128">
        <f>IFERROR(__xludf.DUMMYFUNCTION("""COMPUTED_VALUE"""),3.0)</f>
        <v>3</v>
      </c>
      <c r="K128">
        <f t="shared" ref="K128:M128" si="276">if(B128=1,0,K127+1)</f>
        <v>0</v>
      </c>
      <c r="L128">
        <f t="shared" si="276"/>
        <v>1</v>
      </c>
      <c r="M128">
        <f t="shared" si="276"/>
        <v>10</v>
      </c>
      <c r="O128" s="8">
        <f>IFERROR(__xludf.DUMMYFUNCTION("""COMPUTED_VALUE"""),44087.0)</f>
        <v>44087</v>
      </c>
      <c r="P128">
        <f t="shared" ref="P128:R128" si="277">B128+P129</f>
        <v>297</v>
      </c>
      <c r="Q128">
        <f t="shared" si="277"/>
        <v>314</v>
      </c>
      <c r="R128">
        <f t="shared" si="277"/>
        <v>292</v>
      </c>
      <c r="S128">
        <f t="shared" si="265"/>
        <v>-5</v>
      </c>
      <c r="U128" s="8">
        <f>IFERROR(__xludf.DUMMYFUNCTION("""COMPUTED_VALUE"""),44087.0)</f>
        <v>44087</v>
      </c>
      <c r="V128">
        <f t="shared" si="9"/>
        <v>17</v>
      </c>
      <c r="W128">
        <f t="shared" si="10"/>
        <v>0</v>
      </c>
      <c r="X128">
        <f t="shared" si="11"/>
        <v>22</v>
      </c>
      <c r="Z128" s="8">
        <f>IFERROR(__xludf.DUMMYFUNCTION("""COMPUTED_VALUE"""),44087.0)</f>
        <v>44087</v>
      </c>
      <c r="AA128">
        <f t="shared" si="12"/>
        <v>-5</v>
      </c>
      <c r="AB128">
        <f t="shared" si="13"/>
        <v>-22</v>
      </c>
      <c r="AC128">
        <f t="shared" si="14"/>
        <v>0</v>
      </c>
    </row>
    <row r="129">
      <c r="A129" s="8">
        <f>IFERROR(__xludf.DUMMYFUNCTION("""COMPUTED_VALUE"""),44081.0)</f>
        <v>44081</v>
      </c>
      <c r="B129">
        <f>IFERROR(__xludf.DUMMYFUNCTION("""COMPUTED_VALUE"""),3.0)</f>
        <v>3</v>
      </c>
      <c r="C129">
        <f>IFERROR(__xludf.DUMMYFUNCTION("""COMPUTED_VALUE"""),2.0)</f>
        <v>2</v>
      </c>
      <c r="D129">
        <f>IFERROR(__xludf.DUMMYFUNCTION("""COMPUTED_VALUE"""),1.0)</f>
        <v>1</v>
      </c>
      <c r="K129">
        <f t="shared" ref="K129:M129" si="278">if(B129=1,0,K128+1)</f>
        <v>1</v>
      </c>
      <c r="L129">
        <f t="shared" si="278"/>
        <v>2</v>
      </c>
      <c r="M129">
        <f t="shared" si="278"/>
        <v>0</v>
      </c>
      <c r="O129" s="8">
        <f>IFERROR(__xludf.DUMMYFUNCTION("""COMPUTED_VALUE"""),44081.0)</f>
        <v>44081</v>
      </c>
      <c r="P129">
        <f t="shared" ref="P129:R129" si="279">B129+P130</f>
        <v>296</v>
      </c>
      <c r="Q129">
        <f t="shared" si="279"/>
        <v>312</v>
      </c>
      <c r="R129">
        <f t="shared" si="279"/>
        <v>289</v>
      </c>
      <c r="S129">
        <f t="shared" si="265"/>
        <v>-7</v>
      </c>
      <c r="U129" s="8">
        <f>IFERROR(__xludf.DUMMYFUNCTION("""COMPUTED_VALUE"""),44081.0)</f>
        <v>44081</v>
      </c>
      <c r="V129">
        <f t="shared" si="9"/>
        <v>16</v>
      </c>
      <c r="W129">
        <f t="shared" si="10"/>
        <v>0</v>
      </c>
      <c r="X129">
        <f t="shared" si="11"/>
        <v>23</v>
      </c>
      <c r="Z129" s="8">
        <f>IFERROR(__xludf.DUMMYFUNCTION("""COMPUTED_VALUE"""),44081.0)</f>
        <v>44081</v>
      </c>
      <c r="AA129">
        <f t="shared" si="12"/>
        <v>-7</v>
      </c>
      <c r="AB129">
        <f t="shared" si="13"/>
        <v>-23</v>
      </c>
      <c r="AC129">
        <f t="shared" si="14"/>
        <v>0</v>
      </c>
    </row>
    <row r="130">
      <c r="A130" s="8">
        <f>IFERROR(__xludf.DUMMYFUNCTION("""COMPUTED_VALUE"""),44076.0)</f>
        <v>44076</v>
      </c>
      <c r="B130">
        <f>IFERROR(__xludf.DUMMYFUNCTION("""COMPUTED_VALUE"""),3.0)</f>
        <v>3</v>
      </c>
      <c r="C130">
        <f>IFERROR(__xludf.DUMMYFUNCTION("""COMPUTED_VALUE"""),1.0)</f>
        <v>1</v>
      </c>
      <c r="D130">
        <f>IFERROR(__xludf.DUMMYFUNCTION("""COMPUTED_VALUE"""),2.0)</f>
        <v>2</v>
      </c>
      <c r="K130">
        <f t="shared" ref="K130:M130" si="280">if(B130=1,0,K129+1)</f>
        <v>2</v>
      </c>
      <c r="L130">
        <f t="shared" si="280"/>
        <v>0</v>
      </c>
      <c r="M130">
        <f t="shared" si="280"/>
        <v>1</v>
      </c>
      <c r="O130" s="8">
        <f>IFERROR(__xludf.DUMMYFUNCTION("""COMPUTED_VALUE"""),44076.0)</f>
        <v>44076</v>
      </c>
      <c r="P130">
        <f t="shared" ref="P130:R130" si="281">B130+P131</f>
        <v>293</v>
      </c>
      <c r="Q130">
        <f t="shared" si="281"/>
        <v>310</v>
      </c>
      <c r="R130">
        <f t="shared" si="281"/>
        <v>288</v>
      </c>
      <c r="S130">
        <f t="shared" si="265"/>
        <v>-5</v>
      </c>
      <c r="U130" s="8">
        <f>IFERROR(__xludf.DUMMYFUNCTION("""COMPUTED_VALUE"""),44076.0)</f>
        <v>44076</v>
      </c>
      <c r="V130">
        <f t="shared" si="9"/>
        <v>17</v>
      </c>
      <c r="W130">
        <f t="shared" si="10"/>
        <v>0</v>
      </c>
      <c r="X130">
        <f t="shared" si="11"/>
        <v>22</v>
      </c>
      <c r="Z130" s="8">
        <f>IFERROR(__xludf.DUMMYFUNCTION("""COMPUTED_VALUE"""),44076.0)</f>
        <v>44076</v>
      </c>
      <c r="AA130">
        <f t="shared" si="12"/>
        <v>-5</v>
      </c>
      <c r="AB130">
        <f t="shared" si="13"/>
        <v>-22</v>
      </c>
      <c r="AC130">
        <f t="shared" si="14"/>
        <v>0</v>
      </c>
    </row>
    <row r="131">
      <c r="A131" s="8">
        <f>IFERROR(__xludf.DUMMYFUNCTION("""COMPUTED_VALUE"""),44073.0)</f>
        <v>44073</v>
      </c>
      <c r="B131">
        <f>IFERROR(__xludf.DUMMYFUNCTION("""COMPUTED_VALUE"""),2.0)</f>
        <v>2</v>
      </c>
      <c r="C131">
        <f>IFERROR(__xludf.DUMMYFUNCTION("""COMPUTED_VALUE"""),3.0)</f>
        <v>3</v>
      </c>
      <c r="D131">
        <f>IFERROR(__xludf.DUMMYFUNCTION("""COMPUTED_VALUE"""),1.0)</f>
        <v>1</v>
      </c>
      <c r="K131">
        <f t="shared" ref="K131:M131" si="282">if(B131=1,0,K130+1)</f>
        <v>3</v>
      </c>
      <c r="L131">
        <f t="shared" si="282"/>
        <v>1</v>
      </c>
      <c r="M131">
        <f t="shared" si="282"/>
        <v>0</v>
      </c>
      <c r="O131" s="8">
        <f>IFERROR(__xludf.DUMMYFUNCTION("""COMPUTED_VALUE"""),44073.0)</f>
        <v>44073</v>
      </c>
      <c r="P131">
        <f t="shared" ref="P131:R131" si="283">B131+P132</f>
        <v>290</v>
      </c>
      <c r="Q131">
        <f t="shared" si="283"/>
        <v>309</v>
      </c>
      <c r="R131">
        <f t="shared" si="283"/>
        <v>286</v>
      </c>
      <c r="S131">
        <f t="shared" si="265"/>
        <v>-4</v>
      </c>
      <c r="U131" s="8">
        <f>IFERROR(__xludf.DUMMYFUNCTION("""COMPUTED_VALUE"""),44073.0)</f>
        <v>44073</v>
      </c>
      <c r="V131">
        <f t="shared" si="9"/>
        <v>19</v>
      </c>
      <c r="W131">
        <f t="shared" si="10"/>
        <v>0</v>
      </c>
      <c r="X131">
        <f t="shared" si="11"/>
        <v>23</v>
      </c>
      <c r="Z131" s="8">
        <f>IFERROR(__xludf.DUMMYFUNCTION("""COMPUTED_VALUE"""),44073.0)</f>
        <v>44073</v>
      </c>
      <c r="AA131">
        <f t="shared" si="12"/>
        <v>-4</v>
      </c>
      <c r="AB131">
        <f t="shared" si="13"/>
        <v>-23</v>
      </c>
      <c r="AC131">
        <f t="shared" si="14"/>
        <v>0</v>
      </c>
    </row>
    <row r="132">
      <c r="A132" s="8">
        <f>IFERROR(__xludf.DUMMYFUNCTION("""COMPUTED_VALUE"""),44069.0)</f>
        <v>44069</v>
      </c>
      <c r="B132">
        <f>IFERROR(__xludf.DUMMYFUNCTION("""COMPUTED_VALUE"""),1.0)</f>
        <v>1</v>
      </c>
      <c r="C132">
        <f>IFERROR(__xludf.DUMMYFUNCTION("""COMPUTED_VALUE"""),3.0)</f>
        <v>3</v>
      </c>
      <c r="D132">
        <f>IFERROR(__xludf.DUMMYFUNCTION("""COMPUTED_VALUE"""),2.0)</f>
        <v>2</v>
      </c>
      <c r="K132">
        <f t="shared" ref="K132:M132" si="284">if(B132=1,0,K131+1)</f>
        <v>0</v>
      </c>
      <c r="L132">
        <f t="shared" si="284"/>
        <v>2</v>
      </c>
      <c r="M132">
        <f t="shared" si="284"/>
        <v>1</v>
      </c>
      <c r="O132" s="8">
        <f>IFERROR(__xludf.DUMMYFUNCTION("""COMPUTED_VALUE"""),44069.0)</f>
        <v>44069</v>
      </c>
      <c r="P132">
        <f t="shared" ref="P132:R132" si="285">B132+P133</f>
        <v>288</v>
      </c>
      <c r="Q132">
        <f t="shared" si="285"/>
        <v>306</v>
      </c>
      <c r="R132">
        <f t="shared" si="285"/>
        <v>285</v>
      </c>
      <c r="S132">
        <f t="shared" si="265"/>
        <v>-3</v>
      </c>
      <c r="U132" s="8">
        <f>IFERROR(__xludf.DUMMYFUNCTION("""COMPUTED_VALUE"""),44069.0)</f>
        <v>44069</v>
      </c>
      <c r="V132">
        <f t="shared" si="9"/>
        <v>18</v>
      </c>
      <c r="W132">
        <f t="shared" si="10"/>
        <v>0</v>
      </c>
      <c r="X132">
        <f t="shared" si="11"/>
        <v>21</v>
      </c>
      <c r="Z132" s="8">
        <f>IFERROR(__xludf.DUMMYFUNCTION("""COMPUTED_VALUE"""),44069.0)</f>
        <v>44069</v>
      </c>
      <c r="AA132">
        <f t="shared" si="12"/>
        <v>-3</v>
      </c>
      <c r="AB132">
        <f t="shared" si="13"/>
        <v>-21</v>
      </c>
      <c r="AC132">
        <f t="shared" si="14"/>
        <v>0</v>
      </c>
    </row>
    <row r="133">
      <c r="A133" s="8">
        <f>IFERROR(__xludf.DUMMYFUNCTION("""COMPUTED_VALUE"""),44066.0)</f>
        <v>44066</v>
      </c>
      <c r="B133">
        <f>IFERROR(__xludf.DUMMYFUNCTION("""COMPUTED_VALUE"""),3.0)</f>
        <v>3</v>
      </c>
      <c r="C133">
        <f>IFERROR(__xludf.DUMMYFUNCTION("""COMPUTED_VALUE"""),2.0)</f>
        <v>2</v>
      </c>
      <c r="D133">
        <f>IFERROR(__xludf.DUMMYFUNCTION("""COMPUTED_VALUE"""),1.0)</f>
        <v>1</v>
      </c>
      <c r="K133">
        <f t="shared" ref="K133:M133" si="286">if(B133=1,0,K132+1)</f>
        <v>1</v>
      </c>
      <c r="L133">
        <f t="shared" si="286"/>
        <v>3</v>
      </c>
      <c r="M133">
        <f t="shared" si="286"/>
        <v>0</v>
      </c>
      <c r="O133" s="8">
        <f>IFERROR(__xludf.DUMMYFUNCTION("""COMPUTED_VALUE"""),44066.0)</f>
        <v>44066</v>
      </c>
      <c r="P133">
        <f t="shared" ref="P133:R133" si="287">B133+P134</f>
        <v>287</v>
      </c>
      <c r="Q133">
        <f t="shared" si="287"/>
        <v>303</v>
      </c>
      <c r="R133">
        <f t="shared" si="287"/>
        <v>283</v>
      </c>
      <c r="S133">
        <f t="shared" si="265"/>
        <v>-4</v>
      </c>
      <c r="U133" s="8">
        <f>IFERROR(__xludf.DUMMYFUNCTION("""COMPUTED_VALUE"""),44066.0)</f>
        <v>44066</v>
      </c>
      <c r="V133">
        <f t="shared" si="9"/>
        <v>16</v>
      </c>
      <c r="W133">
        <f t="shared" si="10"/>
        <v>0</v>
      </c>
      <c r="X133">
        <f t="shared" si="11"/>
        <v>20</v>
      </c>
      <c r="Z133" s="8">
        <f>IFERROR(__xludf.DUMMYFUNCTION("""COMPUTED_VALUE"""),44066.0)</f>
        <v>44066</v>
      </c>
      <c r="AA133">
        <f t="shared" si="12"/>
        <v>-4</v>
      </c>
      <c r="AB133">
        <f t="shared" si="13"/>
        <v>-20</v>
      </c>
      <c r="AC133">
        <f t="shared" si="14"/>
        <v>0</v>
      </c>
    </row>
    <row r="134">
      <c r="A134" s="8">
        <f>IFERROR(__xludf.DUMMYFUNCTION("""COMPUTED_VALUE"""),44066.0)</f>
        <v>44066</v>
      </c>
      <c r="B134">
        <f>IFERROR(__xludf.DUMMYFUNCTION("""COMPUTED_VALUE"""),2.0)</f>
        <v>2</v>
      </c>
      <c r="C134">
        <f>IFERROR(__xludf.DUMMYFUNCTION("""COMPUTED_VALUE"""),1.0)</f>
        <v>1</v>
      </c>
      <c r="D134">
        <f>IFERROR(__xludf.DUMMYFUNCTION("""COMPUTED_VALUE"""),3.0)</f>
        <v>3</v>
      </c>
      <c r="K134">
        <f t="shared" ref="K134:M134" si="288">if(B134=1,0,K133+1)</f>
        <v>2</v>
      </c>
      <c r="L134">
        <f t="shared" si="288"/>
        <v>0</v>
      </c>
      <c r="M134">
        <f t="shared" si="288"/>
        <v>1</v>
      </c>
      <c r="O134" s="8">
        <f>IFERROR(__xludf.DUMMYFUNCTION("""COMPUTED_VALUE"""),44066.0)</f>
        <v>44066</v>
      </c>
      <c r="P134">
        <f t="shared" ref="P134:R134" si="289">B134+P135</f>
        <v>284</v>
      </c>
      <c r="Q134">
        <f t="shared" si="289"/>
        <v>301</v>
      </c>
      <c r="R134">
        <f t="shared" si="289"/>
        <v>282</v>
      </c>
      <c r="S134">
        <f t="shared" si="265"/>
        <v>-2</v>
      </c>
      <c r="U134" s="8">
        <f>IFERROR(__xludf.DUMMYFUNCTION("""COMPUTED_VALUE"""),44066.0)</f>
        <v>44066</v>
      </c>
      <c r="V134">
        <f t="shared" si="9"/>
        <v>17</v>
      </c>
      <c r="W134">
        <f t="shared" si="10"/>
        <v>0</v>
      </c>
      <c r="X134">
        <f t="shared" si="11"/>
        <v>19</v>
      </c>
      <c r="Z134" s="8">
        <f>IFERROR(__xludf.DUMMYFUNCTION("""COMPUTED_VALUE"""),44066.0)</f>
        <v>44066</v>
      </c>
      <c r="AA134">
        <f t="shared" si="12"/>
        <v>-2</v>
      </c>
      <c r="AB134">
        <f t="shared" si="13"/>
        <v>-19</v>
      </c>
      <c r="AC134">
        <f t="shared" si="14"/>
        <v>0</v>
      </c>
    </row>
    <row r="135">
      <c r="A135" s="8">
        <f>IFERROR(__xludf.DUMMYFUNCTION("""COMPUTED_VALUE"""),44058.0)</f>
        <v>44058</v>
      </c>
      <c r="B135">
        <f>IFERROR(__xludf.DUMMYFUNCTION("""COMPUTED_VALUE"""),3.0)</f>
        <v>3</v>
      </c>
      <c r="C135">
        <f>IFERROR(__xludf.DUMMYFUNCTION("""COMPUTED_VALUE"""),1.0)</f>
        <v>1</v>
      </c>
      <c r="D135">
        <f>IFERROR(__xludf.DUMMYFUNCTION("""COMPUTED_VALUE"""),2.0)</f>
        <v>2</v>
      </c>
      <c r="K135">
        <f t="shared" ref="K135:M135" si="290">if(B135=1,0,K134+1)</f>
        <v>3</v>
      </c>
      <c r="L135">
        <f t="shared" si="290"/>
        <v>0</v>
      </c>
      <c r="M135">
        <f t="shared" si="290"/>
        <v>2</v>
      </c>
      <c r="O135" s="8">
        <f>IFERROR(__xludf.DUMMYFUNCTION("""COMPUTED_VALUE"""),44058.0)</f>
        <v>44058</v>
      </c>
      <c r="P135">
        <f t="shared" ref="P135:R135" si="291">B135+P136</f>
        <v>282</v>
      </c>
      <c r="Q135">
        <f t="shared" si="291"/>
        <v>300</v>
      </c>
      <c r="R135">
        <f t="shared" si="291"/>
        <v>279</v>
      </c>
      <c r="S135">
        <f t="shared" si="265"/>
        <v>-3</v>
      </c>
      <c r="U135" s="8">
        <f>IFERROR(__xludf.DUMMYFUNCTION("""COMPUTED_VALUE"""),44058.0)</f>
        <v>44058</v>
      </c>
      <c r="V135">
        <f t="shared" si="9"/>
        <v>18</v>
      </c>
      <c r="W135">
        <f t="shared" si="10"/>
        <v>0</v>
      </c>
      <c r="X135">
        <f t="shared" si="11"/>
        <v>21</v>
      </c>
      <c r="Z135" s="8">
        <f>IFERROR(__xludf.DUMMYFUNCTION("""COMPUTED_VALUE"""),44058.0)</f>
        <v>44058</v>
      </c>
      <c r="AA135">
        <f t="shared" si="12"/>
        <v>-3</v>
      </c>
      <c r="AB135">
        <f t="shared" si="13"/>
        <v>-21</v>
      </c>
      <c r="AC135">
        <f t="shared" si="14"/>
        <v>0</v>
      </c>
    </row>
    <row r="136">
      <c r="A136" s="8">
        <f>IFERROR(__xludf.DUMMYFUNCTION("""COMPUTED_VALUE"""),44045.0)</f>
        <v>44045</v>
      </c>
      <c r="B136">
        <f>IFERROR(__xludf.DUMMYFUNCTION("""COMPUTED_VALUE"""),3.0)</f>
        <v>3</v>
      </c>
      <c r="C136">
        <f>IFERROR(__xludf.DUMMYFUNCTION("""COMPUTED_VALUE"""),1.0)</f>
        <v>1</v>
      </c>
      <c r="D136">
        <f>IFERROR(__xludf.DUMMYFUNCTION("""COMPUTED_VALUE"""),2.0)</f>
        <v>2</v>
      </c>
      <c r="K136">
        <f t="shared" ref="K136:M136" si="292">if(B136=1,0,K135+1)</f>
        <v>4</v>
      </c>
      <c r="L136">
        <f t="shared" si="292"/>
        <v>0</v>
      </c>
      <c r="M136">
        <f t="shared" si="292"/>
        <v>3</v>
      </c>
      <c r="O136" s="8">
        <f>IFERROR(__xludf.DUMMYFUNCTION("""COMPUTED_VALUE"""),44045.0)</f>
        <v>44045</v>
      </c>
      <c r="P136">
        <f t="shared" ref="P136:R136" si="293">B136+P137</f>
        <v>279</v>
      </c>
      <c r="Q136">
        <f t="shared" si="293"/>
        <v>299</v>
      </c>
      <c r="R136">
        <f t="shared" si="293"/>
        <v>277</v>
      </c>
      <c r="S136">
        <f t="shared" si="265"/>
        <v>-2</v>
      </c>
      <c r="U136" s="8">
        <f>IFERROR(__xludf.DUMMYFUNCTION("""COMPUTED_VALUE"""),44045.0)</f>
        <v>44045</v>
      </c>
      <c r="V136">
        <f t="shared" si="9"/>
        <v>20</v>
      </c>
      <c r="W136">
        <f t="shared" si="10"/>
        <v>0</v>
      </c>
      <c r="X136">
        <f t="shared" si="11"/>
        <v>22</v>
      </c>
      <c r="Z136" s="8">
        <f>IFERROR(__xludf.DUMMYFUNCTION("""COMPUTED_VALUE"""),44045.0)</f>
        <v>44045</v>
      </c>
      <c r="AA136">
        <f t="shared" si="12"/>
        <v>-2</v>
      </c>
      <c r="AB136">
        <f t="shared" si="13"/>
        <v>-22</v>
      </c>
      <c r="AC136">
        <f t="shared" si="14"/>
        <v>0</v>
      </c>
    </row>
    <row r="137">
      <c r="A137" s="8">
        <f>IFERROR(__xludf.DUMMYFUNCTION("""COMPUTED_VALUE"""),44042.0)</f>
        <v>44042</v>
      </c>
      <c r="B137">
        <f>IFERROR(__xludf.DUMMYFUNCTION("""COMPUTED_VALUE"""),2.0)</f>
        <v>2</v>
      </c>
      <c r="C137">
        <f>IFERROR(__xludf.DUMMYFUNCTION("""COMPUTED_VALUE"""),3.0)</f>
        <v>3</v>
      </c>
      <c r="D137">
        <f>IFERROR(__xludf.DUMMYFUNCTION("""COMPUTED_VALUE"""),1.0)</f>
        <v>1</v>
      </c>
      <c r="K137">
        <f t="shared" ref="K137:M137" si="294">if(B137=1,0,K136+1)</f>
        <v>5</v>
      </c>
      <c r="L137">
        <f t="shared" si="294"/>
        <v>1</v>
      </c>
      <c r="M137">
        <f t="shared" si="294"/>
        <v>0</v>
      </c>
      <c r="O137" s="8">
        <f>IFERROR(__xludf.DUMMYFUNCTION("""COMPUTED_VALUE"""),44042.0)</f>
        <v>44042</v>
      </c>
      <c r="P137">
        <f t="shared" ref="P137:R137" si="295">B137+P138</f>
        <v>276</v>
      </c>
      <c r="Q137">
        <f t="shared" si="295"/>
        <v>298</v>
      </c>
      <c r="R137">
        <f t="shared" si="295"/>
        <v>275</v>
      </c>
      <c r="S137">
        <f t="shared" si="265"/>
        <v>-1</v>
      </c>
      <c r="U137" s="8">
        <f>IFERROR(__xludf.DUMMYFUNCTION("""COMPUTED_VALUE"""),44042.0)</f>
        <v>44042</v>
      </c>
      <c r="V137">
        <f t="shared" si="9"/>
        <v>22</v>
      </c>
      <c r="W137">
        <f t="shared" si="10"/>
        <v>0</v>
      </c>
      <c r="X137">
        <f t="shared" si="11"/>
        <v>23</v>
      </c>
      <c r="Z137" s="8">
        <f>IFERROR(__xludf.DUMMYFUNCTION("""COMPUTED_VALUE"""),44042.0)</f>
        <v>44042</v>
      </c>
      <c r="AA137">
        <f t="shared" si="12"/>
        <v>-1</v>
      </c>
      <c r="AB137">
        <f t="shared" si="13"/>
        <v>-23</v>
      </c>
      <c r="AC137">
        <f t="shared" si="14"/>
        <v>0</v>
      </c>
    </row>
    <row r="138">
      <c r="A138" s="8">
        <f>IFERROR(__xludf.DUMMYFUNCTION("""COMPUTED_VALUE"""),44038.0)</f>
        <v>44038</v>
      </c>
      <c r="B138">
        <f>IFERROR(__xludf.DUMMYFUNCTION("""COMPUTED_VALUE"""),2.0)</f>
        <v>2</v>
      </c>
      <c r="C138">
        <f>IFERROR(__xludf.DUMMYFUNCTION("""COMPUTED_VALUE"""),3.0)</f>
        <v>3</v>
      </c>
      <c r="D138">
        <f>IFERROR(__xludf.DUMMYFUNCTION("""COMPUTED_VALUE"""),1.0)</f>
        <v>1</v>
      </c>
      <c r="K138">
        <f t="shared" ref="K138:M138" si="296">if(B138=1,0,K137+1)</f>
        <v>6</v>
      </c>
      <c r="L138">
        <f t="shared" si="296"/>
        <v>2</v>
      </c>
      <c r="M138">
        <f t="shared" si="296"/>
        <v>0</v>
      </c>
      <c r="O138" s="8">
        <f>IFERROR(__xludf.DUMMYFUNCTION("""COMPUTED_VALUE"""),44038.0)</f>
        <v>44038</v>
      </c>
      <c r="P138">
        <f t="shared" ref="P138:R138" si="297">B138+P139</f>
        <v>274</v>
      </c>
      <c r="Q138">
        <f t="shared" si="297"/>
        <v>295</v>
      </c>
      <c r="R138">
        <f t="shared" si="297"/>
        <v>274</v>
      </c>
      <c r="S138">
        <f t="shared" si="265"/>
        <v>-21</v>
      </c>
      <c r="U138" s="8">
        <f>IFERROR(__xludf.DUMMYFUNCTION("""COMPUTED_VALUE"""),44038.0)</f>
        <v>44038</v>
      </c>
      <c r="V138">
        <f t="shared" si="9"/>
        <v>21</v>
      </c>
      <c r="W138">
        <f t="shared" si="10"/>
        <v>0</v>
      </c>
      <c r="X138">
        <f t="shared" si="11"/>
        <v>21</v>
      </c>
      <c r="Z138" s="8">
        <f>IFERROR(__xludf.DUMMYFUNCTION("""COMPUTED_VALUE"""),44038.0)</f>
        <v>44038</v>
      </c>
      <c r="AA138">
        <f t="shared" si="12"/>
        <v>0</v>
      </c>
      <c r="AB138">
        <f t="shared" si="13"/>
        <v>-21</v>
      </c>
      <c r="AC138">
        <f t="shared" si="14"/>
        <v>0</v>
      </c>
    </row>
    <row r="139">
      <c r="A139" s="8">
        <f>IFERROR(__xludf.DUMMYFUNCTION("""COMPUTED_VALUE"""),44035.0)</f>
        <v>44035</v>
      </c>
      <c r="B139">
        <f>IFERROR(__xludf.DUMMYFUNCTION("""COMPUTED_VALUE"""),1.0)</f>
        <v>1</v>
      </c>
      <c r="C139">
        <f>IFERROR(__xludf.DUMMYFUNCTION("""COMPUTED_VALUE"""),3.0)</f>
        <v>3</v>
      </c>
      <c r="D139">
        <f>IFERROR(__xludf.DUMMYFUNCTION("""COMPUTED_VALUE"""),2.0)</f>
        <v>2</v>
      </c>
      <c r="K139">
        <f t="shared" ref="K139:M139" si="298">if(B139=1,0,K138+1)</f>
        <v>0</v>
      </c>
      <c r="L139">
        <f t="shared" si="298"/>
        <v>3</v>
      </c>
      <c r="M139">
        <f t="shared" si="298"/>
        <v>1</v>
      </c>
      <c r="O139" s="8">
        <f>IFERROR(__xludf.DUMMYFUNCTION("""COMPUTED_VALUE"""),44035.0)</f>
        <v>44035</v>
      </c>
      <c r="P139">
        <f t="shared" ref="P139:R139" si="299">B139+P140</f>
        <v>272</v>
      </c>
      <c r="Q139">
        <f t="shared" si="299"/>
        <v>292</v>
      </c>
      <c r="R139">
        <f t="shared" si="299"/>
        <v>273</v>
      </c>
      <c r="S139">
        <f t="shared" si="265"/>
        <v>-1</v>
      </c>
      <c r="U139" s="8">
        <f>IFERROR(__xludf.DUMMYFUNCTION("""COMPUTED_VALUE"""),44035.0)</f>
        <v>44035</v>
      </c>
      <c r="V139">
        <f t="shared" si="9"/>
        <v>20</v>
      </c>
      <c r="W139">
        <f t="shared" si="10"/>
        <v>0</v>
      </c>
      <c r="X139">
        <f t="shared" si="11"/>
        <v>19</v>
      </c>
      <c r="Z139" s="8">
        <f>IFERROR(__xludf.DUMMYFUNCTION("""COMPUTED_VALUE"""),44035.0)</f>
        <v>44035</v>
      </c>
      <c r="AA139">
        <f t="shared" si="12"/>
        <v>0</v>
      </c>
      <c r="AB139">
        <f t="shared" si="13"/>
        <v>-20</v>
      </c>
      <c r="AC139">
        <f t="shared" si="14"/>
        <v>-1</v>
      </c>
    </row>
    <row r="140">
      <c r="A140" s="8">
        <f>IFERROR(__xludf.DUMMYFUNCTION("""COMPUTED_VALUE"""),44024.0)</f>
        <v>44024</v>
      </c>
      <c r="B140">
        <f>IFERROR(__xludf.DUMMYFUNCTION("""COMPUTED_VALUE"""),2.0)</f>
        <v>2</v>
      </c>
      <c r="C140">
        <f>IFERROR(__xludf.DUMMYFUNCTION("""COMPUTED_VALUE"""),3.0)</f>
        <v>3</v>
      </c>
      <c r="D140">
        <f>IFERROR(__xludf.DUMMYFUNCTION("""COMPUTED_VALUE"""),1.0)</f>
        <v>1</v>
      </c>
      <c r="K140">
        <f t="shared" ref="K140:M140" si="300">if(B140=1,0,K139+1)</f>
        <v>1</v>
      </c>
      <c r="L140">
        <f t="shared" si="300"/>
        <v>4</v>
      </c>
      <c r="M140">
        <f t="shared" si="300"/>
        <v>0</v>
      </c>
      <c r="O140" s="8">
        <f>IFERROR(__xludf.DUMMYFUNCTION("""COMPUTED_VALUE"""),44024.0)</f>
        <v>44024</v>
      </c>
      <c r="P140">
        <f t="shared" ref="P140:R140" si="301">B140+P141</f>
        <v>271</v>
      </c>
      <c r="Q140">
        <f t="shared" si="301"/>
        <v>289</v>
      </c>
      <c r="R140">
        <f t="shared" si="301"/>
        <v>271</v>
      </c>
      <c r="S140">
        <f t="shared" si="265"/>
        <v>-18</v>
      </c>
      <c r="U140" s="8">
        <f>IFERROR(__xludf.DUMMYFUNCTION("""COMPUTED_VALUE"""),44024.0)</f>
        <v>44024</v>
      </c>
      <c r="V140">
        <f t="shared" si="9"/>
        <v>18</v>
      </c>
      <c r="W140">
        <f t="shared" si="10"/>
        <v>0</v>
      </c>
      <c r="X140">
        <f t="shared" si="11"/>
        <v>18</v>
      </c>
      <c r="Z140" s="8">
        <f>IFERROR(__xludf.DUMMYFUNCTION("""COMPUTED_VALUE"""),44024.0)</f>
        <v>44024</v>
      </c>
      <c r="AA140">
        <f t="shared" si="12"/>
        <v>0</v>
      </c>
      <c r="AB140">
        <f t="shared" si="13"/>
        <v>-18</v>
      </c>
      <c r="AC140">
        <f t="shared" si="14"/>
        <v>0</v>
      </c>
    </row>
    <row r="141">
      <c r="A141" s="8">
        <f>IFERROR(__xludf.DUMMYFUNCTION("""COMPUTED_VALUE"""),44014.0)</f>
        <v>44014</v>
      </c>
      <c r="B141">
        <f>IFERROR(__xludf.DUMMYFUNCTION("""COMPUTED_VALUE"""),3.0)</f>
        <v>3</v>
      </c>
      <c r="C141">
        <f>IFERROR(__xludf.DUMMYFUNCTION("""COMPUTED_VALUE"""),2.0)</f>
        <v>2</v>
      </c>
      <c r="D141">
        <f>IFERROR(__xludf.DUMMYFUNCTION("""COMPUTED_VALUE"""),1.0)</f>
        <v>1</v>
      </c>
      <c r="K141">
        <f t="shared" ref="K141:M141" si="302">if(B141=1,0,K140+1)</f>
        <v>2</v>
      </c>
      <c r="L141">
        <f t="shared" si="302"/>
        <v>5</v>
      </c>
      <c r="M141">
        <f t="shared" si="302"/>
        <v>0</v>
      </c>
      <c r="O141" s="8">
        <f>IFERROR(__xludf.DUMMYFUNCTION("""COMPUTED_VALUE"""),44014.0)</f>
        <v>44014</v>
      </c>
      <c r="P141">
        <f t="shared" ref="P141:R141" si="303">B141+P142</f>
        <v>269</v>
      </c>
      <c r="Q141">
        <f t="shared" si="303"/>
        <v>286</v>
      </c>
      <c r="R141">
        <f t="shared" si="303"/>
        <v>270</v>
      </c>
      <c r="S141">
        <f t="shared" si="265"/>
        <v>-1</v>
      </c>
      <c r="U141" s="8">
        <f>IFERROR(__xludf.DUMMYFUNCTION("""COMPUTED_VALUE"""),44014.0)</f>
        <v>44014</v>
      </c>
      <c r="V141">
        <f t="shared" si="9"/>
        <v>17</v>
      </c>
      <c r="W141">
        <f t="shared" si="10"/>
        <v>0</v>
      </c>
      <c r="X141">
        <f t="shared" si="11"/>
        <v>16</v>
      </c>
      <c r="Z141" s="8">
        <f>IFERROR(__xludf.DUMMYFUNCTION("""COMPUTED_VALUE"""),44014.0)</f>
        <v>44014</v>
      </c>
      <c r="AA141">
        <f t="shared" si="12"/>
        <v>0</v>
      </c>
      <c r="AB141">
        <f t="shared" si="13"/>
        <v>-17</v>
      </c>
      <c r="AC141">
        <f t="shared" si="14"/>
        <v>-1</v>
      </c>
    </row>
    <row r="142">
      <c r="A142" s="8">
        <f>IFERROR(__xludf.DUMMYFUNCTION("""COMPUTED_VALUE"""),44010.0)</f>
        <v>44010</v>
      </c>
      <c r="B142">
        <f>IFERROR(__xludf.DUMMYFUNCTION("""COMPUTED_VALUE"""),1.0)</f>
        <v>1</v>
      </c>
      <c r="C142">
        <f>IFERROR(__xludf.DUMMYFUNCTION("""COMPUTED_VALUE"""),2.0)</f>
        <v>2</v>
      </c>
      <c r="D142">
        <f>IFERROR(__xludf.DUMMYFUNCTION("""COMPUTED_VALUE"""),3.0)</f>
        <v>3</v>
      </c>
      <c r="K142">
        <f t="shared" ref="K142:M142" si="304">if(B142=1,0,K141+1)</f>
        <v>0</v>
      </c>
      <c r="L142">
        <f t="shared" si="304"/>
        <v>6</v>
      </c>
      <c r="M142">
        <f t="shared" si="304"/>
        <v>1</v>
      </c>
      <c r="O142" s="8">
        <f>IFERROR(__xludf.DUMMYFUNCTION("""COMPUTED_VALUE"""),44010.0)</f>
        <v>44010</v>
      </c>
      <c r="P142">
        <f t="shared" ref="P142:R142" si="305">B142+P143</f>
        <v>266</v>
      </c>
      <c r="Q142">
        <f t="shared" si="305"/>
        <v>284</v>
      </c>
      <c r="R142">
        <f t="shared" si="305"/>
        <v>269</v>
      </c>
      <c r="S142">
        <f t="shared" si="265"/>
        <v>-3</v>
      </c>
      <c r="U142" s="8">
        <f>IFERROR(__xludf.DUMMYFUNCTION("""COMPUTED_VALUE"""),44010.0)</f>
        <v>44010</v>
      </c>
      <c r="V142">
        <f t="shared" si="9"/>
        <v>18</v>
      </c>
      <c r="W142">
        <f t="shared" si="10"/>
        <v>0</v>
      </c>
      <c r="X142">
        <f t="shared" si="11"/>
        <v>15</v>
      </c>
      <c r="Z142" s="8">
        <f>IFERROR(__xludf.DUMMYFUNCTION("""COMPUTED_VALUE"""),44010.0)</f>
        <v>44010</v>
      </c>
      <c r="AA142">
        <f t="shared" si="12"/>
        <v>0</v>
      </c>
      <c r="AB142">
        <f t="shared" si="13"/>
        <v>-18</v>
      </c>
      <c r="AC142">
        <f t="shared" si="14"/>
        <v>-3</v>
      </c>
    </row>
    <row r="143">
      <c r="A143" s="8">
        <f>IFERROR(__xludf.DUMMYFUNCTION("""COMPUTED_VALUE"""),44007.0)</f>
        <v>44007</v>
      </c>
      <c r="B143">
        <f>IFERROR(__xludf.DUMMYFUNCTION("""COMPUTED_VALUE"""),3.0)</f>
        <v>3</v>
      </c>
      <c r="C143">
        <f>IFERROR(__xludf.DUMMYFUNCTION("""COMPUTED_VALUE"""),1.0)</f>
        <v>1</v>
      </c>
      <c r="D143">
        <f>IFERROR(__xludf.DUMMYFUNCTION("""COMPUTED_VALUE"""),2.0)</f>
        <v>2</v>
      </c>
      <c r="K143">
        <f t="shared" ref="K143:M143" si="306">if(B143=1,0,K142+1)</f>
        <v>1</v>
      </c>
      <c r="L143">
        <f t="shared" si="306"/>
        <v>0</v>
      </c>
      <c r="M143">
        <f t="shared" si="306"/>
        <v>2</v>
      </c>
      <c r="O143" s="8">
        <f>IFERROR(__xludf.DUMMYFUNCTION("""COMPUTED_VALUE"""),44007.0)</f>
        <v>44007</v>
      </c>
      <c r="P143">
        <f t="shared" ref="P143:R143" si="307">B143+P144</f>
        <v>265</v>
      </c>
      <c r="Q143">
        <f t="shared" si="307"/>
        <v>282</v>
      </c>
      <c r="R143">
        <f t="shared" si="307"/>
        <v>266</v>
      </c>
      <c r="S143">
        <f t="shared" si="265"/>
        <v>-1</v>
      </c>
      <c r="U143" s="8">
        <f>IFERROR(__xludf.DUMMYFUNCTION("""COMPUTED_VALUE"""),44007.0)</f>
        <v>44007</v>
      </c>
      <c r="V143">
        <f t="shared" si="9"/>
        <v>17</v>
      </c>
      <c r="W143">
        <f t="shared" si="10"/>
        <v>0</v>
      </c>
      <c r="X143">
        <f t="shared" si="11"/>
        <v>16</v>
      </c>
      <c r="Z143" s="8">
        <f>IFERROR(__xludf.DUMMYFUNCTION("""COMPUTED_VALUE"""),44007.0)</f>
        <v>44007</v>
      </c>
      <c r="AA143">
        <f t="shared" si="12"/>
        <v>0</v>
      </c>
      <c r="AB143">
        <f t="shared" si="13"/>
        <v>-17</v>
      </c>
      <c r="AC143">
        <f t="shared" si="14"/>
        <v>-1</v>
      </c>
    </row>
    <row r="144">
      <c r="A144" s="8">
        <f>IFERROR(__xludf.DUMMYFUNCTION("""COMPUTED_VALUE"""),44003.0)</f>
        <v>44003</v>
      </c>
      <c r="B144">
        <f>IFERROR(__xludf.DUMMYFUNCTION("""COMPUTED_VALUE"""),3.0)</f>
        <v>3</v>
      </c>
      <c r="C144">
        <f>IFERROR(__xludf.DUMMYFUNCTION("""COMPUTED_VALUE"""),2.0)</f>
        <v>2</v>
      </c>
      <c r="D144">
        <f>IFERROR(__xludf.DUMMYFUNCTION("""COMPUTED_VALUE"""),1.0)</f>
        <v>1</v>
      </c>
      <c r="K144">
        <f t="shared" ref="K144:M144" si="308">if(B144=1,0,K143+1)</f>
        <v>2</v>
      </c>
      <c r="L144">
        <f t="shared" si="308"/>
        <v>1</v>
      </c>
      <c r="M144">
        <f t="shared" si="308"/>
        <v>0</v>
      </c>
      <c r="O144" s="8">
        <f>IFERROR(__xludf.DUMMYFUNCTION("""COMPUTED_VALUE"""),44003.0)</f>
        <v>44003</v>
      </c>
      <c r="P144">
        <f t="shared" ref="P144:R144" si="309">B144+P145</f>
        <v>262</v>
      </c>
      <c r="Q144">
        <f t="shared" si="309"/>
        <v>281</v>
      </c>
      <c r="R144">
        <f t="shared" si="309"/>
        <v>264</v>
      </c>
      <c r="S144">
        <f t="shared" si="265"/>
        <v>-2</v>
      </c>
      <c r="U144" s="8">
        <f>IFERROR(__xludf.DUMMYFUNCTION("""COMPUTED_VALUE"""),44003.0)</f>
        <v>44003</v>
      </c>
      <c r="V144">
        <f t="shared" si="9"/>
        <v>19</v>
      </c>
      <c r="W144">
        <f t="shared" si="10"/>
        <v>0</v>
      </c>
      <c r="X144">
        <f t="shared" si="11"/>
        <v>17</v>
      </c>
      <c r="Z144" s="8">
        <f>IFERROR(__xludf.DUMMYFUNCTION("""COMPUTED_VALUE"""),44003.0)</f>
        <v>44003</v>
      </c>
      <c r="AA144">
        <f t="shared" si="12"/>
        <v>0</v>
      </c>
      <c r="AB144">
        <f t="shared" si="13"/>
        <v>-19</v>
      </c>
      <c r="AC144">
        <f t="shared" si="14"/>
        <v>-2</v>
      </c>
    </row>
    <row r="145">
      <c r="A145" s="8">
        <f>IFERROR(__xludf.DUMMYFUNCTION("""COMPUTED_VALUE"""),44003.0)</f>
        <v>44003</v>
      </c>
      <c r="B145">
        <f>IFERROR(__xludf.DUMMYFUNCTION("""COMPUTED_VALUE"""),1.0)</f>
        <v>1</v>
      </c>
      <c r="C145">
        <f>IFERROR(__xludf.DUMMYFUNCTION("""COMPUTED_VALUE"""),2.0)</f>
        <v>2</v>
      </c>
      <c r="D145">
        <f>IFERROR(__xludf.DUMMYFUNCTION("""COMPUTED_VALUE"""),3.0)</f>
        <v>3</v>
      </c>
      <c r="K145">
        <f t="shared" ref="K145:M145" si="310">if(B145=1,0,K144+1)</f>
        <v>0</v>
      </c>
      <c r="L145">
        <f t="shared" si="310"/>
        <v>2</v>
      </c>
      <c r="M145">
        <f t="shared" si="310"/>
        <v>1</v>
      </c>
      <c r="O145" s="8">
        <f>IFERROR(__xludf.DUMMYFUNCTION("""COMPUTED_VALUE"""),44003.0)</f>
        <v>44003</v>
      </c>
      <c r="P145">
        <f t="shared" ref="P145:R145" si="311">B145+P146</f>
        <v>259</v>
      </c>
      <c r="Q145">
        <f t="shared" si="311"/>
        <v>279</v>
      </c>
      <c r="R145">
        <f t="shared" si="311"/>
        <v>263</v>
      </c>
      <c r="S145">
        <f t="shared" si="265"/>
        <v>-4</v>
      </c>
      <c r="U145" s="8">
        <f>IFERROR(__xludf.DUMMYFUNCTION("""COMPUTED_VALUE"""),44003.0)</f>
        <v>44003</v>
      </c>
      <c r="V145">
        <f t="shared" si="9"/>
        <v>20</v>
      </c>
      <c r="W145">
        <f t="shared" si="10"/>
        <v>0</v>
      </c>
      <c r="X145">
        <f t="shared" si="11"/>
        <v>16</v>
      </c>
      <c r="Z145" s="8">
        <f>IFERROR(__xludf.DUMMYFUNCTION("""COMPUTED_VALUE"""),44003.0)</f>
        <v>44003</v>
      </c>
      <c r="AA145">
        <f t="shared" si="12"/>
        <v>0</v>
      </c>
      <c r="AB145">
        <f t="shared" si="13"/>
        <v>-20</v>
      </c>
      <c r="AC145">
        <f t="shared" si="14"/>
        <v>-4</v>
      </c>
    </row>
    <row r="146">
      <c r="A146" s="8">
        <f>IFERROR(__xludf.DUMMYFUNCTION("""COMPUTED_VALUE"""),44001.0)</f>
        <v>44001</v>
      </c>
      <c r="B146">
        <f>IFERROR(__xludf.DUMMYFUNCTION("""COMPUTED_VALUE"""),2.0)</f>
        <v>2</v>
      </c>
      <c r="C146">
        <f>IFERROR(__xludf.DUMMYFUNCTION("""COMPUTED_VALUE"""),1.0)</f>
        <v>1</v>
      </c>
      <c r="D146">
        <f>IFERROR(__xludf.DUMMYFUNCTION("""COMPUTED_VALUE"""),3.0)</f>
        <v>3</v>
      </c>
      <c r="K146">
        <f t="shared" ref="K146:M146" si="312">if(B146=1,0,K145+1)</f>
        <v>1</v>
      </c>
      <c r="L146">
        <f t="shared" si="312"/>
        <v>0</v>
      </c>
      <c r="M146">
        <f t="shared" si="312"/>
        <v>2</v>
      </c>
      <c r="O146" s="8">
        <f>IFERROR(__xludf.DUMMYFUNCTION("""COMPUTED_VALUE"""),44001.0)</f>
        <v>44001</v>
      </c>
      <c r="P146">
        <f t="shared" ref="P146:R146" si="313">B146+P147</f>
        <v>258</v>
      </c>
      <c r="Q146">
        <f t="shared" si="313"/>
        <v>277</v>
      </c>
      <c r="R146">
        <f t="shared" si="313"/>
        <v>260</v>
      </c>
      <c r="S146">
        <f t="shared" si="265"/>
        <v>-2</v>
      </c>
      <c r="U146" s="8">
        <f>IFERROR(__xludf.DUMMYFUNCTION("""COMPUTED_VALUE"""),44001.0)</f>
        <v>44001</v>
      </c>
      <c r="V146">
        <f t="shared" si="9"/>
        <v>19</v>
      </c>
      <c r="W146">
        <f t="shared" si="10"/>
        <v>0</v>
      </c>
      <c r="X146">
        <f t="shared" si="11"/>
        <v>17</v>
      </c>
      <c r="Z146" s="8">
        <f>IFERROR(__xludf.DUMMYFUNCTION("""COMPUTED_VALUE"""),44001.0)</f>
        <v>44001</v>
      </c>
      <c r="AA146">
        <f t="shared" si="12"/>
        <v>0</v>
      </c>
      <c r="AB146">
        <f t="shared" si="13"/>
        <v>-19</v>
      </c>
      <c r="AC146">
        <f t="shared" si="14"/>
        <v>-2</v>
      </c>
    </row>
    <row r="147">
      <c r="A147" s="8">
        <f>IFERROR(__xludf.DUMMYFUNCTION("""COMPUTED_VALUE"""),43996.0)</f>
        <v>43996</v>
      </c>
      <c r="B147">
        <f>IFERROR(__xludf.DUMMYFUNCTION("""COMPUTED_VALUE"""),3.0)</f>
        <v>3</v>
      </c>
      <c r="C147">
        <f>IFERROR(__xludf.DUMMYFUNCTION("""COMPUTED_VALUE"""),1.0)</f>
        <v>1</v>
      </c>
      <c r="D147">
        <f>IFERROR(__xludf.DUMMYFUNCTION("""COMPUTED_VALUE"""),2.0)</f>
        <v>2</v>
      </c>
      <c r="K147">
        <f t="shared" ref="K147:M147" si="314">if(B147=1,0,K146+1)</f>
        <v>2</v>
      </c>
      <c r="L147">
        <f t="shared" si="314"/>
        <v>0</v>
      </c>
      <c r="M147">
        <f t="shared" si="314"/>
        <v>3</v>
      </c>
      <c r="O147" s="8">
        <f>IFERROR(__xludf.DUMMYFUNCTION("""COMPUTED_VALUE"""),43996.0)</f>
        <v>43996</v>
      </c>
      <c r="P147">
        <f t="shared" ref="P147:R147" si="315">B147+P148</f>
        <v>256</v>
      </c>
      <c r="Q147">
        <f t="shared" si="315"/>
        <v>276</v>
      </c>
      <c r="R147">
        <f t="shared" si="315"/>
        <v>257</v>
      </c>
      <c r="S147">
        <f t="shared" si="265"/>
        <v>-1</v>
      </c>
      <c r="U147" s="8">
        <f>IFERROR(__xludf.DUMMYFUNCTION("""COMPUTED_VALUE"""),43996.0)</f>
        <v>43996</v>
      </c>
      <c r="V147">
        <f t="shared" si="9"/>
        <v>20</v>
      </c>
      <c r="W147">
        <f t="shared" si="10"/>
        <v>0</v>
      </c>
      <c r="X147">
        <f t="shared" si="11"/>
        <v>19</v>
      </c>
      <c r="Z147" s="8">
        <f>IFERROR(__xludf.DUMMYFUNCTION("""COMPUTED_VALUE"""),43996.0)</f>
        <v>43996</v>
      </c>
      <c r="AA147">
        <f t="shared" si="12"/>
        <v>0</v>
      </c>
      <c r="AB147">
        <f t="shared" si="13"/>
        <v>-20</v>
      </c>
      <c r="AC147">
        <f t="shared" si="14"/>
        <v>-1</v>
      </c>
    </row>
    <row r="148">
      <c r="A148" s="8">
        <f>IFERROR(__xludf.DUMMYFUNCTION("""COMPUTED_VALUE"""),43993.0)</f>
        <v>43993</v>
      </c>
      <c r="B148">
        <f>IFERROR(__xludf.DUMMYFUNCTION("""COMPUTED_VALUE"""),2.0)</f>
        <v>2</v>
      </c>
      <c r="C148">
        <f>IFERROR(__xludf.DUMMYFUNCTION("""COMPUTED_VALUE"""),3.0)</f>
        <v>3</v>
      </c>
      <c r="D148">
        <f>IFERROR(__xludf.DUMMYFUNCTION("""COMPUTED_VALUE"""),1.0)</f>
        <v>1</v>
      </c>
      <c r="K148">
        <f t="shared" ref="K148:M148" si="316">if(B148=1,0,K147+1)</f>
        <v>3</v>
      </c>
      <c r="L148">
        <f t="shared" si="316"/>
        <v>1</v>
      </c>
      <c r="M148">
        <f t="shared" si="316"/>
        <v>0</v>
      </c>
      <c r="O148" s="8">
        <f>IFERROR(__xludf.DUMMYFUNCTION("""COMPUTED_VALUE"""),43993.0)</f>
        <v>43993</v>
      </c>
      <c r="P148">
        <f t="shared" ref="P148:R148" si="317">B148+P149</f>
        <v>253</v>
      </c>
      <c r="Q148">
        <f t="shared" si="317"/>
        <v>275</v>
      </c>
      <c r="R148">
        <f t="shared" si="317"/>
        <v>255</v>
      </c>
      <c r="S148">
        <f t="shared" si="265"/>
        <v>-2</v>
      </c>
      <c r="U148" s="8">
        <f>IFERROR(__xludf.DUMMYFUNCTION("""COMPUTED_VALUE"""),43993.0)</f>
        <v>43993</v>
      </c>
      <c r="V148">
        <f t="shared" si="9"/>
        <v>22</v>
      </c>
      <c r="W148">
        <f t="shared" si="10"/>
        <v>0</v>
      </c>
      <c r="X148">
        <f t="shared" si="11"/>
        <v>20</v>
      </c>
      <c r="Z148" s="8">
        <f>IFERROR(__xludf.DUMMYFUNCTION("""COMPUTED_VALUE"""),43993.0)</f>
        <v>43993</v>
      </c>
      <c r="AA148">
        <f t="shared" si="12"/>
        <v>0</v>
      </c>
      <c r="AB148">
        <f t="shared" si="13"/>
        <v>-22</v>
      </c>
      <c r="AC148">
        <f t="shared" si="14"/>
        <v>-2</v>
      </c>
    </row>
    <row r="149">
      <c r="A149" s="8">
        <f>IFERROR(__xludf.DUMMYFUNCTION("""COMPUTED_VALUE"""),43989.0)</f>
        <v>43989</v>
      </c>
      <c r="B149">
        <f>IFERROR(__xludf.DUMMYFUNCTION("""COMPUTED_VALUE"""),3.0)</f>
        <v>3</v>
      </c>
      <c r="C149">
        <f>IFERROR(__xludf.DUMMYFUNCTION("""COMPUTED_VALUE"""),1.0)</f>
        <v>1</v>
      </c>
      <c r="D149">
        <f>IFERROR(__xludf.DUMMYFUNCTION("""COMPUTED_VALUE"""),2.0)</f>
        <v>2</v>
      </c>
      <c r="K149">
        <f t="shared" ref="K149:M149" si="318">if(B149=1,0,K148+1)</f>
        <v>4</v>
      </c>
      <c r="L149">
        <f t="shared" si="318"/>
        <v>0</v>
      </c>
      <c r="M149">
        <f t="shared" si="318"/>
        <v>1</v>
      </c>
      <c r="O149" s="8">
        <f>IFERROR(__xludf.DUMMYFUNCTION("""COMPUTED_VALUE"""),43989.0)</f>
        <v>43989</v>
      </c>
      <c r="P149">
        <f t="shared" ref="P149:R149" si="319">B149+P150</f>
        <v>251</v>
      </c>
      <c r="Q149">
        <f t="shared" si="319"/>
        <v>272</v>
      </c>
      <c r="R149">
        <f t="shared" si="319"/>
        <v>254</v>
      </c>
      <c r="S149">
        <f t="shared" si="265"/>
        <v>-3</v>
      </c>
      <c r="U149" s="8">
        <f>IFERROR(__xludf.DUMMYFUNCTION("""COMPUTED_VALUE"""),43989.0)</f>
        <v>43989</v>
      </c>
      <c r="V149">
        <f t="shared" si="9"/>
        <v>21</v>
      </c>
      <c r="W149">
        <f t="shared" si="10"/>
        <v>0</v>
      </c>
      <c r="X149">
        <f t="shared" si="11"/>
        <v>18</v>
      </c>
      <c r="Z149" s="8">
        <f>IFERROR(__xludf.DUMMYFUNCTION("""COMPUTED_VALUE"""),43989.0)</f>
        <v>43989</v>
      </c>
      <c r="AA149">
        <f t="shared" si="12"/>
        <v>0</v>
      </c>
      <c r="AB149">
        <f t="shared" si="13"/>
        <v>-21</v>
      </c>
      <c r="AC149">
        <f t="shared" si="14"/>
        <v>-3</v>
      </c>
    </row>
    <row r="150">
      <c r="A150" s="8">
        <f>IFERROR(__xludf.DUMMYFUNCTION("""COMPUTED_VALUE"""),43986.0)</f>
        <v>43986</v>
      </c>
      <c r="B150">
        <f>IFERROR(__xludf.DUMMYFUNCTION("""COMPUTED_VALUE"""),3.0)</f>
        <v>3</v>
      </c>
      <c r="C150">
        <f>IFERROR(__xludf.DUMMYFUNCTION("""COMPUTED_VALUE"""),1.0)</f>
        <v>1</v>
      </c>
      <c r="D150">
        <f>IFERROR(__xludf.DUMMYFUNCTION("""COMPUTED_VALUE"""),2.0)</f>
        <v>2</v>
      </c>
      <c r="K150">
        <f t="shared" ref="K150:M150" si="320">if(B150=1,0,K149+1)</f>
        <v>5</v>
      </c>
      <c r="L150">
        <f t="shared" si="320"/>
        <v>0</v>
      </c>
      <c r="M150">
        <f t="shared" si="320"/>
        <v>2</v>
      </c>
      <c r="O150" s="8">
        <f>IFERROR(__xludf.DUMMYFUNCTION("""COMPUTED_VALUE"""),43986.0)</f>
        <v>43986</v>
      </c>
      <c r="P150">
        <f t="shared" ref="P150:R150" si="321">B150+P151</f>
        <v>248</v>
      </c>
      <c r="Q150">
        <f t="shared" si="321"/>
        <v>271</v>
      </c>
      <c r="R150">
        <f t="shared" si="321"/>
        <v>252</v>
      </c>
      <c r="S150">
        <f t="shared" si="265"/>
        <v>-4</v>
      </c>
      <c r="U150" s="8">
        <f>IFERROR(__xludf.DUMMYFUNCTION("""COMPUTED_VALUE"""),43986.0)</f>
        <v>43986</v>
      </c>
      <c r="V150">
        <f t="shared" si="9"/>
        <v>23</v>
      </c>
      <c r="W150">
        <f t="shared" si="10"/>
        <v>0</v>
      </c>
      <c r="X150">
        <f t="shared" si="11"/>
        <v>19</v>
      </c>
      <c r="Z150" s="8">
        <f>IFERROR(__xludf.DUMMYFUNCTION("""COMPUTED_VALUE"""),43986.0)</f>
        <v>43986</v>
      </c>
      <c r="AA150">
        <f t="shared" si="12"/>
        <v>0</v>
      </c>
      <c r="AB150">
        <f t="shared" si="13"/>
        <v>-23</v>
      </c>
      <c r="AC150">
        <f t="shared" si="14"/>
        <v>-4</v>
      </c>
    </row>
    <row r="151">
      <c r="A151" s="8">
        <f>IFERROR(__xludf.DUMMYFUNCTION("""COMPUTED_VALUE"""),43982.0)</f>
        <v>43982</v>
      </c>
      <c r="B151">
        <f>IFERROR(__xludf.DUMMYFUNCTION("""COMPUTED_VALUE"""),1.0)</f>
        <v>1</v>
      </c>
      <c r="C151">
        <f>IFERROR(__xludf.DUMMYFUNCTION("""COMPUTED_VALUE"""),3.0)</f>
        <v>3</v>
      </c>
      <c r="D151">
        <f>IFERROR(__xludf.DUMMYFUNCTION("""COMPUTED_VALUE"""),2.0)</f>
        <v>2</v>
      </c>
      <c r="K151">
        <f t="shared" ref="K151:M151" si="322">if(B151=1,0,K150+1)</f>
        <v>0</v>
      </c>
      <c r="L151">
        <f t="shared" si="322"/>
        <v>1</v>
      </c>
      <c r="M151">
        <f t="shared" si="322"/>
        <v>3</v>
      </c>
      <c r="O151" s="8">
        <f>IFERROR(__xludf.DUMMYFUNCTION("""COMPUTED_VALUE"""),43982.0)</f>
        <v>43982</v>
      </c>
      <c r="P151">
        <f t="shared" ref="P151:R151" si="323">B151+P152</f>
        <v>245</v>
      </c>
      <c r="Q151">
        <f t="shared" si="323"/>
        <v>270</v>
      </c>
      <c r="R151">
        <f t="shared" si="323"/>
        <v>250</v>
      </c>
      <c r="S151">
        <f t="shared" si="265"/>
        <v>-5</v>
      </c>
      <c r="U151" s="8">
        <f>IFERROR(__xludf.DUMMYFUNCTION("""COMPUTED_VALUE"""),43982.0)</f>
        <v>43982</v>
      </c>
      <c r="V151">
        <f t="shared" si="9"/>
        <v>25</v>
      </c>
      <c r="W151">
        <f t="shared" si="10"/>
        <v>0</v>
      </c>
      <c r="X151">
        <f t="shared" si="11"/>
        <v>20</v>
      </c>
      <c r="Z151" s="8">
        <f>IFERROR(__xludf.DUMMYFUNCTION("""COMPUTED_VALUE"""),43982.0)</f>
        <v>43982</v>
      </c>
      <c r="AA151">
        <f t="shared" si="12"/>
        <v>0</v>
      </c>
      <c r="AB151">
        <f t="shared" si="13"/>
        <v>-25</v>
      </c>
      <c r="AC151">
        <f t="shared" si="14"/>
        <v>-5</v>
      </c>
    </row>
    <row r="152">
      <c r="A152" s="8">
        <f>IFERROR(__xludf.DUMMYFUNCTION("""COMPUTED_VALUE"""),43975.0)</f>
        <v>43975</v>
      </c>
      <c r="B152">
        <f>IFERROR(__xludf.DUMMYFUNCTION("""COMPUTED_VALUE"""),2.0)</f>
        <v>2</v>
      </c>
      <c r="C152">
        <f>IFERROR(__xludf.DUMMYFUNCTION("""COMPUTED_VALUE"""),1.0)</f>
        <v>1</v>
      </c>
      <c r="D152">
        <f>IFERROR(__xludf.DUMMYFUNCTION("""COMPUTED_VALUE"""),3.0)</f>
        <v>3</v>
      </c>
      <c r="K152">
        <f t="shared" ref="K152:M152" si="324">if(B152=1,0,K151+1)</f>
        <v>1</v>
      </c>
      <c r="L152">
        <f t="shared" si="324"/>
        <v>0</v>
      </c>
      <c r="M152">
        <f t="shared" si="324"/>
        <v>4</v>
      </c>
      <c r="O152" s="8">
        <f>IFERROR(__xludf.DUMMYFUNCTION("""COMPUTED_VALUE"""),43975.0)</f>
        <v>43975</v>
      </c>
      <c r="P152">
        <f t="shared" ref="P152:R152" si="325">B152+P153</f>
        <v>244</v>
      </c>
      <c r="Q152">
        <f t="shared" si="325"/>
        <v>267</v>
      </c>
      <c r="R152">
        <f t="shared" si="325"/>
        <v>248</v>
      </c>
      <c r="S152">
        <f t="shared" si="265"/>
        <v>-4</v>
      </c>
      <c r="U152" s="8">
        <f>IFERROR(__xludf.DUMMYFUNCTION("""COMPUTED_VALUE"""),43975.0)</f>
        <v>43975</v>
      </c>
      <c r="V152">
        <f t="shared" si="9"/>
        <v>23</v>
      </c>
      <c r="W152">
        <f t="shared" si="10"/>
        <v>0</v>
      </c>
      <c r="X152">
        <f t="shared" si="11"/>
        <v>19</v>
      </c>
      <c r="Z152" s="8">
        <f>IFERROR(__xludf.DUMMYFUNCTION("""COMPUTED_VALUE"""),43975.0)</f>
        <v>43975</v>
      </c>
      <c r="AA152">
        <f t="shared" si="12"/>
        <v>0</v>
      </c>
      <c r="AB152">
        <f t="shared" si="13"/>
        <v>-23</v>
      </c>
      <c r="AC152">
        <f t="shared" si="14"/>
        <v>-4</v>
      </c>
    </row>
    <row r="153">
      <c r="A153" s="8">
        <f>IFERROR(__xludf.DUMMYFUNCTION("""COMPUTED_VALUE"""),43974.0)</f>
        <v>43974</v>
      </c>
      <c r="B153">
        <f>IFERROR(__xludf.DUMMYFUNCTION("""COMPUTED_VALUE"""),3.0)</f>
        <v>3</v>
      </c>
      <c r="C153">
        <f>IFERROR(__xludf.DUMMYFUNCTION("""COMPUTED_VALUE"""),1.0)</f>
        <v>1</v>
      </c>
      <c r="D153">
        <f>IFERROR(__xludf.DUMMYFUNCTION("""COMPUTED_VALUE"""),2.0)</f>
        <v>2</v>
      </c>
      <c r="K153">
        <f t="shared" ref="K153:M153" si="326">if(B153=1,0,K152+1)</f>
        <v>2</v>
      </c>
      <c r="L153">
        <f t="shared" si="326"/>
        <v>0</v>
      </c>
      <c r="M153">
        <f t="shared" si="326"/>
        <v>5</v>
      </c>
      <c r="O153" s="8">
        <f>IFERROR(__xludf.DUMMYFUNCTION("""COMPUTED_VALUE"""),43974.0)</f>
        <v>43974</v>
      </c>
      <c r="P153">
        <f t="shared" ref="P153:R153" si="327">B153+P154</f>
        <v>242</v>
      </c>
      <c r="Q153">
        <f t="shared" si="327"/>
        <v>266</v>
      </c>
      <c r="R153">
        <f t="shared" si="327"/>
        <v>245</v>
      </c>
      <c r="S153">
        <f t="shared" si="265"/>
        <v>-3</v>
      </c>
      <c r="U153" s="8">
        <f>IFERROR(__xludf.DUMMYFUNCTION("""COMPUTED_VALUE"""),43974.0)</f>
        <v>43974</v>
      </c>
      <c r="V153">
        <f t="shared" si="9"/>
        <v>24</v>
      </c>
      <c r="W153">
        <f t="shared" si="10"/>
        <v>0</v>
      </c>
      <c r="X153">
        <f t="shared" si="11"/>
        <v>21</v>
      </c>
      <c r="Z153" s="8">
        <f>IFERROR(__xludf.DUMMYFUNCTION("""COMPUTED_VALUE"""),43974.0)</f>
        <v>43974</v>
      </c>
      <c r="AA153">
        <f t="shared" si="12"/>
        <v>0</v>
      </c>
      <c r="AB153">
        <f t="shared" si="13"/>
        <v>-24</v>
      </c>
      <c r="AC153">
        <f t="shared" si="14"/>
        <v>-3</v>
      </c>
    </row>
    <row r="154">
      <c r="A154" s="8">
        <f>IFERROR(__xludf.DUMMYFUNCTION("""COMPUTED_VALUE"""),43968.0)</f>
        <v>43968</v>
      </c>
      <c r="B154">
        <f>IFERROR(__xludf.DUMMYFUNCTION("""COMPUTED_VALUE"""),1.0)</f>
        <v>1</v>
      </c>
      <c r="C154">
        <f>IFERROR(__xludf.DUMMYFUNCTION("""COMPUTED_VALUE"""),2.0)</f>
        <v>2</v>
      </c>
      <c r="D154">
        <f>IFERROR(__xludf.DUMMYFUNCTION("""COMPUTED_VALUE"""),3.0)</f>
        <v>3</v>
      </c>
      <c r="K154">
        <f t="shared" ref="K154:M154" si="328">if(B154=1,0,K153+1)</f>
        <v>0</v>
      </c>
      <c r="L154">
        <f t="shared" si="328"/>
        <v>1</v>
      </c>
      <c r="M154">
        <f t="shared" si="328"/>
        <v>6</v>
      </c>
      <c r="O154" s="8">
        <f>IFERROR(__xludf.DUMMYFUNCTION("""COMPUTED_VALUE"""),43968.0)</f>
        <v>43968</v>
      </c>
      <c r="P154">
        <f t="shared" ref="P154:R154" si="329">B154+P155</f>
        <v>239</v>
      </c>
      <c r="Q154">
        <f t="shared" si="329"/>
        <v>265</v>
      </c>
      <c r="R154">
        <f t="shared" si="329"/>
        <v>243</v>
      </c>
      <c r="S154">
        <f t="shared" si="265"/>
        <v>-4</v>
      </c>
      <c r="U154" s="8">
        <f>IFERROR(__xludf.DUMMYFUNCTION("""COMPUTED_VALUE"""),43968.0)</f>
        <v>43968</v>
      </c>
      <c r="V154">
        <f t="shared" si="9"/>
        <v>26</v>
      </c>
      <c r="W154">
        <f t="shared" si="10"/>
        <v>0</v>
      </c>
      <c r="X154">
        <f t="shared" si="11"/>
        <v>22</v>
      </c>
      <c r="Z154" s="8">
        <f>IFERROR(__xludf.DUMMYFUNCTION("""COMPUTED_VALUE"""),43968.0)</f>
        <v>43968</v>
      </c>
      <c r="AA154">
        <f t="shared" si="12"/>
        <v>0</v>
      </c>
      <c r="AB154">
        <f t="shared" si="13"/>
        <v>-26</v>
      </c>
      <c r="AC154">
        <f t="shared" si="14"/>
        <v>-4</v>
      </c>
    </row>
    <row r="155">
      <c r="A155" s="8">
        <f>IFERROR(__xludf.DUMMYFUNCTION("""COMPUTED_VALUE"""),43963.0)</f>
        <v>43963</v>
      </c>
      <c r="B155">
        <f>IFERROR(__xludf.DUMMYFUNCTION("""COMPUTED_VALUE"""),2.0)</f>
        <v>2</v>
      </c>
      <c r="C155">
        <f>IFERROR(__xludf.DUMMYFUNCTION("""COMPUTED_VALUE"""),1.0)</f>
        <v>1</v>
      </c>
      <c r="D155">
        <f>IFERROR(__xludf.DUMMYFUNCTION("""COMPUTED_VALUE"""),3.0)</f>
        <v>3</v>
      </c>
      <c r="K155">
        <f t="shared" ref="K155:M155" si="330">if(B155=1,0,K154+1)</f>
        <v>1</v>
      </c>
      <c r="L155">
        <f t="shared" si="330"/>
        <v>0</v>
      </c>
      <c r="M155">
        <f t="shared" si="330"/>
        <v>7</v>
      </c>
      <c r="O155" s="8">
        <f>IFERROR(__xludf.DUMMYFUNCTION("""COMPUTED_VALUE"""),43963.0)</f>
        <v>43963</v>
      </c>
      <c r="P155">
        <f t="shared" ref="P155:R155" si="331">B155+P156</f>
        <v>238</v>
      </c>
      <c r="Q155">
        <f t="shared" si="331"/>
        <v>263</v>
      </c>
      <c r="R155">
        <f t="shared" si="331"/>
        <v>240</v>
      </c>
      <c r="S155">
        <f t="shared" si="265"/>
        <v>-2</v>
      </c>
      <c r="U155" s="8">
        <f>IFERROR(__xludf.DUMMYFUNCTION("""COMPUTED_VALUE"""),43963.0)</f>
        <v>43963</v>
      </c>
      <c r="V155">
        <f t="shared" si="9"/>
        <v>25</v>
      </c>
      <c r="W155">
        <f t="shared" si="10"/>
        <v>0</v>
      </c>
      <c r="X155">
        <f t="shared" si="11"/>
        <v>23</v>
      </c>
      <c r="Z155" s="8">
        <f>IFERROR(__xludf.DUMMYFUNCTION("""COMPUTED_VALUE"""),43963.0)</f>
        <v>43963</v>
      </c>
      <c r="AA155">
        <f t="shared" si="12"/>
        <v>0</v>
      </c>
      <c r="AB155">
        <f t="shared" si="13"/>
        <v>-25</v>
      </c>
      <c r="AC155">
        <f t="shared" si="14"/>
        <v>-2</v>
      </c>
    </row>
    <row r="156">
      <c r="A156" s="8">
        <f>IFERROR(__xludf.DUMMYFUNCTION("""COMPUTED_VALUE"""),43961.0)</f>
        <v>43961</v>
      </c>
      <c r="B156">
        <f>IFERROR(__xludf.DUMMYFUNCTION("""COMPUTED_VALUE"""),1.0)</f>
        <v>1</v>
      </c>
      <c r="C156">
        <f>IFERROR(__xludf.DUMMYFUNCTION("""COMPUTED_VALUE"""),2.0)</f>
        <v>2</v>
      </c>
      <c r="D156">
        <f>IFERROR(__xludf.DUMMYFUNCTION("""COMPUTED_VALUE"""),3.0)</f>
        <v>3</v>
      </c>
      <c r="K156">
        <f t="shared" ref="K156:M156" si="332">if(B156=1,0,K155+1)</f>
        <v>0</v>
      </c>
      <c r="L156">
        <f t="shared" si="332"/>
        <v>1</v>
      </c>
      <c r="M156">
        <f t="shared" si="332"/>
        <v>8</v>
      </c>
      <c r="O156" s="8">
        <f>IFERROR(__xludf.DUMMYFUNCTION("""COMPUTED_VALUE"""),43961.0)</f>
        <v>43961</v>
      </c>
      <c r="P156">
        <f t="shared" ref="P156:R156" si="333">B156+P157</f>
        <v>236</v>
      </c>
      <c r="Q156">
        <f t="shared" si="333"/>
        <v>262</v>
      </c>
      <c r="R156">
        <f t="shared" si="333"/>
        <v>237</v>
      </c>
      <c r="S156">
        <f t="shared" si="265"/>
        <v>-1</v>
      </c>
      <c r="U156" s="8">
        <f>IFERROR(__xludf.DUMMYFUNCTION("""COMPUTED_VALUE"""),43961.0)</f>
        <v>43961</v>
      </c>
      <c r="V156">
        <f t="shared" si="9"/>
        <v>26</v>
      </c>
      <c r="W156">
        <f t="shared" si="10"/>
        <v>0</v>
      </c>
      <c r="X156">
        <f t="shared" si="11"/>
        <v>25</v>
      </c>
      <c r="Z156" s="8">
        <f>IFERROR(__xludf.DUMMYFUNCTION("""COMPUTED_VALUE"""),43961.0)</f>
        <v>43961</v>
      </c>
      <c r="AA156">
        <f t="shared" si="12"/>
        <v>0</v>
      </c>
      <c r="AB156">
        <f t="shared" si="13"/>
        <v>-26</v>
      </c>
      <c r="AC156">
        <f t="shared" si="14"/>
        <v>-1</v>
      </c>
    </row>
    <row r="157">
      <c r="A157" s="8">
        <f>IFERROR(__xludf.DUMMYFUNCTION("""COMPUTED_VALUE"""),43958.0)</f>
        <v>43958</v>
      </c>
      <c r="B157">
        <f>IFERROR(__xludf.DUMMYFUNCTION("""COMPUTED_VALUE"""),1.0)</f>
        <v>1</v>
      </c>
      <c r="C157">
        <f>IFERROR(__xludf.DUMMYFUNCTION("""COMPUTED_VALUE"""),3.0)</f>
        <v>3</v>
      </c>
      <c r="D157">
        <f>IFERROR(__xludf.DUMMYFUNCTION("""COMPUTED_VALUE"""),2.0)</f>
        <v>2</v>
      </c>
      <c r="K157">
        <f t="shared" ref="K157:M157" si="334">if(B157=1,0,K156+1)</f>
        <v>0</v>
      </c>
      <c r="L157">
        <f t="shared" si="334"/>
        <v>2</v>
      </c>
      <c r="M157">
        <f t="shared" si="334"/>
        <v>9</v>
      </c>
      <c r="O157" s="8">
        <f>IFERROR(__xludf.DUMMYFUNCTION("""COMPUTED_VALUE"""),43958.0)</f>
        <v>43958</v>
      </c>
      <c r="P157">
        <f t="shared" ref="P157:R157" si="335">B157+P158</f>
        <v>235</v>
      </c>
      <c r="Q157">
        <f t="shared" si="335"/>
        <v>260</v>
      </c>
      <c r="R157">
        <f t="shared" si="335"/>
        <v>234</v>
      </c>
      <c r="S157">
        <f t="shared" si="265"/>
        <v>-1</v>
      </c>
      <c r="U157" s="8">
        <f>IFERROR(__xludf.DUMMYFUNCTION("""COMPUTED_VALUE"""),43958.0)</f>
        <v>43958</v>
      </c>
      <c r="V157">
        <f t="shared" si="9"/>
        <v>25</v>
      </c>
      <c r="W157">
        <f t="shared" si="10"/>
        <v>0</v>
      </c>
      <c r="X157">
        <f t="shared" si="11"/>
        <v>26</v>
      </c>
      <c r="Z157" s="8">
        <f>IFERROR(__xludf.DUMMYFUNCTION("""COMPUTED_VALUE"""),43958.0)</f>
        <v>43958</v>
      </c>
      <c r="AA157">
        <f t="shared" si="12"/>
        <v>-1</v>
      </c>
      <c r="AB157">
        <f t="shared" si="13"/>
        <v>-26</v>
      </c>
      <c r="AC157">
        <f t="shared" si="14"/>
        <v>0</v>
      </c>
    </row>
    <row r="158">
      <c r="A158" s="8">
        <f>IFERROR(__xludf.DUMMYFUNCTION("""COMPUTED_VALUE"""),43954.0)</f>
        <v>43954</v>
      </c>
      <c r="B158">
        <f>IFERROR(__xludf.DUMMYFUNCTION("""COMPUTED_VALUE"""),4.0)</f>
        <v>4</v>
      </c>
      <c r="C158">
        <f>IFERROR(__xludf.DUMMYFUNCTION("""COMPUTED_VALUE"""),3.0)</f>
        <v>3</v>
      </c>
      <c r="D158">
        <f>IFERROR(__xludf.DUMMYFUNCTION("""COMPUTED_VALUE"""),2.0)</f>
        <v>2</v>
      </c>
      <c r="K158">
        <f t="shared" ref="K158:M158" si="336">if(B158=1,0,K157+1)</f>
        <v>1</v>
      </c>
      <c r="L158">
        <f t="shared" si="336"/>
        <v>3</v>
      </c>
      <c r="M158">
        <f t="shared" si="336"/>
        <v>10</v>
      </c>
      <c r="O158" s="8">
        <f>IFERROR(__xludf.DUMMYFUNCTION("""COMPUTED_VALUE"""),43954.0)</f>
        <v>43954</v>
      </c>
      <c r="P158">
        <f t="shared" ref="P158:R158" si="337">B158+P159</f>
        <v>234</v>
      </c>
      <c r="Q158">
        <f t="shared" si="337"/>
        <v>257</v>
      </c>
      <c r="R158">
        <f t="shared" si="337"/>
        <v>232</v>
      </c>
      <c r="S158">
        <f t="shared" si="265"/>
        <v>-2</v>
      </c>
      <c r="U158" s="8">
        <f>IFERROR(__xludf.DUMMYFUNCTION("""COMPUTED_VALUE"""),43954.0)</f>
        <v>43954</v>
      </c>
      <c r="V158">
        <f t="shared" si="9"/>
        <v>23</v>
      </c>
      <c r="W158">
        <f t="shared" si="10"/>
        <v>0</v>
      </c>
      <c r="X158">
        <f t="shared" si="11"/>
        <v>25</v>
      </c>
      <c r="Z158" s="8">
        <f>IFERROR(__xludf.DUMMYFUNCTION("""COMPUTED_VALUE"""),43954.0)</f>
        <v>43954</v>
      </c>
      <c r="AA158">
        <f t="shared" si="12"/>
        <v>-2</v>
      </c>
      <c r="AB158">
        <f t="shared" si="13"/>
        <v>-25</v>
      </c>
      <c r="AC158">
        <f t="shared" si="14"/>
        <v>0</v>
      </c>
    </row>
    <row r="159">
      <c r="A159" s="8">
        <f>IFERROR(__xludf.DUMMYFUNCTION("""COMPUTED_VALUE"""),43951.0)</f>
        <v>43951</v>
      </c>
      <c r="B159">
        <f>IFERROR(__xludf.DUMMYFUNCTION("""COMPUTED_VALUE"""),1.0)</f>
        <v>1</v>
      </c>
      <c r="C159">
        <f>IFERROR(__xludf.DUMMYFUNCTION("""COMPUTED_VALUE"""),3.0)</f>
        <v>3</v>
      </c>
      <c r="D159">
        <f>IFERROR(__xludf.DUMMYFUNCTION("""COMPUTED_VALUE"""),2.0)</f>
        <v>2</v>
      </c>
      <c r="K159">
        <f t="shared" ref="K159:M159" si="338">if(B159=1,0,K158+1)</f>
        <v>0</v>
      </c>
      <c r="L159">
        <f t="shared" si="338"/>
        <v>4</v>
      </c>
      <c r="M159">
        <f t="shared" si="338"/>
        <v>11</v>
      </c>
      <c r="O159" s="8">
        <f>IFERROR(__xludf.DUMMYFUNCTION("""COMPUTED_VALUE"""),43951.0)</f>
        <v>43951</v>
      </c>
      <c r="P159">
        <f t="shared" ref="P159:R159" si="339">B159+P160</f>
        <v>230</v>
      </c>
      <c r="Q159">
        <f t="shared" si="339"/>
        <v>254</v>
      </c>
      <c r="R159">
        <f t="shared" si="339"/>
        <v>230</v>
      </c>
      <c r="S159">
        <f t="shared" si="265"/>
        <v>-24</v>
      </c>
      <c r="U159" s="8">
        <f>IFERROR(__xludf.DUMMYFUNCTION("""COMPUTED_VALUE"""),43951.0)</f>
        <v>43951</v>
      </c>
      <c r="V159">
        <f t="shared" si="9"/>
        <v>24</v>
      </c>
      <c r="W159">
        <f t="shared" si="10"/>
        <v>0</v>
      </c>
      <c r="X159">
        <f t="shared" si="11"/>
        <v>24</v>
      </c>
      <c r="Z159" s="8">
        <f>IFERROR(__xludf.DUMMYFUNCTION("""COMPUTED_VALUE"""),43951.0)</f>
        <v>43951</v>
      </c>
      <c r="AA159">
        <f t="shared" si="12"/>
        <v>0</v>
      </c>
      <c r="AB159">
        <f t="shared" si="13"/>
        <v>-24</v>
      </c>
      <c r="AC159">
        <f t="shared" si="14"/>
        <v>0</v>
      </c>
    </row>
    <row r="160">
      <c r="A160" s="8">
        <f>IFERROR(__xludf.DUMMYFUNCTION("""COMPUTED_VALUE"""),43949.0)</f>
        <v>43949</v>
      </c>
      <c r="B160">
        <f>IFERROR(__xludf.DUMMYFUNCTION("""COMPUTED_VALUE"""),2.0)</f>
        <v>2</v>
      </c>
      <c r="C160">
        <f>IFERROR(__xludf.DUMMYFUNCTION("""COMPUTED_VALUE"""),3.0)</f>
        <v>3</v>
      </c>
      <c r="D160">
        <f>IFERROR(__xludf.DUMMYFUNCTION("""COMPUTED_VALUE"""),1.0)</f>
        <v>1</v>
      </c>
      <c r="K160">
        <f t="shared" ref="K160:M160" si="340">if(B160=1,0,K159+1)</f>
        <v>1</v>
      </c>
      <c r="L160">
        <f t="shared" si="340"/>
        <v>5</v>
      </c>
      <c r="M160">
        <f t="shared" si="340"/>
        <v>0</v>
      </c>
      <c r="O160" s="8">
        <f>IFERROR(__xludf.DUMMYFUNCTION("""COMPUTED_VALUE"""),43949.0)</f>
        <v>43949</v>
      </c>
      <c r="P160">
        <f t="shared" ref="P160:R160" si="341">B160+P161</f>
        <v>229</v>
      </c>
      <c r="Q160">
        <f t="shared" si="341"/>
        <v>251</v>
      </c>
      <c r="R160">
        <f t="shared" si="341"/>
        <v>228</v>
      </c>
      <c r="S160">
        <f t="shared" si="265"/>
        <v>-1</v>
      </c>
      <c r="U160" s="8">
        <f>IFERROR(__xludf.DUMMYFUNCTION("""COMPUTED_VALUE"""),43949.0)</f>
        <v>43949</v>
      </c>
      <c r="V160">
        <f t="shared" si="9"/>
        <v>22</v>
      </c>
      <c r="W160">
        <f t="shared" si="10"/>
        <v>0</v>
      </c>
      <c r="X160">
        <f t="shared" si="11"/>
        <v>23</v>
      </c>
      <c r="Z160" s="8">
        <f>IFERROR(__xludf.DUMMYFUNCTION("""COMPUTED_VALUE"""),43949.0)</f>
        <v>43949</v>
      </c>
      <c r="AA160">
        <f t="shared" si="12"/>
        <v>-1</v>
      </c>
      <c r="AB160">
        <f t="shared" si="13"/>
        <v>-23</v>
      </c>
      <c r="AC160">
        <f t="shared" si="14"/>
        <v>0</v>
      </c>
    </row>
    <row r="161">
      <c r="A161" s="8">
        <f>IFERROR(__xludf.DUMMYFUNCTION("""COMPUTED_VALUE"""),43947.0)</f>
        <v>43947</v>
      </c>
      <c r="B161">
        <f>IFERROR(__xludf.DUMMYFUNCTION("""COMPUTED_VALUE"""),3.0)</f>
        <v>3</v>
      </c>
      <c r="C161">
        <f>IFERROR(__xludf.DUMMYFUNCTION("""COMPUTED_VALUE"""),2.0)</f>
        <v>2</v>
      </c>
      <c r="D161">
        <f>IFERROR(__xludf.DUMMYFUNCTION("""COMPUTED_VALUE"""),1.0)</f>
        <v>1</v>
      </c>
      <c r="K161">
        <f t="shared" ref="K161:M161" si="342">if(B161=1,0,K160+1)</f>
        <v>2</v>
      </c>
      <c r="L161">
        <f t="shared" si="342"/>
        <v>6</v>
      </c>
      <c r="M161">
        <f t="shared" si="342"/>
        <v>0</v>
      </c>
      <c r="O161" s="8">
        <f>IFERROR(__xludf.DUMMYFUNCTION("""COMPUTED_VALUE"""),43947.0)</f>
        <v>43947</v>
      </c>
      <c r="P161">
        <f t="shared" ref="P161:R161" si="343">B161+P162</f>
        <v>227</v>
      </c>
      <c r="Q161">
        <f t="shared" si="343"/>
        <v>248</v>
      </c>
      <c r="R161">
        <f t="shared" si="343"/>
        <v>227</v>
      </c>
      <c r="S161">
        <f t="shared" si="265"/>
        <v>-21</v>
      </c>
      <c r="U161" s="8">
        <f>IFERROR(__xludf.DUMMYFUNCTION("""COMPUTED_VALUE"""),43947.0)</f>
        <v>43947</v>
      </c>
      <c r="V161">
        <f t="shared" si="9"/>
        <v>21</v>
      </c>
      <c r="W161">
        <f t="shared" si="10"/>
        <v>0</v>
      </c>
      <c r="X161">
        <f t="shared" si="11"/>
        <v>21</v>
      </c>
      <c r="Z161" s="8">
        <f>IFERROR(__xludf.DUMMYFUNCTION("""COMPUTED_VALUE"""),43947.0)</f>
        <v>43947</v>
      </c>
      <c r="AA161">
        <f t="shared" si="12"/>
        <v>0</v>
      </c>
      <c r="AB161">
        <f t="shared" si="13"/>
        <v>-21</v>
      </c>
      <c r="AC161">
        <f t="shared" si="14"/>
        <v>0</v>
      </c>
    </row>
    <row r="162">
      <c r="A162" s="8">
        <f>IFERROR(__xludf.DUMMYFUNCTION("""COMPUTED_VALUE"""),43947.0)</f>
        <v>43947</v>
      </c>
      <c r="B162">
        <f>IFERROR(__xludf.DUMMYFUNCTION("""COMPUTED_VALUE"""),2.0)</f>
        <v>2</v>
      </c>
      <c r="C162">
        <f>IFERROR(__xludf.DUMMYFUNCTION("""COMPUTED_VALUE"""),3.0)</f>
        <v>3</v>
      </c>
      <c r="D162">
        <f>IFERROR(__xludf.DUMMYFUNCTION("""COMPUTED_VALUE"""),1.0)</f>
        <v>1</v>
      </c>
      <c r="K162">
        <f t="shared" ref="K162:M162" si="344">if(B162=1,0,K161+1)</f>
        <v>3</v>
      </c>
      <c r="L162">
        <f t="shared" si="344"/>
        <v>7</v>
      </c>
      <c r="M162">
        <f t="shared" si="344"/>
        <v>0</v>
      </c>
      <c r="O162" s="8">
        <f>IFERROR(__xludf.DUMMYFUNCTION("""COMPUTED_VALUE"""),43947.0)</f>
        <v>43947</v>
      </c>
      <c r="P162">
        <f t="shared" ref="P162:R162" si="345">B162+P163</f>
        <v>224</v>
      </c>
      <c r="Q162">
        <f t="shared" si="345"/>
        <v>246</v>
      </c>
      <c r="R162">
        <f t="shared" si="345"/>
        <v>226</v>
      </c>
      <c r="S162">
        <f t="shared" si="265"/>
        <v>-2</v>
      </c>
      <c r="U162" s="8">
        <f>IFERROR(__xludf.DUMMYFUNCTION("""COMPUTED_VALUE"""),43947.0)</f>
        <v>43947</v>
      </c>
      <c r="V162">
        <f t="shared" si="9"/>
        <v>22</v>
      </c>
      <c r="W162">
        <f t="shared" si="10"/>
        <v>0</v>
      </c>
      <c r="X162">
        <f t="shared" si="11"/>
        <v>20</v>
      </c>
      <c r="Z162" s="8">
        <f>IFERROR(__xludf.DUMMYFUNCTION("""COMPUTED_VALUE"""),43947.0)</f>
        <v>43947</v>
      </c>
      <c r="AA162">
        <f t="shared" si="12"/>
        <v>0</v>
      </c>
      <c r="AB162">
        <f t="shared" si="13"/>
        <v>-22</v>
      </c>
      <c r="AC162">
        <f t="shared" si="14"/>
        <v>-2</v>
      </c>
    </row>
    <row r="163">
      <c r="A163" s="8">
        <f>IFERROR(__xludf.DUMMYFUNCTION("""COMPUTED_VALUE"""),43944.0)</f>
        <v>43944</v>
      </c>
      <c r="B163">
        <f>IFERROR(__xludf.DUMMYFUNCTION("""COMPUTED_VALUE"""),3.0)</f>
        <v>3</v>
      </c>
      <c r="C163">
        <f>IFERROR(__xludf.DUMMYFUNCTION("""COMPUTED_VALUE"""),2.0)</f>
        <v>2</v>
      </c>
      <c r="D163">
        <f>IFERROR(__xludf.DUMMYFUNCTION("""COMPUTED_VALUE"""),1.0)</f>
        <v>1</v>
      </c>
      <c r="K163">
        <f t="shared" ref="K163:M163" si="346">if(B163=1,0,K162+1)</f>
        <v>4</v>
      </c>
      <c r="L163">
        <f t="shared" si="346"/>
        <v>8</v>
      </c>
      <c r="M163">
        <f t="shared" si="346"/>
        <v>0</v>
      </c>
      <c r="O163" s="8">
        <f>IFERROR(__xludf.DUMMYFUNCTION("""COMPUTED_VALUE"""),43944.0)</f>
        <v>43944</v>
      </c>
      <c r="P163">
        <f t="shared" ref="P163:R163" si="347">B163+P164</f>
        <v>222</v>
      </c>
      <c r="Q163">
        <f t="shared" si="347"/>
        <v>243</v>
      </c>
      <c r="R163">
        <f t="shared" si="347"/>
        <v>225</v>
      </c>
      <c r="S163">
        <f t="shared" si="265"/>
        <v>-3</v>
      </c>
      <c r="U163" s="8">
        <f>IFERROR(__xludf.DUMMYFUNCTION("""COMPUTED_VALUE"""),43944.0)</f>
        <v>43944</v>
      </c>
      <c r="V163">
        <f t="shared" si="9"/>
        <v>21</v>
      </c>
      <c r="W163">
        <f t="shared" si="10"/>
        <v>0</v>
      </c>
      <c r="X163">
        <f t="shared" si="11"/>
        <v>18</v>
      </c>
      <c r="Z163" s="8">
        <f>IFERROR(__xludf.DUMMYFUNCTION("""COMPUTED_VALUE"""),43944.0)</f>
        <v>43944</v>
      </c>
      <c r="AA163">
        <f t="shared" si="12"/>
        <v>0</v>
      </c>
      <c r="AB163">
        <f t="shared" si="13"/>
        <v>-21</v>
      </c>
      <c r="AC163">
        <f t="shared" si="14"/>
        <v>-3</v>
      </c>
    </row>
    <row r="164">
      <c r="A164" s="8">
        <f>IFERROR(__xludf.DUMMYFUNCTION("""COMPUTED_VALUE"""),43942.0)</f>
        <v>43942</v>
      </c>
      <c r="B164">
        <f>IFERROR(__xludf.DUMMYFUNCTION("""COMPUTED_VALUE"""),2.0)</f>
        <v>2</v>
      </c>
      <c r="C164">
        <f>IFERROR(__xludf.DUMMYFUNCTION("""COMPUTED_VALUE"""),1.0)</f>
        <v>1</v>
      </c>
      <c r="D164">
        <f>IFERROR(__xludf.DUMMYFUNCTION("""COMPUTED_VALUE"""),3.0)</f>
        <v>3</v>
      </c>
      <c r="K164">
        <f t="shared" ref="K164:M164" si="348">if(B164=1,0,K163+1)</f>
        <v>5</v>
      </c>
      <c r="L164">
        <f t="shared" si="348"/>
        <v>0</v>
      </c>
      <c r="M164">
        <f t="shared" si="348"/>
        <v>1</v>
      </c>
      <c r="O164" s="8">
        <f>IFERROR(__xludf.DUMMYFUNCTION("""COMPUTED_VALUE"""),43942.0)</f>
        <v>43942</v>
      </c>
      <c r="P164">
        <f t="shared" ref="P164:R164" si="349">B164+P165</f>
        <v>219</v>
      </c>
      <c r="Q164">
        <f t="shared" si="349"/>
        <v>241</v>
      </c>
      <c r="R164">
        <f t="shared" si="349"/>
        <v>224</v>
      </c>
      <c r="S164">
        <f t="shared" si="265"/>
        <v>-5</v>
      </c>
      <c r="U164" s="8">
        <f>IFERROR(__xludf.DUMMYFUNCTION("""COMPUTED_VALUE"""),43942.0)</f>
        <v>43942</v>
      </c>
      <c r="V164">
        <f t="shared" si="9"/>
        <v>22</v>
      </c>
      <c r="W164">
        <f t="shared" si="10"/>
        <v>0</v>
      </c>
      <c r="X164">
        <f t="shared" si="11"/>
        <v>17</v>
      </c>
      <c r="Z164" s="8">
        <f>IFERROR(__xludf.DUMMYFUNCTION("""COMPUTED_VALUE"""),43942.0)</f>
        <v>43942</v>
      </c>
      <c r="AA164">
        <f t="shared" si="12"/>
        <v>0</v>
      </c>
      <c r="AB164">
        <f t="shared" si="13"/>
        <v>-22</v>
      </c>
      <c r="AC164">
        <f t="shared" si="14"/>
        <v>-5</v>
      </c>
    </row>
    <row r="165">
      <c r="A165" s="8">
        <f>IFERROR(__xludf.DUMMYFUNCTION("""COMPUTED_VALUE"""),43940.0)</f>
        <v>43940</v>
      </c>
      <c r="B165">
        <f>IFERROR(__xludf.DUMMYFUNCTION("""COMPUTED_VALUE"""),2.0)</f>
        <v>2</v>
      </c>
      <c r="C165">
        <f>IFERROR(__xludf.DUMMYFUNCTION("""COMPUTED_VALUE"""),3.0)</f>
        <v>3</v>
      </c>
      <c r="D165">
        <f>IFERROR(__xludf.DUMMYFUNCTION("""COMPUTED_VALUE"""),1.0)</f>
        <v>1</v>
      </c>
      <c r="K165">
        <f t="shared" ref="K165:M165" si="350">if(B165=1,0,K164+1)</f>
        <v>6</v>
      </c>
      <c r="L165">
        <f t="shared" si="350"/>
        <v>1</v>
      </c>
      <c r="M165">
        <f t="shared" si="350"/>
        <v>0</v>
      </c>
      <c r="O165" s="8">
        <f>IFERROR(__xludf.DUMMYFUNCTION("""COMPUTED_VALUE"""),43940.0)</f>
        <v>43940</v>
      </c>
      <c r="P165">
        <f t="shared" ref="P165:R165" si="351">B165+P166</f>
        <v>217</v>
      </c>
      <c r="Q165">
        <f t="shared" si="351"/>
        <v>240</v>
      </c>
      <c r="R165">
        <f t="shared" si="351"/>
        <v>221</v>
      </c>
      <c r="S165">
        <f t="shared" si="265"/>
        <v>-4</v>
      </c>
      <c r="U165" s="8">
        <f>IFERROR(__xludf.DUMMYFUNCTION("""COMPUTED_VALUE"""),43940.0)</f>
        <v>43940</v>
      </c>
      <c r="V165">
        <f t="shared" si="9"/>
        <v>23</v>
      </c>
      <c r="W165">
        <f t="shared" si="10"/>
        <v>0</v>
      </c>
      <c r="X165">
        <f t="shared" si="11"/>
        <v>19</v>
      </c>
      <c r="Z165" s="8">
        <f>IFERROR(__xludf.DUMMYFUNCTION("""COMPUTED_VALUE"""),43940.0)</f>
        <v>43940</v>
      </c>
      <c r="AA165">
        <f t="shared" si="12"/>
        <v>0</v>
      </c>
      <c r="AB165">
        <f t="shared" si="13"/>
        <v>-23</v>
      </c>
      <c r="AC165">
        <f t="shared" si="14"/>
        <v>-4</v>
      </c>
    </row>
    <row r="166">
      <c r="A166" s="8">
        <f>IFERROR(__xludf.DUMMYFUNCTION("""COMPUTED_VALUE"""),43937.0)</f>
        <v>43937</v>
      </c>
      <c r="B166">
        <f>IFERROR(__xludf.DUMMYFUNCTION("""COMPUTED_VALUE"""),1.0)</f>
        <v>1</v>
      </c>
      <c r="C166">
        <f>IFERROR(__xludf.DUMMYFUNCTION("""COMPUTED_VALUE"""),3.0)</f>
        <v>3</v>
      </c>
      <c r="D166">
        <f>IFERROR(__xludf.DUMMYFUNCTION("""COMPUTED_VALUE"""),2.0)</f>
        <v>2</v>
      </c>
      <c r="K166">
        <f t="shared" ref="K166:M166" si="352">if(B166=1,0,K165+1)</f>
        <v>0</v>
      </c>
      <c r="L166">
        <f t="shared" si="352"/>
        <v>2</v>
      </c>
      <c r="M166">
        <f t="shared" si="352"/>
        <v>1</v>
      </c>
      <c r="O166" s="8">
        <f>IFERROR(__xludf.DUMMYFUNCTION("""COMPUTED_VALUE"""),43937.0)</f>
        <v>43937</v>
      </c>
      <c r="P166">
        <f t="shared" ref="P166:R166" si="353">B166+P167</f>
        <v>215</v>
      </c>
      <c r="Q166">
        <f t="shared" si="353"/>
        <v>237</v>
      </c>
      <c r="R166">
        <f t="shared" si="353"/>
        <v>220</v>
      </c>
      <c r="S166">
        <f t="shared" si="265"/>
        <v>-5</v>
      </c>
      <c r="U166" s="8">
        <f>IFERROR(__xludf.DUMMYFUNCTION("""COMPUTED_VALUE"""),43937.0)</f>
        <v>43937</v>
      </c>
      <c r="V166">
        <f t="shared" si="9"/>
        <v>22</v>
      </c>
      <c r="W166">
        <f t="shared" si="10"/>
        <v>0</v>
      </c>
      <c r="X166">
        <f t="shared" si="11"/>
        <v>17</v>
      </c>
      <c r="Z166" s="8">
        <f>IFERROR(__xludf.DUMMYFUNCTION("""COMPUTED_VALUE"""),43937.0)</f>
        <v>43937</v>
      </c>
      <c r="AA166">
        <f t="shared" si="12"/>
        <v>0</v>
      </c>
      <c r="AB166">
        <f t="shared" si="13"/>
        <v>-22</v>
      </c>
      <c r="AC166">
        <f t="shared" si="14"/>
        <v>-5</v>
      </c>
    </row>
    <row r="167">
      <c r="A167" s="8">
        <f>IFERROR(__xludf.DUMMYFUNCTION("""COMPUTED_VALUE"""),43935.0)</f>
        <v>43935</v>
      </c>
      <c r="B167">
        <f>IFERROR(__xludf.DUMMYFUNCTION("""COMPUTED_VALUE"""),3.0)</f>
        <v>3</v>
      </c>
      <c r="C167">
        <f>IFERROR(__xludf.DUMMYFUNCTION("""COMPUTED_VALUE"""),2.0)</f>
        <v>2</v>
      </c>
      <c r="D167">
        <f>IFERROR(__xludf.DUMMYFUNCTION("""COMPUTED_VALUE"""),1.0)</f>
        <v>1</v>
      </c>
      <c r="K167">
        <f t="shared" ref="K167:M167" si="354">if(B167=1,0,K166+1)</f>
        <v>1</v>
      </c>
      <c r="L167">
        <f t="shared" si="354"/>
        <v>3</v>
      </c>
      <c r="M167">
        <f t="shared" si="354"/>
        <v>0</v>
      </c>
      <c r="O167" s="8">
        <f>IFERROR(__xludf.DUMMYFUNCTION("""COMPUTED_VALUE"""),43935.0)</f>
        <v>43935</v>
      </c>
      <c r="P167">
        <f t="shared" ref="P167:R167" si="355">B167+P168</f>
        <v>214</v>
      </c>
      <c r="Q167">
        <f t="shared" si="355"/>
        <v>234</v>
      </c>
      <c r="R167">
        <f t="shared" si="355"/>
        <v>218</v>
      </c>
      <c r="S167">
        <f t="shared" si="265"/>
        <v>-4</v>
      </c>
      <c r="U167" s="8">
        <f>IFERROR(__xludf.DUMMYFUNCTION("""COMPUTED_VALUE"""),43935.0)</f>
        <v>43935</v>
      </c>
      <c r="V167">
        <f t="shared" si="9"/>
        <v>20</v>
      </c>
      <c r="W167">
        <f t="shared" si="10"/>
        <v>0</v>
      </c>
      <c r="X167">
        <f t="shared" si="11"/>
        <v>16</v>
      </c>
      <c r="Z167" s="8">
        <f>IFERROR(__xludf.DUMMYFUNCTION("""COMPUTED_VALUE"""),43935.0)</f>
        <v>43935</v>
      </c>
      <c r="AA167">
        <f t="shared" si="12"/>
        <v>0</v>
      </c>
      <c r="AB167">
        <f t="shared" si="13"/>
        <v>-20</v>
      </c>
      <c r="AC167">
        <f t="shared" si="14"/>
        <v>-4</v>
      </c>
    </row>
    <row r="168">
      <c r="A168" s="8">
        <f>IFERROR(__xludf.DUMMYFUNCTION("""COMPUTED_VALUE"""),43933.0)</f>
        <v>43933</v>
      </c>
      <c r="B168">
        <f>IFERROR(__xludf.DUMMYFUNCTION("""COMPUTED_VALUE"""),2.0)</f>
        <v>2</v>
      </c>
      <c r="C168">
        <f>IFERROR(__xludf.DUMMYFUNCTION("""COMPUTED_VALUE"""),3.0)</f>
        <v>3</v>
      </c>
      <c r="D168">
        <f>IFERROR(__xludf.DUMMYFUNCTION("""COMPUTED_VALUE"""),1.0)</f>
        <v>1</v>
      </c>
      <c r="K168">
        <f t="shared" ref="K168:M168" si="356">if(B168=1,0,K167+1)</f>
        <v>2</v>
      </c>
      <c r="L168">
        <f t="shared" si="356"/>
        <v>4</v>
      </c>
      <c r="M168">
        <f t="shared" si="356"/>
        <v>0</v>
      </c>
      <c r="O168" s="8">
        <f>IFERROR(__xludf.DUMMYFUNCTION("""COMPUTED_VALUE"""),43933.0)</f>
        <v>43933</v>
      </c>
      <c r="P168">
        <f t="shared" ref="P168:R168" si="357">B168+P169</f>
        <v>211</v>
      </c>
      <c r="Q168">
        <f t="shared" si="357"/>
        <v>232</v>
      </c>
      <c r="R168">
        <f t="shared" si="357"/>
        <v>217</v>
      </c>
      <c r="S168">
        <f t="shared" si="265"/>
        <v>-6</v>
      </c>
      <c r="U168" s="8">
        <f>IFERROR(__xludf.DUMMYFUNCTION("""COMPUTED_VALUE"""),43933.0)</f>
        <v>43933</v>
      </c>
      <c r="V168">
        <f t="shared" si="9"/>
        <v>21</v>
      </c>
      <c r="W168">
        <f t="shared" si="10"/>
        <v>0</v>
      </c>
      <c r="X168">
        <f t="shared" si="11"/>
        <v>15</v>
      </c>
      <c r="Z168" s="8">
        <f>IFERROR(__xludf.DUMMYFUNCTION("""COMPUTED_VALUE"""),43933.0)</f>
        <v>43933</v>
      </c>
      <c r="AA168">
        <f t="shared" si="12"/>
        <v>0</v>
      </c>
      <c r="AB168">
        <f t="shared" si="13"/>
        <v>-21</v>
      </c>
      <c r="AC168">
        <f t="shared" si="14"/>
        <v>-6</v>
      </c>
    </row>
    <row r="169">
      <c r="A169" s="8">
        <f>IFERROR(__xludf.DUMMYFUNCTION("""COMPUTED_VALUE"""),43930.0)</f>
        <v>43930</v>
      </c>
      <c r="B169">
        <f>IFERROR(__xludf.DUMMYFUNCTION("""COMPUTED_VALUE"""),1.0)</f>
        <v>1</v>
      </c>
      <c r="C169">
        <f>IFERROR(__xludf.DUMMYFUNCTION("""COMPUTED_VALUE"""),2.0)</f>
        <v>2</v>
      </c>
      <c r="D169">
        <f>IFERROR(__xludf.DUMMYFUNCTION("""COMPUTED_VALUE"""),3.0)</f>
        <v>3</v>
      </c>
      <c r="K169">
        <f t="shared" ref="K169:M169" si="358">if(B169=1,0,K168+1)</f>
        <v>0</v>
      </c>
      <c r="L169">
        <f t="shared" si="358"/>
        <v>5</v>
      </c>
      <c r="M169">
        <f t="shared" si="358"/>
        <v>1</v>
      </c>
      <c r="O169" s="8">
        <f>IFERROR(__xludf.DUMMYFUNCTION("""COMPUTED_VALUE"""),43930.0)</f>
        <v>43930</v>
      </c>
      <c r="P169">
        <f t="shared" ref="P169:R169" si="359">B169+P170</f>
        <v>209</v>
      </c>
      <c r="Q169">
        <f t="shared" si="359"/>
        <v>229</v>
      </c>
      <c r="R169">
        <f t="shared" si="359"/>
        <v>216</v>
      </c>
      <c r="S169">
        <f t="shared" si="265"/>
        <v>-7</v>
      </c>
      <c r="U169" s="8">
        <f>IFERROR(__xludf.DUMMYFUNCTION("""COMPUTED_VALUE"""),43930.0)</f>
        <v>43930</v>
      </c>
      <c r="V169">
        <f t="shared" si="9"/>
        <v>20</v>
      </c>
      <c r="W169">
        <f t="shared" si="10"/>
        <v>0</v>
      </c>
      <c r="X169">
        <f t="shared" si="11"/>
        <v>13</v>
      </c>
      <c r="Z169" s="8">
        <f>IFERROR(__xludf.DUMMYFUNCTION("""COMPUTED_VALUE"""),43930.0)</f>
        <v>43930</v>
      </c>
      <c r="AA169">
        <f t="shared" si="12"/>
        <v>0</v>
      </c>
      <c r="AB169">
        <f t="shared" si="13"/>
        <v>-20</v>
      </c>
      <c r="AC169">
        <f t="shared" si="14"/>
        <v>-7</v>
      </c>
    </row>
    <row r="170">
      <c r="A170" s="8">
        <f>IFERROR(__xludf.DUMMYFUNCTION("""COMPUTED_VALUE"""),43928.0)</f>
        <v>43928</v>
      </c>
      <c r="B170">
        <f>IFERROR(__xludf.DUMMYFUNCTION("""COMPUTED_VALUE"""),2.0)</f>
        <v>2</v>
      </c>
      <c r="C170">
        <f>IFERROR(__xludf.DUMMYFUNCTION("""COMPUTED_VALUE"""),3.0)</f>
        <v>3</v>
      </c>
      <c r="D170">
        <f>IFERROR(__xludf.DUMMYFUNCTION("""COMPUTED_VALUE"""),1.0)</f>
        <v>1</v>
      </c>
      <c r="K170">
        <f t="shared" ref="K170:M170" si="360">if(B170=1,0,K169+1)</f>
        <v>1</v>
      </c>
      <c r="L170">
        <f t="shared" si="360"/>
        <v>6</v>
      </c>
      <c r="M170">
        <f t="shared" si="360"/>
        <v>0</v>
      </c>
      <c r="O170" s="8">
        <f>IFERROR(__xludf.DUMMYFUNCTION("""COMPUTED_VALUE"""),43928.0)</f>
        <v>43928</v>
      </c>
      <c r="P170">
        <f t="shared" ref="P170:R170" si="361">B170+P171</f>
        <v>208</v>
      </c>
      <c r="Q170">
        <f t="shared" si="361"/>
        <v>227</v>
      </c>
      <c r="R170">
        <f t="shared" si="361"/>
        <v>213</v>
      </c>
      <c r="S170">
        <f t="shared" si="265"/>
        <v>-5</v>
      </c>
      <c r="U170" s="8">
        <f>IFERROR(__xludf.DUMMYFUNCTION("""COMPUTED_VALUE"""),43928.0)</f>
        <v>43928</v>
      </c>
      <c r="V170">
        <f t="shared" si="9"/>
        <v>19</v>
      </c>
      <c r="W170">
        <f t="shared" si="10"/>
        <v>0</v>
      </c>
      <c r="X170">
        <f t="shared" si="11"/>
        <v>14</v>
      </c>
      <c r="Z170" s="8">
        <f>IFERROR(__xludf.DUMMYFUNCTION("""COMPUTED_VALUE"""),43928.0)</f>
        <v>43928</v>
      </c>
      <c r="AA170">
        <f t="shared" si="12"/>
        <v>0</v>
      </c>
      <c r="AB170">
        <f t="shared" si="13"/>
        <v>-19</v>
      </c>
      <c r="AC170">
        <f t="shared" si="14"/>
        <v>-5</v>
      </c>
    </row>
    <row r="171">
      <c r="A171" s="8">
        <f>IFERROR(__xludf.DUMMYFUNCTION("""COMPUTED_VALUE"""),43919.0)</f>
        <v>43919</v>
      </c>
      <c r="B171">
        <f>IFERROR(__xludf.DUMMYFUNCTION("""COMPUTED_VALUE"""),1.0)</f>
        <v>1</v>
      </c>
      <c r="C171">
        <f>IFERROR(__xludf.DUMMYFUNCTION("""COMPUTED_VALUE"""),2.0)</f>
        <v>2</v>
      </c>
      <c r="D171">
        <f>IFERROR(__xludf.DUMMYFUNCTION("""COMPUTED_VALUE"""),3.0)</f>
        <v>3</v>
      </c>
      <c r="K171">
        <f t="shared" ref="K171:M171" si="362">if(B171=1,0,K170+1)</f>
        <v>0</v>
      </c>
      <c r="L171">
        <f t="shared" si="362"/>
        <v>7</v>
      </c>
      <c r="M171">
        <f t="shared" si="362"/>
        <v>1</v>
      </c>
      <c r="O171" s="8">
        <f>IFERROR(__xludf.DUMMYFUNCTION("""COMPUTED_VALUE"""),43919.0)</f>
        <v>43919</v>
      </c>
      <c r="P171">
        <f t="shared" ref="P171:R171" si="363">B171+P172</f>
        <v>206</v>
      </c>
      <c r="Q171">
        <f t="shared" si="363"/>
        <v>224</v>
      </c>
      <c r="R171">
        <f t="shared" si="363"/>
        <v>212</v>
      </c>
      <c r="S171">
        <f t="shared" si="265"/>
        <v>-6</v>
      </c>
      <c r="U171" s="8">
        <f>IFERROR(__xludf.DUMMYFUNCTION("""COMPUTED_VALUE"""),43919.0)</f>
        <v>43919</v>
      </c>
      <c r="V171">
        <f t="shared" si="9"/>
        <v>18</v>
      </c>
      <c r="W171">
        <f t="shared" si="10"/>
        <v>0</v>
      </c>
      <c r="X171">
        <f t="shared" si="11"/>
        <v>12</v>
      </c>
      <c r="Z171" s="8">
        <f>IFERROR(__xludf.DUMMYFUNCTION("""COMPUTED_VALUE"""),43919.0)</f>
        <v>43919</v>
      </c>
      <c r="AA171">
        <f t="shared" si="12"/>
        <v>0</v>
      </c>
      <c r="AB171">
        <f t="shared" si="13"/>
        <v>-18</v>
      </c>
      <c r="AC171">
        <f t="shared" si="14"/>
        <v>-6</v>
      </c>
    </row>
    <row r="172">
      <c r="A172" s="8">
        <f>IFERROR(__xludf.DUMMYFUNCTION("""COMPUTED_VALUE"""),43914.0)</f>
        <v>43914</v>
      </c>
      <c r="B172">
        <f>IFERROR(__xludf.DUMMYFUNCTION("""COMPUTED_VALUE"""),2.0)</f>
        <v>2</v>
      </c>
      <c r="C172">
        <f>IFERROR(__xludf.DUMMYFUNCTION("""COMPUTED_VALUE"""),1.0)</f>
        <v>1</v>
      </c>
      <c r="D172">
        <f>IFERROR(__xludf.DUMMYFUNCTION("""COMPUTED_VALUE"""),3.0)</f>
        <v>3</v>
      </c>
      <c r="K172">
        <f t="shared" ref="K172:M172" si="364">if(B172=1,0,K171+1)</f>
        <v>1</v>
      </c>
      <c r="L172">
        <f t="shared" si="364"/>
        <v>0</v>
      </c>
      <c r="M172">
        <f t="shared" si="364"/>
        <v>2</v>
      </c>
      <c r="O172" s="8">
        <f>IFERROR(__xludf.DUMMYFUNCTION("""COMPUTED_VALUE"""),43914.0)</f>
        <v>43914</v>
      </c>
      <c r="P172">
        <f t="shared" ref="P172:R172" si="365">B172+P173</f>
        <v>205</v>
      </c>
      <c r="Q172">
        <f t="shared" si="365"/>
        <v>222</v>
      </c>
      <c r="R172">
        <f t="shared" si="365"/>
        <v>209</v>
      </c>
      <c r="S172">
        <f t="shared" si="265"/>
        <v>-4</v>
      </c>
      <c r="U172" s="8">
        <f>IFERROR(__xludf.DUMMYFUNCTION("""COMPUTED_VALUE"""),43914.0)</f>
        <v>43914</v>
      </c>
      <c r="V172">
        <f t="shared" si="9"/>
        <v>17</v>
      </c>
      <c r="W172">
        <f t="shared" si="10"/>
        <v>0</v>
      </c>
      <c r="X172">
        <f t="shared" si="11"/>
        <v>13</v>
      </c>
      <c r="Z172" s="8">
        <f>IFERROR(__xludf.DUMMYFUNCTION("""COMPUTED_VALUE"""),43914.0)</f>
        <v>43914</v>
      </c>
      <c r="AA172">
        <f t="shared" si="12"/>
        <v>0</v>
      </c>
      <c r="AB172">
        <f t="shared" si="13"/>
        <v>-17</v>
      </c>
      <c r="AC172">
        <f t="shared" si="14"/>
        <v>-4</v>
      </c>
    </row>
    <row r="173">
      <c r="A173" s="8">
        <f>IFERROR(__xludf.DUMMYFUNCTION("""COMPUTED_VALUE"""),43905.0)</f>
        <v>43905</v>
      </c>
      <c r="B173">
        <f>IFERROR(__xludf.DUMMYFUNCTION("""COMPUTED_VALUE"""),1.0)</f>
        <v>1</v>
      </c>
      <c r="C173">
        <f>IFERROR(__xludf.DUMMYFUNCTION("""COMPUTED_VALUE"""),2.0)</f>
        <v>2</v>
      </c>
      <c r="D173">
        <f>IFERROR(__xludf.DUMMYFUNCTION("""COMPUTED_VALUE"""),3.0)</f>
        <v>3</v>
      </c>
      <c r="K173">
        <f t="shared" ref="K173:M173" si="366">if(B173=1,0,K172+1)</f>
        <v>0</v>
      </c>
      <c r="L173">
        <f t="shared" si="366"/>
        <v>1</v>
      </c>
      <c r="M173">
        <f t="shared" si="366"/>
        <v>3</v>
      </c>
      <c r="O173" s="8">
        <f>IFERROR(__xludf.DUMMYFUNCTION("""COMPUTED_VALUE"""),43905.0)</f>
        <v>43905</v>
      </c>
      <c r="P173">
        <f t="shared" ref="P173:R173" si="367">B173+P174</f>
        <v>203</v>
      </c>
      <c r="Q173">
        <f t="shared" si="367"/>
        <v>221</v>
      </c>
      <c r="R173">
        <f t="shared" si="367"/>
        <v>206</v>
      </c>
      <c r="S173">
        <f t="shared" si="265"/>
        <v>-3</v>
      </c>
      <c r="U173" s="8">
        <f>IFERROR(__xludf.DUMMYFUNCTION("""COMPUTED_VALUE"""),43905.0)</f>
        <v>43905</v>
      </c>
      <c r="V173">
        <f t="shared" si="9"/>
        <v>18</v>
      </c>
      <c r="W173">
        <f t="shared" si="10"/>
        <v>0</v>
      </c>
      <c r="X173">
        <f t="shared" si="11"/>
        <v>15</v>
      </c>
      <c r="Z173" s="8">
        <f>IFERROR(__xludf.DUMMYFUNCTION("""COMPUTED_VALUE"""),43905.0)</f>
        <v>43905</v>
      </c>
      <c r="AA173">
        <f t="shared" si="12"/>
        <v>0</v>
      </c>
      <c r="AB173">
        <f t="shared" si="13"/>
        <v>-18</v>
      </c>
      <c r="AC173">
        <f t="shared" si="14"/>
        <v>-3</v>
      </c>
    </row>
    <row r="174">
      <c r="A174" s="8">
        <f>IFERROR(__xludf.DUMMYFUNCTION("""COMPUTED_VALUE"""),43898.0)</f>
        <v>43898</v>
      </c>
      <c r="B174">
        <f>IFERROR(__xludf.DUMMYFUNCTION("""COMPUTED_VALUE"""),1.0)</f>
        <v>1</v>
      </c>
      <c r="C174">
        <f>IFERROR(__xludf.DUMMYFUNCTION("""COMPUTED_VALUE"""),3.0)</f>
        <v>3</v>
      </c>
      <c r="D174">
        <f>IFERROR(__xludf.DUMMYFUNCTION("""COMPUTED_VALUE"""),2.0)</f>
        <v>2</v>
      </c>
      <c r="K174">
        <f t="shared" ref="K174:M174" si="368">if(B174=1,0,K173+1)</f>
        <v>0</v>
      </c>
      <c r="L174">
        <f t="shared" si="368"/>
        <v>2</v>
      </c>
      <c r="M174">
        <f t="shared" si="368"/>
        <v>4</v>
      </c>
      <c r="O174" s="8">
        <f>IFERROR(__xludf.DUMMYFUNCTION("""COMPUTED_VALUE"""),43898.0)</f>
        <v>43898</v>
      </c>
      <c r="P174">
        <f t="shared" ref="P174:R174" si="369">B174+P175</f>
        <v>202</v>
      </c>
      <c r="Q174">
        <f t="shared" si="369"/>
        <v>219</v>
      </c>
      <c r="R174">
        <f t="shared" si="369"/>
        <v>203</v>
      </c>
      <c r="S174">
        <f t="shared" si="265"/>
        <v>-1</v>
      </c>
      <c r="U174" s="8">
        <f>IFERROR(__xludf.DUMMYFUNCTION("""COMPUTED_VALUE"""),43898.0)</f>
        <v>43898</v>
      </c>
      <c r="V174">
        <f t="shared" si="9"/>
        <v>17</v>
      </c>
      <c r="W174">
        <f t="shared" si="10"/>
        <v>0</v>
      </c>
      <c r="X174">
        <f t="shared" si="11"/>
        <v>16</v>
      </c>
      <c r="Z174" s="8">
        <f>IFERROR(__xludf.DUMMYFUNCTION("""COMPUTED_VALUE"""),43898.0)</f>
        <v>43898</v>
      </c>
      <c r="AA174">
        <f t="shared" si="12"/>
        <v>0</v>
      </c>
      <c r="AB174">
        <f t="shared" si="13"/>
        <v>-17</v>
      </c>
      <c r="AC174">
        <f t="shared" si="14"/>
        <v>-1</v>
      </c>
    </row>
    <row r="175">
      <c r="A175" s="8">
        <f>IFERROR(__xludf.DUMMYFUNCTION("""COMPUTED_VALUE"""),43891.0)</f>
        <v>43891</v>
      </c>
      <c r="B175">
        <f>IFERROR(__xludf.DUMMYFUNCTION("""COMPUTED_VALUE"""),3.0)</f>
        <v>3</v>
      </c>
      <c r="C175">
        <f>IFERROR(__xludf.DUMMYFUNCTION("""COMPUTED_VALUE"""),1.0)</f>
        <v>1</v>
      </c>
      <c r="D175">
        <f>IFERROR(__xludf.DUMMYFUNCTION("""COMPUTED_VALUE"""),2.0)</f>
        <v>2</v>
      </c>
      <c r="K175">
        <f t="shared" ref="K175:M175" si="370">if(B175=1,0,K174+1)</f>
        <v>1</v>
      </c>
      <c r="L175">
        <f t="shared" si="370"/>
        <v>0</v>
      </c>
      <c r="M175">
        <f t="shared" si="370"/>
        <v>5</v>
      </c>
      <c r="O175" s="8">
        <f>IFERROR(__xludf.DUMMYFUNCTION("""COMPUTED_VALUE"""),43891.0)</f>
        <v>43891</v>
      </c>
      <c r="P175">
        <f t="shared" ref="P175:R175" si="371">B175+P176</f>
        <v>201</v>
      </c>
      <c r="Q175">
        <f t="shared" si="371"/>
        <v>216</v>
      </c>
      <c r="R175">
        <f t="shared" si="371"/>
        <v>201</v>
      </c>
      <c r="S175">
        <f t="shared" si="265"/>
        <v>-15</v>
      </c>
      <c r="U175" s="8">
        <f>IFERROR(__xludf.DUMMYFUNCTION("""COMPUTED_VALUE"""),43891.0)</f>
        <v>43891</v>
      </c>
      <c r="V175">
        <f t="shared" si="9"/>
        <v>15</v>
      </c>
      <c r="W175">
        <f t="shared" si="10"/>
        <v>0</v>
      </c>
      <c r="X175">
        <f t="shared" si="11"/>
        <v>15</v>
      </c>
      <c r="Z175" s="8">
        <f>IFERROR(__xludf.DUMMYFUNCTION("""COMPUTED_VALUE"""),43891.0)</f>
        <v>43891</v>
      </c>
      <c r="AA175">
        <f t="shared" si="12"/>
        <v>0</v>
      </c>
      <c r="AB175">
        <f t="shared" si="13"/>
        <v>-15</v>
      </c>
      <c r="AC175">
        <f t="shared" si="14"/>
        <v>0</v>
      </c>
    </row>
    <row r="176">
      <c r="A176" s="8">
        <f>IFERROR(__xludf.DUMMYFUNCTION("""COMPUTED_VALUE"""),43884.0)</f>
        <v>43884</v>
      </c>
      <c r="B176">
        <f>IFERROR(__xludf.DUMMYFUNCTION("""COMPUTED_VALUE"""),2.0)</f>
        <v>2</v>
      </c>
      <c r="C176">
        <f>IFERROR(__xludf.DUMMYFUNCTION("""COMPUTED_VALUE"""),3.0)</f>
        <v>3</v>
      </c>
      <c r="D176">
        <f>IFERROR(__xludf.DUMMYFUNCTION("""COMPUTED_VALUE"""),1.0)</f>
        <v>1</v>
      </c>
      <c r="K176">
        <f t="shared" ref="K176:M176" si="372">if(B176=1,0,K175+1)</f>
        <v>2</v>
      </c>
      <c r="L176">
        <f t="shared" si="372"/>
        <v>1</v>
      </c>
      <c r="M176">
        <f t="shared" si="372"/>
        <v>0</v>
      </c>
      <c r="O176" s="8">
        <f>IFERROR(__xludf.DUMMYFUNCTION("""COMPUTED_VALUE"""),43884.0)</f>
        <v>43884</v>
      </c>
      <c r="P176">
        <f t="shared" ref="P176:R176" si="373">B176+P177</f>
        <v>198</v>
      </c>
      <c r="Q176">
        <f t="shared" si="373"/>
        <v>215</v>
      </c>
      <c r="R176">
        <f t="shared" si="373"/>
        <v>199</v>
      </c>
      <c r="S176">
        <f t="shared" si="265"/>
        <v>-1</v>
      </c>
      <c r="U176" s="8">
        <f>IFERROR(__xludf.DUMMYFUNCTION("""COMPUTED_VALUE"""),43884.0)</f>
        <v>43884</v>
      </c>
      <c r="V176">
        <f t="shared" si="9"/>
        <v>17</v>
      </c>
      <c r="W176">
        <f t="shared" si="10"/>
        <v>0</v>
      </c>
      <c r="X176">
        <f t="shared" si="11"/>
        <v>16</v>
      </c>
      <c r="Z176" s="8">
        <f>IFERROR(__xludf.DUMMYFUNCTION("""COMPUTED_VALUE"""),43884.0)</f>
        <v>43884</v>
      </c>
      <c r="AA176">
        <f t="shared" si="12"/>
        <v>0</v>
      </c>
      <c r="AB176">
        <f t="shared" si="13"/>
        <v>-17</v>
      </c>
      <c r="AC176">
        <f t="shared" si="14"/>
        <v>-1</v>
      </c>
    </row>
    <row r="177">
      <c r="A177" s="8">
        <f>IFERROR(__xludf.DUMMYFUNCTION("""COMPUTED_VALUE"""),43877.0)</f>
        <v>43877</v>
      </c>
      <c r="B177">
        <f>IFERROR(__xludf.DUMMYFUNCTION("""COMPUTED_VALUE"""),2.0)</f>
        <v>2</v>
      </c>
      <c r="C177">
        <f>IFERROR(__xludf.DUMMYFUNCTION("""COMPUTED_VALUE"""),3.0)</f>
        <v>3</v>
      </c>
      <c r="D177">
        <f>IFERROR(__xludf.DUMMYFUNCTION("""COMPUTED_VALUE"""),1.0)</f>
        <v>1</v>
      </c>
      <c r="K177">
        <f t="shared" ref="K177:M177" si="374">if(B177=1,0,K176+1)</f>
        <v>3</v>
      </c>
      <c r="L177">
        <f t="shared" si="374"/>
        <v>2</v>
      </c>
      <c r="M177">
        <f t="shared" si="374"/>
        <v>0</v>
      </c>
      <c r="O177" s="8">
        <f>IFERROR(__xludf.DUMMYFUNCTION("""COMPUTED_VALUE"""),43877.0)</f>
        <v>43877</v>
      </c>
      <c r="P177">
        <f t="shared" ref="P177:R177" si="375">B177+P178</f>
        <v>196</v>
      </c>
      <c r="Q177">
        <f t="shared" si="375"/>
        <v>212</v>
      </c>
      <c r="R177">
        <f t="shared" si="375"/>
        <v>198</v>
      </c>
      <c r="S177">
        <f t="shared" si="265"/>
        <v>-2</v>
      </c>
      <c r="U177" s="8">
        <f>IFERROR(__xludf.DUMMYFUNCTION("""COMPUTED_VALUE"""),43877.0)</f>
        <v>43877</v>
      </c>
      <c r="V177">
        <f t="shared" si="9"/>
        <v>16</v>
      </c>
      <c r="W177">
        <f t="shared" si="10"/>
        <v>0</v>
      </c>
      <c r="X177">
        <f t="shared" si="11"/>
        <v>14</v>
      </c>
      <c r="Z177" s="8">
        <f>IFERROR(__xludf.DUMMYFUNCTION("""COMPUTED_VALUE"""),43877.0)</f>
        <v>43877</v>
      </c>
      <c r="AA177">
        <f t="shared" si="12"/>
        <v>0</v>
      </c>
      <c r="AB177">
        <f t="shared" si="13"/>
        <v>-16</v>
      </c>
      <c r="AC177">
        <f t="shared" si="14"/>
        <v>-2</v>
      </c>
    </row>
    <row r="178">
      <c r="A178" s="8">
        <f>IFERROR(__xludf.DUMMYFUNCTION("""COMPUTED_VALUE"""),43861.0)</f>
        <v>43861</v>
      </c>
      <c r="B178">
        <f>IFERROR(__xludf.DUMMYFUNCTION("""COMPUTED_VALUE"""),1.0)</f>
        <v>1</v>
      </c>
      <c r="C178">
        <f>IFERROR(__xludf.DUMMYFUNCTION("""COMPUTED_VALUE"""),2.0)</f>
        <v>2</v>
      </c>
      <c r="D178">
        <f>IFERROR(__xludf.DUMMYFUNCTION("""COMPUTED_VALUE"""),3.0)</f>
        <v>3</v>
      </c>
      <c r="K178">
        <f t="shared" ref="K178:M178" si="376">if(B178=1,0,K177+1)</f>
        <v>0</v>
      </c>
      <c r="L178">
        <f t="shared" si="376"/>
        <v>3</v>
      </c>
      <c r="M178">
        <f t="shared" si="376"/>
        <v>1</v>
      </c>
      <c r="O178" s="8">
        <f>IFERROR(__xludf.DUMMYFUNCTION("""COMPUTED_VALUE"""),43861.0)</f>
        <v>43861</v>
      </c>
      <c r="P178">
        <f t="shared" ref="P178:R178" si="377">B178+P179</f>
        <v>194</v>
      </c>
      <c r="Q178">
        <f t="shared" si="377"/>
        <v>209</v>
      </c>
      <c r="R178">
        <f t="shared" si="377"/>
        <v>197</v>
      </c>
      <c r="S178">
        <f t="shared" si="265"/>
        <v>-3</v>
      </c>
      <c r="U178" s="8">
        <f>IFERROR(__xludf.DUMMYFUNCTION("""COMPUTED_VALUE"""),43861.0)</f>
        <v>43861</v>
      </c>
      <c r="V178">
        <f t="shared" si="9"/>
        <v>15</v>
      </c>
      <c r="W178">
        <f t="shared" si="10"/>
        <v>0</v>
      </c>
      <c r="X178">
        <f t="shared" si="11"/>
        <v>12</v>
      </c>
      <c r="Z178" s="8">
        <f>IFERROR(__xludf.DUMMYFUNCTION("""COMPUTED_VALUE"""),43861.0)</f>
        <v>43861</v>
      </c>
      <c r="AA178">
        <f t="shared" si="12"/>
        <v>0</v>
      </c>
      <c r="AB178">
        <f t="shared" si="13"/>
        <v>-15</v>
      </c>
      <c r="AC178">
        <f t="shared" si="14"/>
        <v>-3</v>
      </c>
    </row>
    <row r="179">
      <c r="A179" s="8">
        <f>IFERROR(__xludf.DUMMYFUNCTION("""COMPUTED_VALUE"""),43856.0)</f>
        <v>43856</v>
      </c>
      <c r="B179">
        <f>IFERROR(__xludf.DUMMYFUNCTION("""COMPUTED_VALUE"""),2.0)</f>
        <v>2</v>
      </c>
      <c r="C179">
        <f>IFERROR(__xludf.DUMMYFUNCTION("""COMPUTED_VALUE"""),1.0)</f>
        <v>1</v>
      </c>
      <c r="D179">
        <f>IFERROR(__xludf.DUMMYFUNCTION("""COMPUTED_VALUE"""),3.0)</f>
        <v>3</v>
      </c>
      <c r="K179">
        <f t="shared" ref="K179:M179" si="378">if(B179=1,0,K178+1)</f>
        <v>1</v>
      </c>
      <c r="L179">
        <f t="shared" si="378"/>
        <v>0</v>
      </c>
      <c r="M179">
        <f t="shared" si="378"/>
        <v>2</v>
      </c>
      <c r="O179" s="8">
        <f>IFERROR(__xludf.DUMMYFUNCTION("""COMPUTED_VALUE"""),43856.0)</f>
        <v>43856</v>
      </c>
      <c r="P179">
        <f t="shared" ref="P179:R179" si="379">B179+P180</f>
        <v>193</v>
      </c>
      <c r="Q179">
        <f t="shared" si="379"/>
        <v>207</v>
      </c>
      <c r="R179">
        <f t="shared" si="379"/>
        <v>194</v>
      </c>
      <c r="S179">
        <f t="shared" si="265"/>
        <v>-1</v>
      </c>
      <c r="U179" s="8">
        <f>IFERROR(__xludf.DUMMYFUNCTION("""COMPUTED_VALUE"""),43856.0)</f>
        <v>43856</v>
      </c>
      <c r="V179">
        <f t="shared" si="9"/>
        <v>14</v>
      </c>
      <c r="W179">
        <f t="shared" si="10"/>
        <v>0</v>
      </c>
      <c r="X179">
        <f t="shared" si="11"/>
        <v>13</v>
      </c>
      <c r="Z179" s="8">
        <f>IFERROR(__xludf.DUMMYFUNCTION("""COMPUTED_VALUE"""),43856.0)</f>
        <v>43856</v>
      </c>
      <c r="AA179">
        <f t="shared" si="12"/>
        <v>0</v>
      </c>
      <c r="AB179">
        <f t="shared" si="13"/>
        <v>-14</v>
      </c>
      <c r="AC179">
        <f t="shared" si="14"/>
        <v>-1</v>
      </c>
    </row>
    <row r="180">
      <c r="A180" s="8">
        <f>IFERROR(__xludf.DUMMYFUNCTION("""COMPUTED_VALUE"""),43849.0)</f>
        <v>43849</v>
      </c>
      <c r="B180">
        <f>IFERROR(__xludf.DUMMYFUNCTION("""COMPUTED_VALUE"""),2.0)</f>
        <v>2</v>
      </c>
      <c r="C180">
        <f>IFERROR(__xludf.DUMMYFUNCTION("""COMPUTED_VALUE"""),3.0)</f>
        <v>3</v>
      </c>
      <c r="D180">
        <f>IFERROR(__xludf.DUMMYFUNCTION("""COMPUTED_VALUE"""),1.0)</f>
        <v>1</v>
      </c>
      <c r="K180">
        <f t="shared" ref="K180:M180" si="380">if(B180=1,0,K179+1)</f>
        <v>2</v>
      </c>
      <c r="L180">
        <f t="shared" si="380"/>
        <v>1</v>
      </c>
      <c r="M180">
        <f t="shared" si="380"/>
        <v>0</v>
      </c>
      <c r="O180" s="8">
        <f>IFERROR(__xludf.DUMMYFUNCTION("""COMPUTED_VALUE"""),43849.0)</f>
        <v>43849</v>
      </c>
      <c r="P180">
        <f t="shared" ref="P180:R180" si="381">B180+P181</f>
        <v>191</v>
      </c>
      <c r="Q180">
        <f t="shared" si="381"/>
        <v>206</v>
      </c>
      <c r="R180">
        <f t="shared" si="381"/>
        <v>191</v>
      </c>
      <c r="S180">
        <f t="shared" si="265"/>
        <v>-15</v>
      </c>
      <c r="U180" s="8">
        <f>IFERROR(__xludf.DUMMYFUNCTION("""COMPUTED_VALUE"""),43849.0)</f>
        <v>43849</v>
      </c>
      <c r="V180">
        <f t="shared" si="9"/>
        <v>15</v>
      </c>
      <c r="W180">
        <f t="shared" si="10"/>
        <v>0</v>
      </c>
      <c r="X180">
        <f t="shared" si="11"/>
        <v>15</v>
      </c>
      <c r="Z180" s="8">
        <f>IFERROR(__xludf.DUMMYFUNCTION("""COMPUTED_VALUE"""),43849.0)</f>
        <v>43849</v>
      </c>
      <c r="AA180">
        <f t="shared" si="12"/>
        <v>0</v>
      </c>
      <c r="AB180">
        <f t="shared" si="13"/>
        <v>-15</v>
      </c>
      <c r="AC180">
        <f t="shared" si="14"/>
        <v>0</v>
      </c>
    </row>
    <row r="181">
      <c r="A181" s="8">
        <f>IFERROR(__xludf.DUMMYFUNCTION("""COMPUTED_VALUE"""),43842.0)</f>
        <v>43842</v>
      </c>
      <c r="B181">
        <f>IFERROR(__xludf.DUMMYFUNCTION("""COMPUTED_VALUE"""),2.0)</f>
        <v>2</v>
      </c>
      <c r="C181">
        <f>IFERROR(__xludf.DUMMYFUNCTION("""COMPUTED_VALUE"""),1.0)</f>
        <v>1</v>
      </c>
      <c r="D181">
        <f>IFERROR(__xludf.DUMMYFUNCTION("""COMPUTED_VALUE"""),3.0)</f>
        <v>3</v>
      </c>
      <c r="K181">
        <f t="shared" ref="K181:M181" si="382">if(B181=1,0,K180+1)</f>
        <v>3</v>
      </c>
      <c r="L181">
        <f t="shared" si="382"/>
        <v>0</v>
      </c>
      <c r="M181">
        <f t="shared" si="382"/>
        <v>1</v>
      </c>
      <c r="O181" s="8">
        <f>IFERROR(__xludf.DUMMYFUNCTION("""COMPUTED_VALUE"""),43842.0)</f>
        <v>43842</v>
      </c>
      <c r="P181">
        <f t="shared" ref="P181:R181" si="383">B181+P182</f>
        <v>189</v>
      </c>
      <c r="Q181">
        <f t="shared" si="383"/>
        <v>203</v>
      </c>
      <c r="R181">
        <f t="shared" si="383"/>
        <v>190</v>
      </c>
      <c r="S181">
        <f t="shared" si="265"/>
        <v>-1</v>
      </c>
      <c r="U181" s="8">
        <f>IFERROR(__xludf.DUMMYFUNCTION("""COMPUTED_VALUE"""),43842.0)</f>
        <v>43842</v>
      </c>
      <c r="V181">
        <f t="shared" si="9"/>
        <v>14</v>
      </c>
      <c r="W181">
        <f t="shared" si="10"/>
        <v>0</v>
      </c>
      <c r="X181">
        <f t="shared" si="11"/>
        <v>13</v>
      </c>
      <c r="Z181" s="8">
        <f>IFERROR(__xludf.DUMMYFUNCTION("""COMPUTED_VALUE"""),43842.0)</f>
        <v>43842</v>
      </c>
      <c r="AA181">
        <f t="shared" si="12"/>
        <v>0</v>
      </c>
      <c r="AB181">
        <f t="shared" si="13"/>
        <v>-14</v>
      </c>
      <c r="AC181">
        <f t="shared" si="14"/>
        <v>-1</v>
      </c>
    </row>
    <row r="182">
      <c r="A182" s="8">
        <f>IFERROR(__xludf.DUMMYFUNCTION("""COMPUTED_VALUE"""),43831.0)</f>
        <v>43831</v>
      </c>
      <c r="B182">
        <f>IFERROR(__xludf.DUMMYFUNCTION("""COMPUTED_VALUE"""),2.0)</f>
        <v>2</v>
      </c>
      <c r="C182">
        <f>IFERROR(__xludf.DUMMYFUNCTION("""COMPUTED_VALUE"""),3.0)</f>
        <v>3</v>
      </c>
      <c r="D182">
        <f>IFERROR(__xludf.DUMMYFUNCTION("""COMPUTED_VALUE"""),1.0)</f>
        <v>1</v>
      </c>
      <c r="K182">
        <f t="shared" ref="K182:M182" si="384">if(B182=1,0,K181+1)</f>
        <v>4</v>
      </c>
      <c r="L182">
        <f t="shared" si="384"/>
        <v>1</v>
      </c>
      <c r="M182">
        <f t="shared" si="384"/>
        <v>0</v>
      </c>
      <c r="O182" s="8">
        <f>IFERROR(__xludf.DUMMYFUNCTION("""COMPUTED_VALUE"""),43831.0)</f>
        <v>43831</v>
      </c>
      <c r="P182">
        <f t="shared" ref="P182:R182" si="385">B182+P183</f>
        <v>187</v>
      </c>
      <c r="Q182">
        <f t="shared" si="385"/>
        <v>202</v>
      </c>
      <c r="R182">
        <f t="shared" si="385"/>
        <v>187</v>
      </c>
      <c r="S182">
        <f t="shared" si="265"/>
        <v>-15</v>
      </c>
      <c r="U182" s="8">
        <f>IFERROR(__xludf.DUMMYFUNCTION("""COMPUTED_VALUE"""),43831.0)</f>
        <v>43831</v>
      </c>
      <c r="V182">
        <f t="shared" si="9"/>
        <v>15</v>
      </c>
      <c r="W182">
        <f t="shared" si="10"/>
        <v>0</v>
      </c>
      <c r="X182">
        <f t="shared" si="11"/>
        <v>15</v>
      </c>
      <c r="Z182" s="8">
        <f>IFERROR(__xludf.DUMMYFUNCTION("""COMPUTED_VALUE"""),43831.0)</f>
        <v>43831</v>
      </c>
      <c r="AA182">
        <f t="shared" si="12"/>
        <v>0</v>
      </c>
      <c r="AB182">
        <f t="shared" si="13"/>
        <v>-15</v>
      </c>
      <c r="AC182">
        <f t="shared" si="14"/>
        <v>0</v>
      </c>
    </row>
    <row r="183">
      <c r="A183" s="8">
        <f>IFERROR(__xludf.DUMMYFUNCTION("""COMPUTED_VALUE"""),43828.0)</f>
        <v>43828</v>
      </c>
      <c r="B183">
        <f>IFERROR(__xludf.DUMMYFUNCTION("""COMPUTED_VALUE"""),2.0)</f>
        <v>2</v>
      </c>
      <c r="C183">
        <f>IFERROR(__xludf.DUMMYFUNCTION("""COMPUTED_VALUE"""),3.0)</f>
        <v>3</v>
      </c>
      <c r="D183">
        <f>IFERROR(__xludf.DUMMYFUNCTION("""COMPUTED_VALUE"""),1.0)</f>
        <v>1</v>
      </c>
      <c r="K183">
        <f t="shared" ref="K183:M183" si="386">if(B183=1,0,K182+1)</f>
        <v>5</v>
      </c>
      <c r="L183">
        <f t="shared" si="386"/>
        <v>2</v>
      </c>
      <c r="M183">
        <f t="shared" si="386"/>
        <v>0</v>
      </c>
      <c r="O183" s="8">
        <f>IFERROR(__xludf.DUMMYFUNCTION("""COMPUTED_VALUE"""),43828.0)</f>
        <v>43828</v>
      </c>
      <c r="P183">
        <f t="shared" ref="P183:R183" si="387">B183+P184</f>
        <v>185</v>
      </c>
      <c r="Q183">
        <f t="shared" si="387"/>
        <v>199</v>
      </c>
      <c r="R183">
        <f t="shared" si="387"/>
        <v>186</v>
      </c>
      <c r="S183">
        <f t="shared" si="265"/>
        <v>-1</v>
      </c>
      <c r="U183" s="8">
        <f>IFERROR(__xludf.DUMMYFUNCTION("""COMPUTED_VALUE"""),43828.0)</f>
        <v>43828</v>
      </c>
      <c r="V183">
        <f t="shared" si="9"/>
        <v>14</v>
      </c>
      <c r="W183">
        <f t="shared" si="10"/>
        <v>0</v>
      </c>
      <c r="X183">
        <f t="shared" si="11"/>
        <v>13</v>
      </c>
      <c r="Z183" s="8">
        <f>IFERROR(__xludf.DUMMYFUNCTION("""COMPUTED_VALUE"""),43828.0)</f>
        <v>43828</v>
      </c>
      <c r="AA183">
        <f t="shared" si="12"/>
        <v>0</v>
      </c>
      <c r="AB183">
        <f t="shared" si="13"/>
        <v>-14</v>
      </c>
      <c r="AC183">
        <f t="shared" si="14"/>
        <v>-1</v>
      </c>
    </row>
    <row r="184">
      <c r="A184" s="8">
        <f>IFERROR(__xludf.DUMMYFUNCTION("""COMPUTED_VALUE"""),43814.0)</f>
        <v>43814</v>
      </c>
      <c r="B184">
        <f>IFERROR(__xludf.DUMMYFUNCTION("""COMPUTED_VALUE"""),2.0)</f>
        <v>2</v>
      </c>
      <c r="C184">
        <f>IFERROR(__xludf.DUMMYFUNCTION("""COMPUTED_VALUE"""),1.0)</f>
        <v>1</v>
      </c>
      <c r="D184">
        <f>IFERROR(__xludf.DUMMYFUNCTION("""COMPUTED_VALUE"""),4.0)</f>
        <v>4</v>
      </c>
      <c r="K184">
        <f t="shared" ref="K184:M184" si="388">if(B184=1,0,K183+1)</f>
        <v>6</v>
      </c>
      <c r="L184">
        <f t="shared" si="388"/>
        <v>0</v>
      </c>
      <c r="M184">
        <f t="shared" si="388"/>
        <v>1</v>
      </c>
      <c r="O184" s="8">
        <f>IFERROR(__xludf.DUMMYFUNCTION("""COMPUTED_VALUE"""),43814.0)</f>
        <v>43814</v>
      </c>
      <c r="P184">
        <f t="shared" ref="P184:R184" si="389">B184+P185</f>
        <v>183</v>
      </c>
      <c r="Q184">
        <f t="shared" si="389"/>
        <v>196</v>
      </c>
      <c r="R184">
        <f t="shared" si="389"/>
        <v>185</v>
      </c>
      <c r="S184">
        <f t="shared" si="265"/>
        <v>-2</v>
      </c>
      <c r="U184" s="8">
        <f>IFERROR(__xludf.DUMMYFUNCTION("""COMPUTED_VALUE"""),43814.0)</f>
        <v>43814</v>
      </c>
      <c r="V184">
        <f t="shared" si="9"/>
        <v>13</v>
      </c>
      <c r="W184">
        <f t="shared" si="10"/>
        <v>0</v>
      </c>
      <c r="X184">
        <f t="shared" si="11"/>
        <v>11</v>
      </c>
      <c r="Z184" s="8">
        <f>IFERROR(__xludf.DUMMYFUNCTION("""COMPUTED_VALUE"""),43814.0)</f>
        <v>43814</v>
      </c>
      <c r="AA184">
        <f t="shared" si="12"/>
        <v>0</v>
      </c>
      <c r="AB184">
        <f t="shared" si="13"/>
        <v>-13</v>
      </c>
      <c r="AC184">
        <f t="shared" si="14"/>
        <v>-2</v>
      </c>
    </row>
    <row r="185">
      <c r="A185" s="8">
        <f>IFERROR(__xludf.DUMMYFUNCTION("""COMPUTED_VALUE"""),43800.0)</f>
        <v>43800</v>
      </c>
      <c r="B185">
        <f>IFERROR(__xludf.DUMMYFUNCTION("""COMPUTED_VALUE"""),3.0)</f>
        <v>3</v>
      </c>
      <c r="C185">
        <f>IFERROR(__xludf.DUMMYFUNCTION("""COMPUTED_VALUE"""),2.0)</f>
        <v>2</v>
      </c>
      <c r="D185">
        <f>IFERROR(__xludf.DUMMYFUNCTION("""COMPUTED_VALUE"""),1.0)</f>
        <v>1</v>
      </c>
      <c r="K185">
        <f t="shared" ref="K185:M185" si="390">if(B185=1,0,K184+1)</f>
        <v>7</v>
      </c>
      <c r="L185">
        <f t="shared" si="390"/>
        <v>1</v>
      </c>
      <c r="M185">
        <f t="shared" si="390"/>
        <v>0</v>
      </c>
      <c r="O185" s="8">
        <f>IFERROR(__xludf.DUMMYFUNCTION("""COMPUTED_VALUE"""),43800.0)</f>
        <v>43800</v>
      </c>
      <c r="P185">
        <f t="shared" ref="P185:R185" si="391">B185+P186</f>
        <v>181</v>
      </c>
      <c r="Q185">
        <f t="shared" si="391"/>
        <v>195</v>
      </c>
      <c r="R185">
        <f t="shared" si="391"/>
        <v>181</v>
      </c>
      <c r="S185">
        <f t="shared" si="265"/>
        <v>-14</v>
      </c>
      <c r="U185" s="8">
        <f>IFERROR(__xludf.DUMMYFUNCTION("""COMPUTED_VALUE"""),43800.0)</f>
        <v>43800</v>
      </c>
      <c r="V185">
        <f t="shared" si="9"/>
        <v>14</v>
      </c>
      <c r="W185">
        <f t="shared" si="10"/>
        <v>0</v>
      </c>
      <c r="X185">
        <f t="shared" si="11"/>
        <v>14</v>
      </c>
      <c r="Z185" s="8">
        <f>IFERROR(__xludf.DUMMYFUNCTION("""COMPUTED_VALUE"""),43800.0)</f>
        <v>43800</v>
      </c>
      <c r="AA185">
        <f t="shared" si="12"/>
        <v>0</v>
      </c>
      <c r="AB185">
        <f t="shared" si="13"/>
        <v>-14</v>
      </c>
      <c r="AC185">
        <f t="shared" si="14"/>
        <v>0</v>
      </c>
    </row>
    <row r="186">
      <c r="A186" s="8">
        <f>IFERROR(__xludf.DUMMYFUNCTION("""COMPUTED_VALUE"""),43793.0)</f>
        <v>43793</v>
      </c>
      <c r="B186">
        <f>IFERROR(__xludf.DUMMYFUNCTION("""COMPUTED_VALUE"""),2.0)</f>
        <v>2</v>
      </c>
      <c r="C186">
        <f>IFERROR(__xludf.DUMMYFUNCTION("""COMPUTED_VALUE"""),3.0)</f>
        <v>3</v>
      </c>
      <c r="D186">
        <f>IFERROR(__xludf.DUMMYFUNCTION("""COMPUTED_VALUE"""),1.0)</f>
        <v>1</v>
      </c>
      <c r="K186">
        <f t="shared" ref="K186:M186" si="392">if(B186=1,0,K185+1)</f>
        <v>8</v>
      </c>
      <c r="L186">
        <f t="shared" si="392"/>
        <v>2</v>
      </c>
      <c r="M186">
        <f t="shared" si="392"/>
        <v>0</v>
      </c>
      <c r="O186" s="8">
        <f>IFERROR(__xludf.DUMMYFUNCTION("""COMPUTED_VALUE"""),43793.0)</f>
        <v>43793</v>
      </c>
      <c r="P186">
        <f t="shared" ref="P186:R186" si="393">B186+P187</f>
        <v>178</v>
      </c>
      <c r="Q186">
        <f t="shared" si="393"/>
        <v>193</v>
      </c>
      <c r="R186">
        <f t="shared" si="393"/>
        <v>180</v>
      </c>
      <c r="S186">
        <f t="shared" si="265"/>
        <v>-2</v>
      </c>
      <c r="U186" s="8">
        <f>IFERROR(__xludf.DUMMYFUNCTION("""COMPUTED_VALUE"""),43793.0)</f>
        <v>43793</v>
      </c>
      <c r="V186">
        <f t="shared" si="9"/>
        <v>15</v>
      </c>
      <c r="W186">
        <f t="shared" si="10"/>
        <v>0</v>
      </c>
      <c r="X186">
        <f t="shared" si="11"/>
        <v>13</v>
      </c>
      <c r="Z186" s="8">
        <f>IFERROR(__xludf.DUMMYFUNCTION("""COMPUTED_VALUE"""),43793.0)</f>
        <v>43793</v>
      </c>
      <c r="AA186">
        <f t="shared" si="12"/>
        <v>0</v>
      </c>
      <c r="AB186">
        <f t="shared" si="13"/>
        <v>-15</v>
      </c>
      <c r="AC186">
        <f t="shared" si="14"/>
        <v>-2</v>
      </c>
    </row>
    <row r="187">
      <c r="A187" s="8">
        <f>IFERROR(__xludf.DUMMYFUNCTION("""COMPUTED_VALUE"""),43772.0)</f>
        <v>43772</v>
      </c>
      <c r="B187">
        <f>IFERROR(__xludf.DUMMYFUNCTION("""COMPUTED_VALUE"""),1.0)</f>
        <v>1</v>
      </c>
      <c r="C187">
        <f>IFERROR(__xludf.DUMMYFUNCTION("""COMPUTED_VALUE"""),3.0)</f>
        <v>3</v>
      </c>
      <c r="D187">
        <f>IFERROR(__xludf.DUMMYFUNCTION("""COMPUTED_VALUE"""),2.0)</f>
        <v>2</v>
      </c>
      <c r="K187">
        <f t="shared" ref="K187:M187" si="394">if(B187=1,0,K186+1)</f>
        <v>0</v>
      </c>
      <c r="L187">
        <f t="shared" si="394"/>
        <v>3</v>
      </c>
      <c r="M187">
        <f t="shared" si="394"/>
        <v>1</v>
      </c>
      <c r="O187" s="8">
        <f>IFERROR(__xludf.DUMMYFUNCTION("""COMPUTED_VALUE"""),43772.0)</f>
        <v>43772</v>
      </c>
      <c r="P187">
        <f t="shared" ref="P187:R187" si="395">B187+P188</f>
        <v>176</v>
      </c>
      <c r="Q187">
        <f t="shared" si="395"/>
        <v>190</v>
      </c>
      <c r="R187">
        <f t="shared" si="395"/>
        <v>179</v>
      </c>
      <c r="S187">
        <f t="shared" si="265"/>
        <v>-3</v>
      </c>
      <c r="U187" s="8">
        <f>IFERROR(__xludf.DUMMYFUNCTION("""COMPUTED_VALUE"""),43772.0)</f>
        <v>43772</v>
      </c>
      <c r="V187">
        <f t="shared" si="9"/>
        <v>14</v>
      </c>
      <c r="W187">
        <f t="shared" si="10"/>
        <v>0</v>
      </c>
      <c r="X187">
        <f t="shared" si="11"/>
        <v>11</v>
      </c>
      <c r="Z187" s="8">
        <f>IFERROR(__xludf.DUMMYFUNCTION("""COMPUTED_VALUE"""),43772.0)</f>
        <v>43772</v>
      </c>
      <c r="AA187">
        <f t="shared" si="12"/>
        <v>0</v>
      </c>
      <c r="AB187">
        <f t="shared" si="13"/>
        <v>-14</v>
      </c>
      <c r="AC187">
        <f t="shared" si="14"/>
        <v>-3</v>
      </c>
    </row>
    <row r="188">
      <c r="A188" s="8">
        <f>IFERROR(__xludf.DUMMYFUNCTION("""COMPUTED_VALUE"""),43765.0)</f>
        <v>43765</v>
      </c>
      <c r="B188">
        <f>IFERROR(__xludf.DUMMYFUNCTION("""COMPUTED_VALUE"""),2.0)</f>
        <v>2</v>
      </c>
      <c r="C188">
        <f>IFERROR(__xludf.DUMMYFUNCTION("""COMPUTED_VALUE"""),1.0)</f>
        <v>1</v>
      </c>
      <c r="D188">
        <f>IFERROR(__xludf.DUMMYFUNCTION("""COMPUTED_VALUE"""),3.0)</f>
        <v>3</v>
      </c>
      <c r="K188">
        <f t="shared" ref="K188:M188" si="396">if(B188=1,0,K187+1)</f>
        <v>1</v>
      </c>
      <c r="L188">
        <f t="shared" si="396"/>
        <v>0</v>
      </c>
      <c r="M188">
        <f t="shared" si="396"/>
        <v>2</v>
      </c>
      <c r="O188" s="8">
        <f>IFERROR(__xludf.DUMMYFUNCTION("""COMPUTED_VALUE"""),43765.0)</f>
        <v>43765</v>
      </c>
      <c r="P188">
        <f t="shared" ref="P188:R188" si="397">B188+P189</f>
        <v>175</v>
      </c>
      <c r="Q188">
        <f t="shared" si="397"/>
        <v>187</v>
      </c>
      <c r="R188">
        <f t="shared" si="397"/>
        <v>177</v>
      </c>
      <c r="S188">
        <f t="shared" si="265"/>
        <v>-2</v>
      </c>
      <c r="U188" s="8">
        <f>IFERROR(__xludf.DUMMYFUNCTION("""COMPUTED_VALUE"""),43765.0)</f>
        <v>43765</v>
      </c>
      <c r="V188">
        <f t="shared" si="9"/>
        <v>12</v>
      </c>
      <c r="W188">
        <f t="shared" si="10"/>
        <v>0</v>
      </c>
      <c r="X188">
        <f t="shared" si="11"/>
        <v>10</v>
      </c>
      <c r="Z188" s="8">
        <f>IFERROR(__xludf.DUMMYFUNCTION("""COMPUTED_VALUE"""),43765.0)</f>
        <v>43765</v>
      </c>
      <c r="AA188">
        <f t="shared" si="12"/>
        <v>0</v>
      </c>
      <c r="AB188">
        <f t="shared" si="13"/>
        <v>-12</v>
      </c>
      <c r="AC188">
        <f t="shared" si="14"/>
        <v>-2</v>
      </c>
    </row>
    <row r="189">
      <c r="A189" s="8">
        <f>IFERROR(__xludf.DUMMYFUNCTION("""COMPUTED_VALUE"""),43744.0)</f>
        <v>43744</v>
      </c>
      <c r="B189">
        <f>IFERROR(__xludf.DUMMYFUNCTION("""COMPUTED_VALUE"""),1.0)</f>
        <v>1</v>
      </c>
      <c r="C189">
        <f>IFERROR(__xludf.DUMMYFUNCTION("""COMPUTED_VALUE"""),2.0)</f>
        <v>2</v>
      </c>
      <c r="D189">
        <f>IFERROR(__xludf.DUMMYFUNCTION("""COMPUTED_VALUE"""),3.0)</f>
        <v>3</v>
      </c>
      <c r="K189">
        <f t="shared" ref="K189:M189" si="398">if(B189=1,0,K188+1)</f>
        <v>0</v>
      </c>
      <c r="L189">
        <f t="shared" si="398"/>
        <v>1</v>
      </c>
      <c r="M189">
        <f t="shared" si="398"/>
        <v>3</v>
      </c>
      <c r="O189" s="8">
        <f>IFERROR(__xludf.DUMMYFUNCTION("""COMPUTED_VALUE"""),43744.0)</f>
        <v>43744</v>
      </c>
      <c r="P189">
        <f t="shared" ref="P189:R189" si="399">B189+P190</f>
        <v>173</v>
      </c>
      <c r="Q189">
        <f t="shared" si="399"/>
        <v>186</v>
      </c>
      <c r="R189">
        <f t="shared" si="399"/>
        <v>174</v>
      </c>
      <c r="S189">
        <f t="shared" si="265"/>
        <v>-1</v>
      </c>
      <c r="U189" s="8">
        <f>IFERROR(__xludf.DUMMYFUNCTION("""COMPUTED_VALUE"""),43744.0)</f>
        <v>43744</v>
      </c>
      <c r="V189">
        <f t="shared" si="9"/>
        <v>13</v>
      </c>
      <c r="W189">
        <f t="shared" si="10"/>
        <v>0</v>
      </c>
      <c r="X189">
        <f t="shared" si="11"/>
        <v>12</v>
      </c>
      <c r="Z189" s="8">
        <f>IFERROR(__xludf.DUMMYFUNCTION("""COMPUTED_VALUE"""),43744.0)</f>
        <v>43744</v>
      </c>
      <c r="AA189">
        <f t="shared" si="12"/>
        <v>0</v>
      </c>
      <c r="AB189">
        <f t="shared" si="13"/>
        <v>-13</v>
      </c>
      <c r="AC189">
        <f t="shared" si="14"/>
        <v>-1</v>
      </c>
    </row>
    <row r="190">
      <c r="A190" s="8">
        <f>IFERROR(__xludf.DUMMYFUNCTION("""COMPUTED_VALUE"""),43722.0)</f>
        <v>43722</v>
      </c>
      <c r="B190">
        <f>IFERROR(__xludf.DUMMYFUNCTION("""COMPUTED_VALUE"""),2.0)</f>
        <v>2</v>
      </c>
      <c r="C190">
        <f>IFERROR(__xludf.DUMMYFUNCTION("""COMPUTED_VALUE"""),3.0)</f>
        <v>3</v>
      </c>
      <c r="D190">
        <f>IFERROR(__xludf.DUMMYFUNCTION("""COMPUTED_VALUE"""),1.0)</f>
        <v>1</v>
      </c>
      <c r="K190">
        <f t="shared" ref="K190:M190" si="400">if(B190=1,0,K189+1)</f>
        <v>1</v>
      </c>
      <c r="L190">
        <f t="shared" si="400"/>
        <v>2</v>
      </c>
      <c r="M190">
        <f t="shared" si="400"/>
        <v>0</v>
      </c>
      <c r="O190" s="8">
        <f>IFERROR(__xludf.DUMMYFUNCTION("""COMPUTED_VALUE"""),43722.0)</f>
        <v>43722</v>
      </c>
      <c r="P190">
        <f t="shared" ref="P190:R190" si="401">B190+P191</f>
        <v>172</v>
      </c>
      <c r="Q190">
        <f t="shared" si="401"/>
        <v>184</v>
      </c>
      <c r="R190">
        <f t="shared" si="401"/>
        <v>171</v>
      </c>
      <c r="S190">
        <f t="shared" si="265"/>
        <v>-1</v>
      </c>
      <c r="U190" s="8">
        <f>IFERROR(__xludf.DUMMYFUNCTION("""COMPUTED_VALUE"""),43722.0)</f>
        <v>43722</v>
      </c>
      <c r="V190">
        <f t="shared" si="9"/>
        <v>12</v>
      </c>
      <c r="W190">
        <f t="shared" si="10"/>
        <v>0</v>
      </c>
      <c r="X190">
        <f t="shared" si="11"/>
        <v>13</v>
      </c>
      <c r="Z190" s="8">
        <f>IFERROR(__xludf.DUMMYFUNCTION("""COMPUTED_VALUE"""),43722.0)</f>
        <v>43722</v>
      </c>
      <c r="AA190">
        <f t="shared" si="12"/>
        <v>-1</v>
      </c>
      <c r="AB190">
        <f t="shared" si="13"/>
        <v>-13</v>
      </c>
      <c r="AC190">
        <f t="shared" si="14"/>
        <v>0</v>
      </c>
    </row>
    <row r="191">
      <c r="A191" s="8">
        <f>IFERROR(__xludf.DUMMYFUNCTION("""COMPUTED_VALUE"""),43716.0)</f>
        <v>43716</v>
      </c>
      <c r="B191">
        <f>IFERROR(__xludf.DUMMYFUNCTION("""COMPUTED_VALUE"""),3.0)</f>
        <v>3</v>
      </c>
      <c r="C191">
        <f>IFERROR(__xludf.DUMMYFUNCTION("""COMPUTED_VALUE"""),1.0)</f>
        <v>1</v>
      </c>
      <c r="D191">
        <f>IFERROR(__xludf.DUMMYFUNCTION("""COMPUTED_VALUE"""),2.0)</f>
        <v>2</v>
      </c>
      <c r="K191">
        <f t="shared" ref="K191:M191" si="402">if(B191=1,0,K190+1)</f>
        <v>2</v>
      </c>
      <c r="L191">
        <f t="shared" si="402"/>
        <v>0</v>
      </c>
      <c r="M191">
        <f t="shared" si="402"/>
        <v>1</v>
      </c>
      <c r="O191" s="8">
        <f>IFERROR(__xludf.DUMMYFUNCTION("""COMPUTED_VALUE"""),43716.0)</f>
        <v>43716</v>
      </c>
      <c r="P191">
        <f t="shared" ref="P191:R191" si="403">B191+P192</f>
        <v>170</v>
      </c>
      <c r="Q191">
        <f t="shared" si="403"/>
        <v>181</v>
      </c>
      <c r="R191">
        <f t="shared" si="403"/>
        <v>170</v>
      </c>
      <c r="S191">
        <f t="shared" si="265"/>
        <v>-11</v>
      </c>
      <c r="U191" s="8">
        <f>IFERROR(__xludf.DUMMYFUNCTION("""COMPUTED_VALUE"""),43716.0)</f>
        <v>43716</v>
      </c>
      <c r="V191">
        <f t="shared" si="9"/>
        <v>11</v>
      </c>
      <c r="W191">
        <f t="shared" si="10"/>
        <v>0</v>
      </c>
      <c r="X191">
        <f t="shared" si="11"/>
        <v>11</v>
      </c>
      <c r="Z191" s="8">
        <f>IFERROR(__xludf.DUMMYFUNCTION("""COMPUTED_VALUE"""),43716.0)</f>
        <v>43716</v>
      </c>
      <c r="AA191">
        <f t="shared" si="12"/>
        <v>0</v>
      </c>
      <c r="AB191">
        <f t="shared" si="13"/>
        <v>-11</v>
      </c>
      <c r="AC191">
        <f t="shared" si="14"/>
        <v>0</v>
      </c>
    </row>
    <row r="192">
      <c r="A192" s="8">
        <f>IFERROR(__xludf.DUMMYFUNCTION("""COMPUTED_VALUE"""),43710.0)</f>
        <v>43710</v>
      </c>
      <c r="B192">
        <f>IFERROR(__xludf.DUMMYFUNCTION("""COMPUTED_VALUE"""),2.0)</f>
        <v>2</v>
      </c>
      <c r="C192">
        <f>IFERROR(__xludf.DUMMYFUNCTION("""COMPUTED_VALUE"""),4.0)</f>
        <v>4</v>
      </c>
      <c r="D192">
        <f>IFERROR(__xludf.DUMMYFUNCTION("""COMPUTED_VALUE"""),3.0)</f>
        <v>3</v>
      </c>
      <c r="K192">
        <f t="shared" ref="K192:M192" si="404">if(B192=1,0,K191+1)</f>
        <v>3</v>
      </c>
      <c r="L192">
        <f t="shared" si="404"/>
        <v>1</v>
      </c>
      <c r="M192">
        <f t="shared" si="404"/>
        <v>2</v>
      </c>
      <c r="O192" s="8">
        <f>IFERROR(__xludf.DUMMYFUNCTION("""COMPUTED_VALUE"""),43710.0)</f>
        <v>43710</v>
      </c>
      <c r="P192">
        <f t="shared" ref="P192:R192" si="405">B192+P193</f>
        <v>167</v>
      </c>
      <c r="Q192">
        <f t="shared" si="405"/>
        <v>180</v>
      </c>
      <c r="R192">
        <f t="shared" si="405"/>
        <v>168</v>
      </c>
      <c r="S192">
        <f t="shared" si="265"/>
        <v>-1</v>
      </c>
      <c r="U192" s="8">
        <f>IFERROR(__xludf.DUMMYFUNCTION("""COMPUTED_VALUE"""),43710.0)</f>
        <v>43710</v>
      </c>
      <c r="V192">
        <f t="shared" si="9"/>
        <v>13</v>
      </c>
      <c r="W192">
        <f t="shared" si="10"/>
        <v>0</v>
      </c>
      <c r="X192">
        <f t="shared" si="11"/>
        <v>12</v>
      </c>
      <c r="Z192" s="8">
        <f>IFERROR(__xludf.DUMMYFUNCTION("""COMPUTED_VALUE"""),43710.0)</f>
        <v>43710</v>
      </c>
      <c r="AA192">
        <f t="shared" si="12"/>
        <v>0</v>
      </c>
      <c r="AB192">
        <f t="shared" si="13"/>
        <v>-13</v>
      </c>
      <c r="AC192">
        <f t="shared" si="14"/>
        <v>-1</v>
      </c>
    </row>
    <row r="193">
      <c r="A193" s="8">
        <f>IFERROR(__xludf.DUMMYFUNCTION("""COMPUTED_VALUE"""),43709.0)</f>
        <v>43709</v>
      </c>
      <c r="B193">
        <f>IFERROR(__xludf.DUMMYFUNCTION("""COMPUTED_VALUE"""),1.0)</f>
        <v>1</v>
      </c>
      <c r="C193">
        <f>IFERROR(__xludf.DUMMYFUNCTION("""COMPUTED_VALUE"""),3.0)</f>
        <v>3</v>
      </c>
      <c r="D193">
        <f>IFERROR(__xludf.DUMMYFUNCTION("""COMPUTED_VALUE"""),2.0)</f>
        <v>2</v>
      </c>
      <c r="K193">
        <f t="shared" ref="K193:M193" si="406">if(B193=1,0,K192+1)</f>
        <v>0</v>
      </c>
      <c r="L193">
        <f t="shared" si="406"/>
        <v>2</v>
      </c>
      <c r="M193">
        <f t="shared" si="406"/>
        <v>3</v>
      </c>
      <c r="O193" s="8">
        <f>IFERROR(__xludf.DUMMYFUNCTION("""COMPUTED_VALUE"""),43709.0)</f>
        <v>43709</v>
      </c>
      <c r="P193">
        <f t="shared" ref="P193:R193" si="407">B193+P194</f>
        <v>165</v>
      </c>
      <c r="Q193">
        <f t="shared" si="407"/>
        <v>176</v>
      </c>
      <c r="R193">
        <f t="shared" si="407"/>
        <v>165</v>
      </c>
      <c r="S193">
        <f t="shared" si="265"/>
        <v>-11</v>
      </c>
      <c r="U193" s="8">
        <f>IFERROR(__xludf.DUMMYFUNCTION("""COMPUTED_VALUE"""),43709.0)</f>
        <v>43709</v>
      </c>
      <c r="V193">
        <f t="shared" si="9"/>
        <v>11</v>
      </c>
      <c r="W193">
        <f t="shared" si="10"/>
        <v>0</v>
      </c>
      <c r="X193">
        <f t="shared" si="11"/>
        <v>11</v>
      </c>
      <c r="Z193" s="8">
        <f>IFERROR(__xludf.DUMMYFUNCTION("""COMPUTED_VALUE"""),43709.0)</f>
        <v>43709</v>
      </c>
      <c r="AA193">
        <f t="shared" si="12"/>
        <v>0</v>
      </c>
      <c r="AB193">
        <f t="shared" si="13"/>
        <v>-11</v>
      </c>
      <c r="AC193">
        <f t="shared" si="14"/>
        <v>0</v>
      </c>
    </row>
    <row r="194">
      <c r="A194" s="8">
        <f>IFERROR(__xludf.DUMMYFUNCTION("""COMPUTED_VALUE"""),43702.0)</f>
        <v>43702</v>
      </c>
      <c r="B194">
        <f>IFERROR(__xludf.DUMMYFUNCTION("""COMPUTED_VALUE"""),2.0)</f>
        <v>2</v>
      </c>
      <c r="C194">
        <f>IFERROR(__xludf.DUMMYFUNCTION("""COMPUTED_VALUE"""),1.0)</f>
        <v>1</v>
      </c>
      <c r="D194">
        <f>IFERROR(__xludf.DUMMYFUNCTION("""COMPUTED_VALUE"""),3.0)</f>
        <v>3</v>
      </c>
      <c r="K194">
        <f t="shared" ref="K194:M194" si="408">if(B194=1,0,K193+1)</f>
        <v>1</v>
      </c>
      <c r="L194">
        <f t="shared" si="408"/>
        <v>0</v>
      </c>
      <c r="M194">
        <f t="shared" si="408"/>
        <v>4</v>
      </c>
      <c r="O194" s="8">
        <f>IFERROR(__xludf.DUMMYFUNCTION("""COMPUTED_VALUE"""),43702.0)</f>
        <v>43702</v>
      </c>
      <c r="P194">
        <f t="shared" ref="P194:R194" si="409">B194+P195</f>
        <v>164</v>
      </c>
      <c r="Q194">
        <f t="shared" si="409"/>
        <v>173</v>
      </c>
      <c r="R194">
        <f t="shared" si="409"/>
        <v>163</v>
      </c>
      <c r="S194">
        <f t="shared" si="265"/>
        <v>-1</v>
      </c>
      <c r="U194" s="8">
        <f>IFERROR(__xludf.DUMMYFUNCTION("""COMPUTED_VALUE"""),43702.0)</f>
        <v>43702</v>
      </c>
      <c r="V194">
        <f t="shared" si="9"/>
        <v>9</v>
      </c>
      <c r="W194">
        <f t="shared" si="10"/>
        <v>0</v>
      </c>
      <c r="X194">
        <f t="shared" si="11"/>
        <v>10</v>
      </c>
      <c r="Z194" s="8">
        <f>IFERROR(__xludf.DUMMYFUNCTION("""COMPUTED_VALUE"""),43702.0)</f>
        <v>43702</v>
      </c>
      <c r="AA194">
        <f t="shared" si="12"/>
        <v>-1</v>
      </c>
      <c r="AB194">
        <f t="shared" si="13"/>
        <v>-10</v>
      </c>
      <c r="AC194">
        <f t="shared" si="14"/>
        <v>0</v>
      </c>
    </row>
    <row r="195">
      <c r="A195" s="8">
        <f>IFERROR(__xludf.DUMMYFUNCTION("""COMPUTED_VALUE"""),43695.0)</f>
        <v>43695</v>
      </c>
      <c r="B195">
        <f>IFERROR(__xludf.DUMMYFUNCTION("""COMPUTED_VALUE"""),1.0)</f>
        <v>1</v>
      </c>
      <c r="C195">
        <f>IFERROR(__xludf.DUMMYFUNCTION("""COMPUTED_VALUE"""),2.0)</f>
        <v>2</v>
      </c>
      <c r="D195">
        <f>IFERROR(__xludf.DUMMYFUNCTION("""COMPUTED_VALUE"""),3.0)</f>
        <v>3</v>
      </c>
      <c r="K195">
        <f t="shared" ref="K195:M195" si="410">if(B195=1,0,K194+1)</f>
        <v>0</v>
      </c>
      <c r="L195">
        <f t="shared" si="410"/>
        <v>1</v>
      </c>
      <c r="M195">
        <f t="shared" si="410"/>
        <v>5</v>
      </c>
      <c r="O195" s="8">
        <f>IFERROR(__xludf.DUMMYFUNCTION("""COMPUTED_VALUE"""),43695.0)</f>
        <v>43695</v>
      </c>
      <c r="P195">
        <f t="shared" ref="P195:R195" si="411">B195+P196</f>
        <v>162</v>
      </c>
      <c r="Q195">
        <f t="shared" si="411"/>
        <v>172</v>
      </c>
      <c r="R195">
        <f t="shared" si="411"/>
        <v>160</v>
      </c>
      <c r="S195">
        <f t="shared" si="265"/>
        <v>-2</v>
      </c>
      <c r="U195" s="8">
        <f>IFERROR(__xludf.DUMMYFUNCTION("""COMPUTED_VALUE"""),43695.0)</f>
        <v>43695</v>
      </c>
      <c r="V195">
        <f t="shared" si="9"/>
        <v>10</v>
      </c>
      <c r="W195">
        <f t="shared" si="10"/>
        <v>0</v>
      </c>
      <c r="X195">
        <f t="shared" si="11"/>
        <v>12</v>
      </c>
      <c r="Z195" s="8">
        <f>IFERROR(__xludf.DUMMYFUNCTION("""COMPUTED_VALUE"""),43695.0)</f>
        <v>43695</v>
      </c>
      <c r="AA195">
        <f t="shared" si="12"/>
        <v>-2</v>
      </c>
      <c r="AB195">
        <f t="shared" si="13"/>
        <v>-12</v>
      </c>
      <c r="AC195">
        <f t="shared" si="14"/>
        <v>0</v>
      </c>
    </row>
    <row r="196">
      <c r="A196" s="8">
        <f>IFERROR(__xludf.DUMMYFUNCTION("""COMPUTED_VALUE"""),43688.0)</f>
        <v>43688</v>
      </c>
      <c r="B196">
        <f>IFERROR(__xludf.DUMMYFUNCTION("""COMPUTED_VALUE"""),2.0)</f>
        <v>2</v>
      </c>
      <c r="C196">
        <f>IFERROR(__xludf.DUMMYFUNCTION("""COMPUTED_VALUE"""),3.0)</f>
        <v>3</v>
      </c>
      <c r="D196">
        <f>IFERROR(__xludf.DUMMYFUNCTION("""COMPUTED_VALUE"""),1.0)</f>
        <v>1</v>
      </c>
      <c r="K196">
        <f t="shared" ref="K196:M196" si="412">if(B196=1,0,K195+1)</f>
        <v>1</v>
      </c>
      <c r="L196">
        <f t="shared" si="412"/>
        <v>2</v>
      </c>
      <c r="M196">
        <f t="shared" si="412"/>
        <v>0</v>
      </c>
      <c r="O196" s="8">
        <f>IFERROR(__xludf.DUMMYFUNCTION("""COMPUTED_VALUE"""),43688.0)</f>
        <v>43688</v>
      </c>
      <c r="P196">
        <f t="shared" ref="P196:R196" si="413">B196+P197</f>
        <v>161</v>
      </c>
      <c r="Q196">
        <f t="shared" si="413"/>
        <v>170</v>
      </c>
      <c r="R196">
        <f t="shared" si="413"/>
        <v>157</v>
      </c>
      <c r="S196">
        <f t="shared" si="265"/>
        <v>-4</v>
      </c>
      <c r="U196" s="8">
        <f>IFERROR(__xludf.DUMMYFUNCTION("""COMPUTED_VALUE"""),43688.0)</f>
        <v>43688</v>
      </c>
      <c r="V196">
        <f t="shared" si="9"/>
        <v>9</v>
      </c>
      <c r="W196">
        <f t="shared" si="10"/>
        <v>0</v>
      </c>
      <c r="X196">
        <f t="shared" si="11"/>
        <v>13</v>
      </c>
      <c r="Z196" s="8">
        <f>IFERROR(__xludf.DUMMYFUNCTION("""COMPUTED_VALUE"""),43688.0)</f>
        <v>43688</v>
      </c>
      <c r="AA196">
        <f t="shared" si="12"/>
        <v>-4</v>
      </c>
      <c r="AB196">
        <f t="shared" si="13"/>
        <v>-13</v>
      </c>
      <c r="AC196">
        <f t="shared" si="14"/>
        <v>0</v>
      </c>
    </row>
    <row r="197">
      <c r="A197" s="8">
        <f>IFERROR(__xludf.DUMMYFUNCTION("""COMPUTED_VALUE"""),43681.0)</f>
        <v>43681</v>
      </c>
      <c r="B197">
        <f>IFERROR(__xludf.DUMMYFUNCTION("""COMPUTED_VALUE"""),3.0)</f>
        <v>3</v>
      </c>
      <c r="C197">
        <f>IFERROR(__xludf.DUMMYFUNCTION("""COMPUTED_VALUE"""),2.0)</f>
        <v>2</v>
      </c>
      <c r="D197">
        <f>IFERROR(__xludf.DUMMYFUNCTION("""COMPUTED_VALUE"""),1.0)</f>
        <v>1</v>
      </c>
      <c r="K197">
        <f t="shared" ref="K197:M197" si="414">if(B197=1,0,K196+1)</f>
        <v>2</v>
      </c>
      <c r="L197">
        <f t="shared" si="414"/>
        <v>3</v>
      </c>
      <c r="M197">
        <f t="shared" si="414"/>
        <v>0</v>
      </c>
      <c r="O197" s="8">
        <f>IFERROR(__xludf.DUMMYFUNCTION("""COMPUTED_VALUE"""),43681.0)</f>
        <v>43681</v>
      </c>
      <c r="P197">
        <f t="shared" ref="P197:R197" si="415">B197+P198</f>
        <v>159</v>
      </c>
      <c r="Q197">
        <f t="shared" si="415"/>
        <v>167</v>
      </c>
      <c r="R197">
        <f t="shared" si="415"/>
        <v>156</v>
      </c>
      <c r="S197">
        <f t="shared" si="265"/>
        <v>-3</v>
      </c>
      <c r="U197" s="8">
        <f>IFERROR(__xludf.DUMMYFUNCTION("""COMPUTED_VALUE"""),43681.0)</f>
        <v>43681</v>
      </c>
      <c r="V197">
        <f t="shared" si="9"/>
        <v>8</v>
      </c>
      <c r="W197">
        <f t="shared" si="10"/>
        <v>0</v>
      </c>
      <c r="X197">
        <f t="shared" si="11"/>
        <v>11</v>
      </c>
      <c r="Z197" s="8">
        <f>IFERROR(__xludf.DUMMYFUNCTION("""COMPUTED_VALUE"""),43681.0)</f>
        <v>43681</v>
      </c>
      <c r="AA197">
        <f t="shared" si="12"/>
        <v>-3</v>
      </c>
      <c r="AB197">
        <f t="shared" si="13"/>
        <v>-11</v>
      </c>
      <c r="AC197">
        <f t="shared" si="14"/>
        <v>0</v>
      </c>
    </row>
    <row r="198">
      <c r="A198" s="8">
        <f>IFERROR(__xludf.DUMMYFUNCTION("""COMPUTED_VALUE"""),43667.0)</f>
        <v>43667</v>
      </c>
      <c r="B198">
        <f>IFERROR(__xludf.DUMMYFUNCTION("""COMPUTED_VALUE"""),3.0)</f>
        <v>3</v>
      </c>
      <c r="C198">
        <f>IFERROR(__xludf.DUMMYFUNCTION("""COMPUTED_VALUE"""),2.0)</f>
        <v>2</v>
      </c>
      <c r="D198">
        <f>IFERROR(__xludf.DUMMYFUNCTION("""COMPUTED_VALUE"""),1.0)</f>
        <v>1</v>
      </c>
      <c r="K198">
        <f t="shared" ref="K198:M198" si="416">if(B198=1,0,K197+1)</f>
        <v>3</v>
      </c>
      <c r="L198">
        <f t="shared" si="416"/>
        <v>4</v>
      </c>
      <c r="M198">
        <f t="shared" si="416"/>
        <v>0</v>
      </c>
      <c r="O198" s="8">
        <f>IFERROR(__xludf.DUMMYFUNCTION("""COMPUTED_VALUE"""),43667.0)</f>
        <v>43667</v>
      </c>
      <c r="P198">
        <f t="shared" ref="P198:R198" si="417">B198+P199</f>
        <v>156</v>
      </c>
      <c r="Q198">
        <f t="shared" si="417"/>
        <v>165</v>
      </c>
      <c r="R198">
        <f t="shared" si="417"/>
        <v>155</v>
      </c>
      <c r="S198">
        <f t="shared" si="265"/>
        <v>-1</v>
      </c>
      <c r="U198" s="8">
        <f>IFERROR(__xludf.DUMMYFUNCTION("""COMPUTED_VALUE"""),43667.0)</f>
        <v>43667</v>
      </c>
      <c r="V198">
        <f t="shared" si="9"/>
        <v>9</v>
      </c>
      <c r="W198">
        <f t="shared" si="10"/>
        <v>0</v>
      </c>
      <c r="X198">
        <f t="shared" si="11"/>
        <v>10</v>
      </c>
      <c r="Z198" s="8">
        <f>IFERROR(__xludf.DUMMYFUNCTION("""COMPUTED_VALUE"""),43667.0)</f>
        <v>43667</v>
      </c>
      <c r="AA198">
        <f t="shared" si="12"/>
        <v>-1</v>
      </c>
      <c r="AB198">
        <f t="shared" si="13"/>
        <v>-10</v>
      </c>
      <c r="AC198">
        <f t="shared" si="14"/>
        <v>0</v>
      </c>
    </row>
    <row r="199">
      <c r="A199" s="8">
        <f>IFERROR(__xludf.DUMMYFUNCTION("""COMPUTED_VALUE"""),43660.0)</f>
        <v>43660</v>
      </c>
      <c r="B199">
        <f>IFERROR(__xludf.DUMMYFUNCTION("""COMPUTED_VALUE"""),1.0)</f>
        <v>1</v>
      </c>
      <c r="C199">
        <f>IFERROR(__xludf.DUMMYFUNCTION("""COMPUTED_VALUE"""),3.0)</f>
        <v>3</v>
      </c>
      <c r="D199">
        <f>IFERROR(__xludf.DUMMYFUNCTION("""COMPUTED_VALUE"""),2.0)</f>
        <v>2</v>
      </c>
      <c r="K199">
        <f t="shared" ref="K199:M199" si="418">if(B199=1,0,K198+1)</f>
        <v>0</v>
      </c>
      <c r="L199">
        <f t="shared" si="418"/>
        <v>5</v>
      </c>
      <c r="M199">
        <f t="shared" si="418"/>
        <v>1</v>
      </c>
      <c r="O199" s="8">
        <f>IFERROR(__xludf.DUMMYFUNCTION("""COMPUTED_VALUE"""),43660.0)</f>
        <v>43660</v>
      </c>
      <c r="P199">
        <f t="shared" ref="P199:R199" si="419">B199+P200</f>
        <v>153</v>
      </c>
      <c r="Q199">
        <f t="shared" si="419"/>
        <v>163</v>
      </c>
      <c r="R199">
        <f t="shared" si="419"/>
        <v>154</v>
      </c>
      <c r="S199">
        <f t="shared" si="265"/>
        <v>-1</v>
      </c>
      <c r="U199" s="8">
        <f>IFERROR(__xludf.DUMMYFUNCTION("""COMPUTED_VALUE"""),43660.0)</f>
        <v>43660</v>
      </c>
      <c r="V199">
        <f t="shared" si="9"/>
        <v>10</v>
      </c>
      <c r="W199">
        <f t="shared" si="10"/>
        <v>0</v>
      </c>
      <c r="X199">
        <f t="shared" si="11"/>
        <v>9</v>
      </c>
      <c r="Z199" s="8">
        <f>IFERROR(__xludf.DUMMYFUNCTION("""COMPUTED_VALUE"""),43660.0)</f>
        <v>43660</v>
      </c>
      <c r="AA199">
        <f t="shared" si="12"/>
        <v>0</v>
      </c>
      <c r="AB199">
        <f t="shared" si="13"/>
        <v>-10</v>
      </c>
      <c r="AC199">
        <f t="shared" si="14"/>
        <v>-1</v>
      </c>
    </row>
    <row r="200">
      <c r="A200" s="8">
        <f>IFERROR(__xludf.DUMMYFUNCTION("""COMPUTED_VALUE"""),43651.0)</f>
        <v>43651</v>
      </c>
      <c r="B200">
        <f>IFERROR(__xludf.DUMMYFUNCTION("""COMPUTED_VALUE"""),3.0)</f>
        <v>3</v>
      </c>
      <c r="C200">
        <f>IFERROR(__xludf.DUMMYFUNCTION("""COMPUTED_VALUE"""),1.0)</f>
        <v>1</v>
      </c>
      <c r="D200">
        <f>IFERROR(__xludf.DUMMYFUNCTION("""COMPUTED_VALUE"""),2.0)</f>
        <v>2</v>
      </c>
      <c r="K200">
        <f t="shared" ref="K200:M200" si="420">if(B200=1,0,K199+1)</f>
        <v>1</v>
      </c>
      <c r="L200">
        <f t="shared" si="420"/>
        <v>0</v>
      </c>
      <c r="M200">
        <f t="shared" si="420"/>
        <v>2</v>
      </c>
      <c r="O200" s="8">
        <f>IFERROR(__xludf.DUMMYFUNCTION("""COMPUTED_VALUE"""),43651.0)</f>
        <v>43651</v>
      </c>
      <c r="P200">
        <f t="shared" ref="P200:R200" si="421">B200+P201</f>
        <v>152</v>
      </c>
      <c r="Q200">
        <f t="shared" si="421"/>
        <v>160</v>
      </c>
      <c r="R200">
        <f t="shared" si="421"/>
        <v>152</v>
      </c>
      <c r="S200">
        <f t="shared" si="265"/>
        <v>-8</v>
      </c>
      <c r="U200" s="8">
        <f>IFERROR(__xludf.DUMMYFUNCTION("""COMPUTED_VALUE"""),43651.0)</f>
        <v>43651</v>
      </c>
      <c r="V200">
        <f t="shared" si="9"/>
        <v>8</v>
      </c>
      <c r="W200">
        <f t="shared" si="10"/>
        <v>0</v>
      </c>
      <c r="X200">
        <f t="shared" si="11"/>
        <v>8</v>
      </c>
      <c r="Z200" s="8">
        <f>IFERROR(__xludf.DUMMYFUNCTION("""COMPUTED_VALUE"""),43651.0)</f>
        <v>43651</v>
      </c>
      <c r="AA200">
        <f t="shared" si="12"/>
        <v>0</v>
      </c>
      <c r="AB200">
        <f t="shared" si="13"/>
        <v>-8</v>
      </c>
      <c r="AC200">
        <f t="shared" si="14"/>
        <v>0</v>
      </c>
    </row>
    <row r="201">
      <c r="A201" s="8">
        <f>IFERROR(__xludf.DUMMYFUNCTION("""COMPUTED_VALUE"""),43650.0)</f>
        <v>43650</v>
      </c>
      <c r="B201">
        <f>IFERROR(__xludf.DUMMYFUNCTION("""COMPUTED_VALUE"""),3.0)</f>
        <v>3</v>
      </c>
      <c r="C201">
        <f>IFERROR(__xludf.DUMMYFUNCTION("""COMPUTED_VALUE"""),2.0)</f>
        <v>2</v>
      </c>
      <c r="D201">
        <f>IFERROR(__xludf.DUMMYFUNCTION("""COMPUTED_VALUE"""),1.0)</f>
        <v>1</v>
      </c>
      <c r="K201">
        <f t="shared" ref="K201:M201" si="422">if(B201=1,0,K200+1)</f>
        <v>2</v>
      </c>
      <c r="L201">
        <f t="shared" si="422"/>
        <v>1</v>
      </c>
      <c r="M201">
        <f t="shared" si="422"/>
        <v>0</v>
      </c>
      <c r="O201" s="8">
        <f>IFERROR(__xludf.DUMMYFUNCTION("""COMPUTED_VALUE"""),43650.0)</f>
        <v>43650</v>
      </c>
      <c r="P201">
        <f t="shared" ref="P201:R201" si="423">B201+P202</f>
        <v>149</v>
      </c>
      <c r="Q201">
        <f t="shared" si="423"/>
        <v>159</v>
      </c>
      <c r="R201">
        <f t="shared" si="423"/>
        <v>150</v>
      </c>
      <c r="S201">
        <f t="shared" si="265"/>
        <v>-1</v>
      </c>
      <c r="U201" s="8">
        <f>IFERROR(__xludf.DUMMYFUNCTION("""COMPUTED_VALUE"""),43650.0)</f>
        <v>43650</v>
      </c>
      <c r="V201">
        <f t="shared" si="9"/>
        <v>10</v>
      </c>
      <c r="W201">
        <f t="shared" si="10"/>
        <v>0</v>
      </c>
      <c r="X201">
        <f t="shared" si="11"/>
        <v>9</v>
      </c>
      <c r="Z201" s="8">
        <f>IFERROR(__xludf.DUMMYFUNCTION("""COMPUTED_VALUE"""),43650.0)</f>
        <v>43650</v>
      </c>
      <c r="AA201">
        <f t="shared" si="12"/>
        <v>0</v>
      </c>
      <c r="AB201">
        <f t="shared" si="13"/>
        <v>-10</v>
      </c>
      <c r="AC201">
        <f t="shared" si="14"/>
        <v>-1</v>
      </c>
    </row>
    <row r="202">
      <c r="A202" s="8">
        <f>IFERROR(__xludf.DUMMYFUNCTION("""COMPUTED_VALUE"""),43646.0)</f>
        <v>43646</v>
      </c>
      <c r="B202">
        <f>IFERROR(__xludf.DUMMYFUNCTION("""COMPUTED_VALUE"""),2.0)</f>
        <v>2</v>
      </c>
      <c r="C202">
        <f>IFERROR(__xludf.DUMMYFUNCTION("""COMPUTED_VALUE"""),3.0)</f>
        <v>3</v>
      </c>
      <c r="D202">
        <f>IFERROR(__xludf.DUMMYFUNCTION("""COMPUTED_VALUE"""),1.0)</f>
        <v>1</v>
      </c>
      <c r="K202">
        <f t="shared" ref="K202:M202" si="424">if(B202=1,0,K201+1)</f>
        <v>3</v>
      </c>
      <c r="L202">
        <f t="shared" si="424"/>
        <v>2</v>
      </c>
      <c r="M202">
        <f t="shared" si="424"/>
        <v>0</v>
      </c>
      <c r="O202" s="8">
        <f>IFERROR(__xludf.DUMMYFUNCTION("""COMPUTED_VALUE"""),43646.0)</f>
        <v>43646</v>
      </c>
      <c r="P202">
        <f t="shared" ref="P202:R202" si="425">B202+P203</f>
        <v>146</v>
      </c>
      <c r="Q202">
        <f t="shared" si="425"/>
        <v>157</v>
      </c>
      <c r="R202">
        <f t="shared" si="425"/>
        <v>149</v>
      </c>
      <c r="S202">
        <f t="shared" si="265"/>
        <v>-3</v>
      </c>
      <c r="U202" s="8">
        <f>IFERROR(__xludf.DUMMYFUNCTION("""COMPUTED_VALUE"""),43646.0)</f>
        <v>43646</v>
      </c>
      <c r="V202">
        <f t="shared" si="9"/>
        <v>11</v>
      </c>
      <c r="W202">
        <f t="shared" si="10"/>
        <v>0</v>
      </c>
      <c r="X202">
        <f t="shared" si="11"/>
        <v>8</v>
      </c>
      <c r="Z202" s="8">
        <f>IFERROR(__xludf.DUMMYFUNCTION("""COMPUTED_VALUE"""),43646.0)</f>
        <v>43646</v>
      </c>
      <c r="AA202">
        <f t="shared" si="12"/>
        <v>0</v>
      </c>
      <c r="AB202">
        <f t="shared" si="13"/>
        <v>-11</v>
      </c>
      <c r="AC202">
        <f t="shared" si="14"/>
        <v>-3</v>
      </c>
    </row>
    <row r="203">
      <c r="A203" s="8">
        <f>IFERROR(__xludf.DUMMYFUNCTION("""COMPUTED_VALUE"""),43632.0)</f>
        <v>43632</v>
      </c>
      <c r="B203">
        <f>IFERROR(__xludf.DUMMYFUNCTION("""COMPUTED_VALUE"""),1.0)</f>
        <v>1</v>
      </c>
      <c r="C203">
        <f>IFERROR(__xludf.DUMMYFUNCTION("""COMPUTED_VALUE"""),2.0)</f>
        <v>2</v>
      </c>
      <c r="D203">
        <f>IFERROR(__xludf.DUMMYFUNCTION("""COMPUTED_VALUE"""),3.0)</f>
        <v>3</v>
      </c>
      <c r="K203">
        <f t="shared" ref="K203:M203" si="426">if(B203=1,0,K202+1)</f>
        <v>0</v>
      </c>
      <c r="L203">
        <f t="shared" si="426"/>
        <v>3</v>
      </c>
      <c r="M203">
        <f t="shared" si="426"/>
        <v>1</v>
      </c>
      <c r="O203" s="8">
        <f>IFERROR(__xludf.DUMMYFUNCTION("""COMPUTED_VALUE"""),43632.0)</f>
        <v>43632</v>
      </c>
      <c r="P203">
        <f t="shared" ref="P203:R203" si="427">B203+P204</f>
        <v>144</v>
      </c>
      <c r="Q203">
        <f t="shared" si="427"/>
        <v>154</v>
      </c>
      <c r="R203">
        <f t="shared" si="427"/>
        <v>148</v>
      </c>
      <c r="S203">
        <f t="shared" si="265"/>
        <v>-4</v>
      </c>
      <c r="U203" s="8">
        <f>IFERROR(__xludf.DUMMYFUNCTION("""COMPUTED_VALUE"""),43632.0)</f>
        <v>43632</v>
      </c>
      <c r="V203">
        <f t="shared" si="9"/>
        <v>10</v>
      </c>
      <c r="W203">
        <f t="shared" si="10"/>
        <v>0</v>
      </c>
      <c r="X203">
        <f t="shared" si="11"/>
        <v>6</v>
      </c>
      <c r="Z203" s="8">
        <f>IFERROR(__xludf.DUMMYFUNCTION("""COMPUTED_VALUE"""),43632.0)</f>
        <v>43632</v>
      </c>
      <c r="AA203">
        <f t="shared" si="12"/>
        <v>0</v>
      </c>
      <c r="AB203">
        <f t="shared" si="13"/>
        <v>-10</v>
      </c>
      <c r="AC203">
        <f t="shared" si="14"/>
        <v>-4</v>
      </c>
    </row>
    <row r="204">
      <c r="A204" s="8">
        <f>IFERROR(__xludf.DUMMYFUNCTION("""COMPUTED_VALUE"""),43625.0)</f>
        <v>43625</v>
      </c>
      <c r="B204">
        <f>IFERROR(__xludf.DUMMYFUNCTION("""COMPUTED_VALUE"""),3.0)</f>
        <v>3</v>
      </c>
      <c r="C204">
        <f>IFERROR(__xludf.DUMMYFUNCTION("""COMPUTED_VALUE"""),2.0)</f>
        <v>2</v>
      </c>
      <c r="D204">
        <f>IFERROR(__xludf.DUMMYFUNCTION("""COMPUTED_VALUE"""),1.0)</f>
        <v>1</v>
      </c>
      <c r="K204">
        <f t="shared" ref="K204:M204" si="428">if(B204=1,0,K203+1)</f>
        <v>1</v>
      </c>
      <c r="L204">
        <f t="shared" si="428"/>
        <v>4</v>
      </c>
      <c r="M204">
        <f t="shared" si="428"/>
        <v>0</v>
      </c>
      <c r="O204" s="8">
        <f>IFERROR(__xludf.DUMMYFUNCTION("""COMPUTED_VALUE"""),43625.0)</f>
        <v>43625</v>
      </c>
      <c r="P204">
        <f t="shared" ref="P204:R204" si="429">B204+P205</f>
        <v>143</v>
      </c>
      <c r="Q204">
        <f t="shared" si="429"/>
        <v>152</v>
      </c>
      <c r="R204">
        <f t="shared" si="429"/>
        <v>145</v>
      </c>
      <c r="S204">
        <f t="shared" si="265"/>
        <v>-2</v>
      </c>
      <c r="U204" s="8">
        <f>IFERROR(__xludf.DUMMYFUNCTION("""COMPUTED_VALUE"""),43625.0)</f>
        <v>43625</v>
      </c>
      <c r="V204">
        <f t="shared" si="9"/>
        <v>9</v>
      </c>
      <c r="W204">
        <f t="shared" si="10"/>
        <v>0</v>
      </c>
      <c r="X204">
        <f t="shared" si="11"/>
        <v>7</v>
      </c>
      <c r="Z204" s="8">
        <f>IFERROR(__xludf.DUMMYFUNCTION("""COMPUTED_VALUE"""),43625.0)</f>
        <v>43625</v>
      </c>
      <c r="AA204">
        <f t="shared" si="12"/>
        <v>0</v>
      </c>
      <c r="AB204">
        <f t="shared" si="13"/>
        <v>-9</v>
      </c>
      <c r="AC204">
        <f t="shared" si="14"/>
        <v>-2</v>
      </c>
    </row>
    <row r="205">
      <c r="A205" s="8">
        <f>IFERROR(__xludf.DUMMYFUNCTION("""COMPUTED_VALUE"""),43548.0)</f>
        <v>43548</v>
      </c>
      <c r="B205">
        <f>IFERROR(__xludf.DUMMYFUNCTION("""COMPUTED_VALUE"""),1.0)</f>
        <v>1</v>
      </c>
      <c r="C205">
        <f>IFERROR(__xludf.DUMMYFUNCTION("""COMPUTED_VALUE"""),3.0)</f>
        <v>3</v>
      </c>
      <c r="D205">
        <f>IFERROR(__xludf.DUMMYFUNCTION("""COMPUTED_VALUE"""),2.0)</f>
        <v>2</v>
      </c>
      <c r="K205">
        <f t="shared" ref="K205:M205" si="430">if(B205=1,0,K204+1)</f>
        <v>0</v>
      </c>
      <c r="L205">
        <f t="shared" si="430"/>
        <v>5</v>
      </c>
      <c r="M205">
        <f t="shared" si="430"/>
        <v>1</v>
      </c>
      <c r="O205" s="8">
        <f>IFERROR(__xludf.DUMMYFUNCTION("""COMPUTED_VALUE"""),43548.0)</f>
        <v>43548</v>
      </c>
      <c r="P205">
        <f t="shared" ref="P205:R205" si="431">B205+P206</f>
        <v>140</v>
      </c>
      <c r="Q205">
        <f t="shared" si="431"/>
        <v>150</v>
      </c>
      <c r="R205">
        <f t="shared" si="431"/>
        <v>144</v>
      </c>
      <c r="S205">
        <f t="shared" si="265"/>
        <v>-4</v>
      </c>
      <c r="U205" s="8">
        <f>IFERROR(__xludf.DUMMYFUNCTION("""COMPUTED_VALUE"""),43548.0)</f>
        <v>43548</v>
      </c>
      <c r="V205">
        <f t="shared" si="9"/>
        <v>10</v>
      </c>
      <c r="W205">
        <f t="shared" si="10"/>
        <v>0</v>
      </c>
      <c r="X205">
        <f t="shared" si="11"/>
        <v>6</v>
      </c>
      <c r="Z205" s="8">
        <f>IFERROR(__xludf.DUMMYFUNCTION("""COMPUTED_VALUE"""),43548.0)</f>
        <v>43548</v>
      </c>
      <c r="AA205">
        <f t="shared" si="12"/>
        <v>0</v>
      </c>
      <c r="AB205">
        <f t="shared" si="13"/>
        <v>-10</v>
      </c>
      <c r="AC205">
        <f t="shared" si="14"/>
        <v>-4</v>
      </c>
    </row>
    <row r="206">
      <c r="A206" s="8">
        <f>IFERROR(__xludf.DUMMYFUNCTION("""COMPUTED_VALUE"""),43538.0)</f>
        <v>43538</v>
      </c>
      <c r="B206">
        <f>IFERROR(__xludf.DUMMYFUNCTION("""COMPUTED_VALUE"""),1.0)</f>
        <v>1</v>
      </c>
      <c r="C206">
        <f>IFERROR(__xludf.DUMMYFUNCTION("""COMPUTED_VALUE"""),2.0)</f>
        <v>2</v>
      </c>
      <c r="D206">
        <f>IFERROR(__xludf.DUMMYFUNCTION("""COMPUTED_VALUE"""),3.0)</f>
        <v>3</v>
      </c>
      <c r="K206">
        <f t="shared" ref="K206:M206" si="432">if(B206=1,0,K205+1)</f>
        <v>0</v>
      </c>
      <c r="L206">
        <f t="shared" si="432"/>
        <v>6</v>
      </c>
      <c r="M206">
        <f t="shared" si="432"/>
        <v>2</v>
      </c>
      <c r="O206" s="8">
        <f>IFERROR(__xludf.DUMMYFUNCTION("""COMPUTED_VALUE"""),43538.0)</f>
        <v>43538</v>
      </c>
      <c r="P206">
        <f t="shared" ref="P206:R206" si="433">B206+P207</f>
        <v>139</v>
      </c>
      <c r="Q206">
        <f t="shared" si="433"/>
        <v>147</v>
      </c>
      <c r="R206">
        <f t="shared" si="433"/>
        <v>142</v>
      </c>
      <c r="S206">
        <f t="shared" si="265"/>
        <v>-3</v>
      </c>
      <c r="U206" s="8">
        <f>IFERROR(__xludf.DUMMYFUNCTION("""COMPUTED_VALUE"""),43538.0)</f>
        <v>43538</v>
      </c>
      <c r="V206">
        <f t="shared" si="9"/>
        <v>8</v>
      </c>
      <c r="W206">
        <f t="shared" si="10"/>
        <v>0</v>
      </c>
      <c r="X206">
        <f t="shared" si="11"/>
        <v>5</v>
      </c>
      <c r="Z206" s="8">
        <f>IFERROR(__xludf.DUMMYFUNCTION("""COMPUTED_VALUE"""),43538.0)</f>
        <v>43538</v>
      </c>
      <c r="AA206">
        <f t="shared" si="12"/>
        <v>0</v>
      </c>
      <c r="AB206">
        <f t="shared" si="13"/>
        <v>-8</v>
      </c>
      <c r="AC206">
        <f t="shared" si="14"/>
        <v>-3</v>
      </c>
    </row>
    <row r="207">
      <c r="A207" s="8">
        <f>IFERROR(__xludf.DUMMYFUNCTION("""COMPUTED_VALUE"""),43506.0)</f>
        <v>43506</v>
      </c>
      <c r="B207">
        <f>IFERROR(__xludf.DUMMYFUNCTION("""COMPUTED_VALUE"""),1.0)</f>
        <v>1</v>
      </c>
      <c r="C207">
        <f>IFERROR(__xludf.DUMMYFUNCTION("""COMPUTED_VALUE"""),2.0)</f>
        <v>2</v>
      </c>
      <c r="D207">
        <f>IFERROR(__xludf.DUMMYFUNCTION("""COMPUTED_VALUE"""),3.0)</f>
        <v>3</v>
      </c>
      <c r="K207">
        <f t="shared" ref="K207:M207" si="434">if(B207=1,0,K206+1)</f>
        <v>0</v>
      </c>
      <c r="L207">
        <f t="shared" si="434"/>
        <v>7</v>
      </c>
      <c r="M207">
        <f t="shared" si="434"/>
        <v>3</v>
      </c>
      <c r="O207" s="8">
        <f>IFERROR(__xludf.DUMMYFUNCTION("""COMPUTED_VALUE"""),43506.0)</f>
        <v>43506</v>
      </c>
      <c r="P207">
        <f t="shared" ref="P207:R207" si="435">B207+P208</f>
        <v>138</v>
      </c>
      <c r="Q207">
        <f t="shared" si="435"/>
        <v>145</v>
      </c>
      <c r="R207">
        <f t="shared" si="435"/>
        <v>139</v>
      </c>
      <c r="S207">
        <f t="shared" si="265"/>
        <v>-1</v>
      </c>
      <c r="U207" s="8">
        <f>IFERROR(__xludf.DUMMYFUNCTION("""COMPUTED_VALUE"""),43506.0)</f>
        <v>43506</v>
      </c>
      <c r="V207">
        <f t="shared" si="9"/>
        <v>7</v>
      </c>
      <c r="W207">
        <f t="shared" si="10"/>
        <v>0</v>
      </c>
      <c r="X207">
        <f t="shared" si="11"/>
        <v>6</v>
      </c>
      <c r="Z207" s="8">
        <f>IFERROR(__xludf.DUMMYFUNCTION("""COMPUTED_VALUE"""),43506.0)</f>
        <v>43506</v>
      </c>
      <c r="AA207">
        <f t="shared" si="12"/>
        <v>0</v>
      </c>
      <c r="AB207">
        <f t="shared" si="13"/>
        <v>-7</v>
      </c>
      <c r="AC207">
        <f t="shared" si="14"/>
        <v>-1</v>
      </c>
    </row>
    <row r="208">
      <c r="A208" s="8">
        <f>IFERROR(__xludf.DUMMYFUNCTION("""COMPUTED_VALUE"""),43458.0)</f>
        <v>43458</v>
      </c>
      <c r="B208">
        <f>IFERROR(__xludf.DUMMYFUNCTION("""COMPUTED_VALUE"""),1.0)</f>
        <v>1</v>
      </c>
      <c r="C208">
        <f>IFERROR(__xludf.DUMMYFUNCTION("""COMPUTED_VALUE"""),3.0)</f>
        <v>3</v>
      </c>
      <c r="D208">
        <f>IFERROR(__xludf.DUMMYFUNCTION("""COMPUTED_VALUE"""),2.0)</f>
        <v>2</v>
      </c>
      <c r="K208">
        <f t="shared" ref="K208:M208" si="436">if(B208=1,0,K207+1)</f>
        <v>0</v>
      </c>
      <c r="L208">
        <f t="shared" si="436"/>
        <v>8</v>
      </c>
      <c r="M208">
        <f t="shared" si="436"/>
        <v>4</v>
      </c>
      <c r="O208" s="8">
        <f>IFERROR(__xludf.DUMMYFUNCTION("""COMPUTED_VALUE"""),43458.0)</f>
        <v>43458</v>
      </c>
      <c r="P208">
        <f t="shared" ref="P208:R208" si="437">B208+P209</f>
        <v>137</v>
      </c>
      <c r="Q208">
        <f t="shared" si="437"/>
        <v>143</v>
      </c>
      <c r="R208">
        <f t="shared" si="437"/>
        <v>136</v>
      </c>
      <c r="S208">
        <f t="shared" si="265"/>
        <v>-1</v>
      </c>
      <c r="U208" s="8">
        <f>IFERROR(__xludf.DUMMYFUNCTION("""COMPUTED_VALUE"""),43458.0)</f>
        <v>43458</v>
      </c>
      <c r="V208">
        <f t="shared" si="9"/>
        <v>6</v>
      </c>
      <c r="W208">
        <f t="shared" si="10"/>
        <v>0</v>
      </c>
      <c r="X208">
        <f t="shared" si="11"/>
        <v>7</v>
      </c>
      <c r="Z208" s="8">
        <f>IFERROR(__xludf.DUMMYFUNCTION("""COMPUTED_VALUE"""),43458.0)</f>
        <v>43458</v>
      </c>
      <c r="AA208">
        <f t="shared" si="12"/>
        <v>-1</v>
      </c>
      <c r="AB208">
        <f t="shared" si="13"/>
        <v>-7</v>
      </c>
      <c r="AC208">
        <f t="shared" si="14"/>
        <v>0</v>
      </c>
    </row>
    <row r="209">
      <c r="A209" s="8">
        <f>IFERROR(__xludf.DUMMYFUNCTION("""COMPUTED_VALUE"""),43427.0)</f>
        <v>43427</v>
      </c>
      <c r="B209">
        <f>IFERROR(__xludf.DUMMYFUNCTION("""COMPUTED_VALUE"""),3.0)</f>
        <v>3</v>
      </c>
      <c r="C209">
        <f>IFERROR(__xludf.DUMMYFUNCTION("""COMPUTED_VALUE"""),1.0)</f>
        <v>1</v>
      </c>
      <c r="D209">
        <f>IFERROR(__xludf.DUMMYFUNCTION("""COMPUTED_VALUE"""),2.0)</f>
        <v>2</v>
      </c>
      <c r="K209">
        <f t="shared" ref="K209:M209" si="438">if(B209=1,0,K208+1)</f>
        <v>1</v>
      </c>
      <c r="L209">
        <f t="shared" si="438"/>
        <v>0</v>
      </c>
      <c r="M209">
        <f t="shared" si="438"/>
        <v>5</v>
      </c>
      <c r="O209" s="8">
        <f>IFERROR(__xludf.DUMMYFUNCTION("""COMPUTED_VALUE"""),43427.0)</f>
        <v>43427</v>
      </c>
      <c r="P209">
        <f t="shared" ref="P209:R209" si="439">B209+P210</f>
        <v>136</v>
      </c>
      <c r="Q209">
        <f t="shared" si="439"/>
        <v>140</v>
      </c>
      <c r="R209">
        <f t="shared" si="439"/>
        <v>134</v>
      </c>
      <c r="S209">
        <f t="shared" si="265"/>
        <v>-2</v>
      </c>
      <c r="U209" s="8">
        <f>IFERROR(__xludf.DUMMYFUNCTION("""COMPUTED_VALUE"""),43427.0)</f>
        <v>43427</v>
      </c>
      <c r="V209">
        <f t="shared" si="9"/>
        <v>4</v>
      </c>
      <c r="W209">
        <f t="shared" si="10"/>
        <v>0</v>
      </c>
      <c r="X209">
        <f t="shared" si="11"/>
        <v>6</v>
      </c>
      <c r="Z209" s="8">
        <f>IFERROR(__xludf.DUMMYFUNCTION("""COMPUTED_VALUE"""),43427.0)</f>
        <v>43427</v>
      </c>
      <c r="AA209">
        <f t="shared" si="12"/>
        <v>-2</v>
      </c>
      <c r="AB209">
        <f t="shared" si="13"/>
        <v>-6</v>
      </c>
      <c r="AC209">
        <f t="shared" si="14"/>
        <v>0</v>
      </c>
    </row>
    <row r="210">
      <c r="A210" s="8">
        <f>IFERROR(__xludf.DUMMYFUNCTION("""COMPUTED_VALUE"""),43352.0)</f>
        <v>43352</v>
      </c>
      <c r="B210">
        <f>IFERROR(__xludf.DUMMYFUNCTION("""COMPUTED_VALUE"""),4.0)</f>
        <v>4</v>
      </c>
      <c r="C210">
        <f>IFERROR(__xludf.DUMMYFUNCTION("""COMPUTED_VALUE"""),1.0)</f>
        <v>1</v>
      </c>
      <c r="D210">
        <f>IFERROR(__xludf.DUMMYFUNCTION("""COMPUTED_VALUE"""),3.0)</f>
        <v>3</v>
      </c>
      <c r="K210">
        <f t="shared" ref="K210:M210" si="440">if(B210=1,0,K209+1)</f>
        <v>2</v>
      </c>
      <c r="L210">
        <f t="shared" si="440"/>
        <v>0</v>
      </c>
      <c r="M210">
        <f t="shared" si="440"/>
        <v>6</v>
      </c>
      <c r="O210" s="8">
        <f>IFERROR(__xludf.DUMMYFUNCTION("""COMPUTED_VALUE"""),43352.0)</f>
        <v>43352</v>
      </c>
      <c r="P210">
        <f t="shared" ref="P210:R210" si="441">B210+P211</f>
        <v>133</v>
      </c>
      <c r="Q210">
        <f t="shared" si="441"/>
        <v>139</v>
      </c>
      <c r="R210">
        <f t="shared" si="441"/>
        <v>132</v>
      </c>
      <c r="S210">
        <f t="shared" si="265"/>
        <v>-1</v>
      </c>
      <c r="U210" s="8">
        <f>IFERROR(__xludf.DUMMYFUNCTION("""COMPUTED_VALUE"""),43352.0)</f>
        <v>43352</v>
      </c>
      <c r="V210">
        <f t="shared" si="9"/>
        <v>6</v>
      </c>
      <c r="W210">
        <f t="shared" si="10"/>
        <v>0</v>
      </c>
      <c r="X210">
        <f t="shared" si="11"/>
        <v>7</v>
      </c>
      <c r="Z210" s="8">
        <f>IFERROR(__xludf.DUMMYFUNCTION("""COMPUTED_VALUE"""),43352.0)</f>
        <v>43352</v>
      </c>
      <c r="AA210">
        <f t="shared" si="12"/>
        <v>-1</v>
      </c>
      <c r="AB210">
        <f t="shared" si="13"/>
        <v>-7</v>
      </c>
      <c r="AC210">
        <f t="shared" si="14"/>
        <v>0</v>
      </c>
    </row>
    <row r="211">
      <c r="A211" s="8">
        <f>IFERROR(__xludf.DUMMYFUNCTION("""COMPUTED_VALUE"""),43310.0)</f>
        <v>43310</v>
      </c>
      <c r="B211">
        <f>IFERROR(__xludf.DUMMYFUNCTION("""COMPUTED_VALUE"""),2.0)</f>
        <v>2</v>
      </c>
      <c r="C211">
        <f>IFERROR(__xludf.DUMMYFUNCTION("""COMPUTED_VALUE"""),3.0)</f>
        <v>3</v>
      </c>
      <c r="D211">
        <f>IFERROR(__xludf.DUMMYFUNCTION("""COMPUTED_VALUE"""),1.0)</f>
        <v>1</v>
      </c>
      <c r="K211">
        <f t="shared" ref="K211:M211" si="442">if(B211=1,0,K210+1)</f>
        <v>3</v>
      </c>
      <c r="L211">
        <f t="shared" si="442"/>
        <v>1</v>
      </c>
      <c r="M211">
        <f t="shared" si="442"/>
        <v>0</v>
      </c>
      <c r="O211" s="8">
        <f>IFERROR(__xludf.DUMMYFUNCTION("""COMPUTED_VALUE"""),43310.0)</f>
        <v>43310</v>
      </c>
      <c r="P211">
        <f t="shared" ref="P211:R211" si="443">B211+P212</f>
        <v>129</v>
      </c>
      <c r="Q211">
        <f t="shared" si="443"/>
        <v>138</v>
      </c>
      <c r="R211">
        <f t="shared" si="443"/>
        <v>129</v>
      </c>
      <c r="S211">
        <f t="shared" si="265"/>
        <v>-9</v>
      </c>
      <c r="U211" s="8">
        <f>IFERROR(__xludf.DUMMYFUNCTION("""COMPUTED_VALUE"""),43310.0)</f>
        <v>43310</v>
      </c>
      <c r="V211">
        <f t="shared" si="9"/>
        <v>9</v>
      </c>
      <c r="W211">
        <f t="shared" si="10"/>
        <v>0</v>
      </c>
      <c r="X211">
        <f t="shared" si="11"/>
        <v>9</v>
      </c>
      <c r="Z211" s="8">
        <f>IFERROR(__xludf.DUMMYFUNCTION("""COMPUTED_VALUE"""),43310.0)</f>
        <v>43310</v>
      </c>
      <c r="AA211">
        <f t="shared" si="12"/>
        <v>0</v>
      </c>
      <c r="AB211">
        <f t="shared" si="13"/>
        <v>-9</v>
      </c>
      <c r="AC211">
        <f t="shared" si="14"/>
        <v>0</v>
      </c>
    </row>
    <row r="212">
      <c r="A212" s="8">
        <f>IFERROR(__xludf.DUMMYFUNCTION("""COMPUTED_VALUE"""),43287.0)</f>
        <v>43287</v>
      </c>
      <c r="B212">
        <f>IFERROR(__xludf.DUMMYFUNCTION("""COMPUTED_VALUE"""),2.0)</f>
        <v>2</v>
      </c>
      <c r="C212">
        <f>IFERROR(__xludf.DUMMYFUNCTION("""COMPUTED_VALUE"""),1.0)</f>
        <v>1</v>
      </c>
      <c r="D212">
        <f>IFERROR(__xludf.DUMMYFUNCTION("""COMPUTED_VALUE"""),3.0)</f>
        <v>3</v>
      </c>
      <c r="K212">
        <f t="shared" ref="K212:M212" si="444">if(B212=1,0,K211+1)</f>
        <v>4</v>
      </c>
      <c r="L212">
        <f t="shared" si="444"/>
        <v>0</v>
      </c>
      <c r="M212">
        <f t="shared" si="444"/>
        <v>1</v>
      </c>
      <c r="O212" s="8">
        <f>IFERROR(__xludf.DUMMYFUNCTION("""COMPUTED_VALUE"""),43287.0)</f>
        <v>43287</v>
      </c>
      <c r="P212">
        <f t="shared" ref="P212:R212" si="445">B212+P213</f>
        <v>127</v>
      </c>
      <c r="Q212">
        <f t="shared" si="445"/>
        <v>135</v>
      </c>
      <c r="R212">
        <f t="shared" si="445"/>
        <v>128</v>
      </c>
      <c r="S212">
        <f t="shared" si="265"/>
        <v>-1</v>
      </c>
      <c r="U212" s="8">
        <f>IFERROR(__xludf.DUMMYFUNCTION("""COMPUTED_VALUE"""),43287.0)</f>
        <v>43287</v>
      </c>
      <c r="V212">
        <f t="shared" si="9"/>
        <v>8</v>
      </c>
      <c r="W212">
        <f t="shared" si="10"/>
        <v>0</v>
      </c>
      <c r="X212">
        <f t="shared" si="11"/>
        <v>7</v>
      </c>
      <c r="Z212" s="8">
        <f>IFERROR(__xludf.DUMMYFUNCTION("""COMPUTED_VALUE"""),43287.0)</f>
        <v>43287</v>
      </c>
      <c r="AA212">
        <f t="shared" si="12"/>
        <v>0</v>
      </c>
      <c r="AB212">
        <f t="shared" si="13"/>
        <v>-8</v>
      </c>
      <c r="AC212">
        <f t="shared" si="14"/>
        <v>-1</v>
      </c>
    </row>
    <row r="213">
      <c r="A213" s="8">
        <f>IFERROR(__xludf.DUMMYFUNCTION("""COMPUTED_VALUE"""),43268.0)</f>
        <v>43268</v>
      </c>
      <c r="B213">
        <f>IFERROR(__xludf.DUMMYFUNCTION("""COMPUTED_VALUE"""),3.0)</f>
        <v>3</v>
      </c>
      <c r="C213">
        <f>IFERROR(__xludf.DUMMYFUNCTION("""COMPUTED_VALUE"""),1.0)</f>
        <v>1</v>
      </c>
      <c r="D213">
        <f>IFERROR(__xludf.DUMMYFUNCTION("""COMPUTED_VALUE"""),2.0)</f>
        <v>2</v>
      </c>
      <c r="K213">
        <f t="shared" ref="K213:M213" si="446">if(B213=1,0,K212+1)</f>
        <v>5</v>
      </c>
      <c r="L213">
        <f t="shared" si="446"/>
        <v>0</v>
      </c>
      <c r="M213">
        <f t="shared" si="446"/>
        <v>2</v>
      </c>
      <c r="O213" s="8">
        <f>IFERROR(__xludf.DUMMYFUNCTION("""COMPUTED_VALUE"""),43268.0)</f>
        <v>43268</v>
      </c>
      <c r="P213">
        <f t="shared" ref="P213:R213" si="447">B213+P214</f>
        <v>125</v>
      </c>
      <c r="Q213">
        <f t="shared" si="447"/>
        <v>134</v>
      </c>
      <c r="R213">
        <f t="shared" si="447"/>
        <v>125</v>
      </c>
      <c r="S213">
        <f t="shared" si="265"/>
        <v>-9</v>
      </c>
      <c r="U213" s="8">
        <f>IFERROR(__xludf.DUMMYFUNCTION("""COMPUTED_VALUE"""),43268.0)</f>
        <v>43268</v>
      </c>
      <c r="V213">
        <f t="shared" si="9"/>
        <v>9</v>
      </c>
      <c r="W213">
        <f t="shared" si="10"/>
        <v>0</v>
      </c>
      <c r="X213">
        <f t="shared" si="11"/>
        <v>9</v>
      </c>
      <c r="Z213" s="8">
        <f>IFERROR(__xludf.DUMMYFUNCTION("""COMPUTED_VALUE"""),43268.0)</f>
        <v>43268</v>
      </c>
      <c r="AA213">
        <f t="shared" si="12"/>
        <v>0</v>
      </c>
      <c r="AB213">
        <f t="shared" si="13"/>
        <v>-9</v>
      </c>
      <c r="AC213">
        <f t="shared" si="14"/>
        <v>0</v>
      </c>
    </row>
    <row r="214">
      <c r="A214" s="8">
        <f>IFERROR(__xludf.DUMMYFUNCTION("""COMPUTED_VALUE"""),43193.0)</f>
        <v>43193</v>
      </c>
      <c r="B214">
        <f>IFERROR(__xludf.DUMMYFUNCTION("""COMPUTED_VALUE"""),1.0)</f>
        <v>1</v>
      </c>
      <c r="C214">
        <f>IFERROR(__xludf.DUMMYFUNCTION("""COMPUTED_VALUE"""),3.0)</f>
        <v>3</v>
      </c>
      <c r="D214">
        <f>IFERROR(__xludf.DUMMYFUNCTION("""COMPUTED_VALUE"""),2.0)</f>
        <v>2</v>
      </c>
      <c r="K214">
        <f t="shared" ref="K214:M214" si="448">if(B214=1,0,K213+1)</f>
        <v>0</v>
      </c>
      <c r="L214">
        <f t="shared" si="448"/>
        <v>1</v>
      </c>
      <c r="M214">
        <f t="shared" si="448"/>
        <v>3</v>
      </c>
      <c r="O214" s="8">
        <f>IFERROR(__xludf.DUMMYFUNCTION("""COMPUTED_VALUE"""),43193.0)</f>
        <v>43193</v>
      </c>
      <c r="P214">
        <f t="shared" ref="P214:R214" si="449">B214+P215</f>
        <v>122</v>
      </c>
      <c r="Q214">
        <f t="shared" si="449"/>
        <v>133</v>
      </c>
      <c r="R214">
        <f t="shared" si="449"/>
        <v>123</v>
      </c>
      <c r="S214">
        <f t="shared" si="265"/>
        <v>-1</v>
      </c>
      <c r="U214" s="8">
        <f>IFERROR(__xludf.DUMMYFUNCTION("""COMPUTED_VALUE"""),43193.0)</f>
        <v>43193</v>
      </c>
      <c r="V214">
        <f t="shared" si="9"/>
        <v>11</v>
      </c>
      <c r="W214">
        <f t="shared" si="10"/>
        <v>0</v>
      </c>
      <c r="X214">
        <f t="shared" si="11"/>
        <v>10</v>
      </c>
      <c r="Z214" s="8">
        <f>IFERROR(__xludf.DUMMYFUNCTION("""COMPUTED_VALUE"""),43193.0)</f>
        <v>43193</v>
      </c>
      <c r="AA214">
        <f t="shared" si="12"/>
        <v>0</v>
      </c>
      <c r="AB214">
        <f t="shared" si="13"/>
        <v>-11</v>
      </c>
      <c r="AC214">
        <f t="shared" si="14"/>
        <v>-1</v>
      </c>
    </row>
    <row r="215">
      <c r="A215" s="8">
        <f>IFERROR(__xludf.DUMMYFUNCTION("""COMPUTED_VALUE"""),43188.0)</f>
        <v>43188</v>
      </c>
      <c r="B215">
        <f>IFERROR(__xludf.DUMMYFUNCTION("""COMPUTED_VALUE"""),1.0)</f>
        <v>1</v>
      </c>
      <c r="C215">
        <f>IFERROR(__xludf.DUMMYFUNCTION("""COMPUTED_VALUE"""),3.0)</f>
        <v>3</v>
      </c>
      <c r="D215">
        <f>IFERROR(__xludf.DUMMYFUNCTION("""COMPUTED_VALUE"""),2.0)</f>
        <v>2</v>
      </c>
      <c r="K215">
        <f t="shared" ref="K215:M215" si="450">if(B215=1,0,K214+1)</f>
        <v>0</v>
      </c>
      <c r="L215">
        <f t="shared" si="450"/>
        <v>2</v>
      </c>
      <c r="M215">
        <f t="shared" si="450"/>
        <v>4</v>
      </c>
      <c r="O215" s="8">
        <f>IFERROR(__xludf.DUMMYFUNCTION("""COMPUTED_VALUE"""),43188.0)</f>
        <v>43188</v>
      </c>
      <c r="P215">
        <f t="shared" ref="P215:R215" si="451">B215+P216</f>
        <v>121</v>
      </c>
      <c r="Q215">
        <f t="shared" si="451"/>
        <v>130</v>
      </c>
      <c r="R215">
        <f t="shared" si="451"/>
        <v>121</v>
      </c>
      <c r="S215">
        <f t="shared" si="265"/>
        <v>-9</v>
      </c>
      <c r="U215" s="8">
        <f>IFERROR(__xludf.DUMMYFUNCTION("""COMPUTED_VALUE"""),43188.0)</f>
        <v>43188</v>
      </c>
      <c r="V215">
        <f t="shared" si="9"/>
        <v>9</v>
      </c>
      <c r="W215">
        <f t="shared" si="10"/>
        <v>0</v>
      </c>
      <c r="X215">
        <f t="shared" si="11"/>
        <v>9</v>
      </c>
      <c r="Z215" s="8">
        <f>IFERROR(__xludf.DUMMYFUNCTION("""COMPUTED_VALUE"""),43188.0)</f>
        <v>43188</v>
      </c>
      <c r="AA215">
        <f t="shared" si="12"/>
        <v>0</v>
      </c>
      <c r="AB215">
        <f t="shared" si="13"/>
        <v>-9</v>
      </c>
      <c r="AC215">
        <f t="shared" si="14"/>
        <v>0</v>
      </c>
    </row>
    <row r="216">
      <c r="A216" s="8">
        <f>IFERROR(__xludf.DUMMYFUNCTION("""COMPUTED_VALUE"""),43167.0)</f>
        <v>43167</v>
      </c>
      <c r="B216">
        <f>IFERROR(__xludf.DUMMYFUNCTION("""COMPUTED_VALUE"""),2.0)</f>
        <v>2</v>
      </c>
      <c r="C216">
        <f>IFERROR(__xludf.DUMMYFUNCTION("""COMPUTED_VALUE"""),3.0)</f>
        <v>3</v>
      </c>
      <c r="D216">
        <f>IFERROR(__xludf.DUMMYFUNCTION("""COMPUTED_VALUE"""),1.0)</f>
        <v>1</v>
      </c>
      <c r="K216">
        <f t="shared" ref="K216:M216" si="452">if(B216=1,0,K215+1)</f>
        <v>1</v>
      </c>
      <c r="L216">
        <f t="shared" si="452"/>
        <v>3</v>
      </c>
      <c r="M216">
        <f t="shared" si="452"/>
        <v>0</v>
      </c>
      <c r="O216" s="8">
        <f>IFERROR(__xludf.DUMMYFUNCTION("""COMPUTED_VALUE"""),43167.0)</f>
        <v>43167</v>
      </c>
      <c r="P216">
        <f t="shared" ref="P216:R216" si="453">B216+P217</f>
        <v>120</v>
      </c>
      <c r="Q216">
        <f t="shared" si="453"/>
        <v>127</v>
      </c>
      <c r="R216">
        <f t="shared" si="453"/>
        <v>119</v>
      </c>
      <c r="S216">
        <f t="shared" si="265"/>
        <v>-1</v>
      </c>
      <c r="U216" s="8">
        <f>IFERROR(__xludf.DUMMYFUNCTION("""COMPUTED_VALUE"""),43167.0)</f>
        <v>43167</v>
      </c>
      <c r="V216">
        <f t="shared" si="9"/>
        <v>7</v>
      </c>
      <c r="W216">
        <f t="shared" si="10"/>
        <v>0</v>
      </c>
      <c r="X216">
        <f t="shared" si="11"/>
        <v>8</v>
      </c>
      <c r="Z216" s="8">
        <f>IFERROR(__xludf.DUMMYFUNCTION("""COMPUTED_VALUE"""),43167.0)</f>
        <v>43167</v>
      </c>
      <c r="AA216">
        <f t="shared" si="12"/>
        <v>-1</v>
      </c>
      <c r="AB216">
        <f t="shared" si="13"/>
        <v>-8</v>
      </c>
      <c r="AC216">
        <f t="shared" si="14"/>
        <v>0</v>
      </c>
    </row>
    <row r="217">
      <c r="A217" s="8">
        <f>IFERROR(__xludf.DUMMYFUNCTION("""COMPUTED_VALUE"""),43158.0)</f>
        <v>43158</v>
      </c>
      <c r="B217">
        <f>IFERROR(__xludf.DUMMYFUNCTION("""COMPUTED_VALUE"""),2.0)</f>
        <v>2</v>
      </c>
      <c r="C217">
        <f>IFERROR(__xludf.DUMMYFUNCTION("""COMPUTED_VALUE"""),3.0)</f>
        <v>3</v>
      </c>
      <c r="D217">
        <f>IFERROR(__xludf.DUMMYFUNCTION("""COMPUTED_VALUE"""),1.0)</f>
        <v>1</v>
      </c>
      <c r="K217">
        <f t="shared" ref="K217:M217" si="454">if(B217=1,0,K216+1)</f>
        <v>2</v>
      </c>
      <c r="L217">
        <f t="shared" si="454"/>
        <v>4</v>
      </c>
      <c r="M217">
        <f t="shared" si="454"/>
        <v>0</v>
      </c>
      <c r="O217" s="8">
        <f>IFERROR(__xludf.DUMMYFUNCTION("""COMPUTED_VALUE"""),43158.0)</f>
        <v>43158</v>
      </c>
      <c r="P217">
        <f t="shared" ref="P217:R217" si="455">B217+P218</f>
        <v>118</v>
      </c>
      <c r="Q217">
        <f t="shared" si="455"/>
        <v>124</v>
      </c>
      <c r="R217">
        <f t="shared" si="455"/>
        <v>118</v>
      </c>
      <c r="S217">
        <f t="shared" si="265"/>
        <v>-6</v>
      </c>
      <c r="U217" s="8">
        <f>IFERROR(__xludf.DUMMYFUNCTION("""COMPUTED_VALUE"""),43158.0)</f>
        <v>43158</v>
      </c>
      <c r="V217">
        <f t="shared" si="9"/>
        <v>6</v>
      </c>
      <c r="W217">
        <f t="shared" si="10"/>
        <v>0</v>
      </c>
      <c r="X217">
        <f t="shared" si="11"/>
        <v>6</v>
      </c>
      <c r="Z217" s="8">
        <f>IFERROR(__xludf.DUMMYFUNCTION("""COMPUTED_VALUE"""),43158.0)</f>
        <v>43158</v>
      </c>
      <c r="AA217">
        <f t="shared" si="12"/>
        <v>0</v>
      </c>
      <c r="AB217">
        <f t="shared" si="13"/>
        <v>-6</v>
      </c>
      <c r="AC217">
        <f t="shared" si="14"/>
        <v>0</v>
      </c>
    </row>
    <row r="218">
      <c r="A218" s="8">
        <f>IFERROR(__xludf.DUMMYFUNCTION("""COMPUTED_VALUE"""),43132.0)</f>
        <v>43132</v>
      </c>
      <c r="B218">
        <f>IFERROR(__xludf.DUMMYFUNCTION("""COMPUTED_VALUE"""),3.0)</f>
        <v>3</v>
      </c>
      <c r="C218">
        <f>IFERROR(__xludf.DUMMYFUNCTION("""COMPUTED_VALUE"""),2.0)</f>
        <v>2</v>
      </c>
      <c r="D218">
        <f>IFERROR(__xludf.DUMMYFUNCTION("""COMPUTED_VALUE"""),1.0)</f>
        <v>1</v>
      </c>
      <c r="K218">
        <f t="shared" ref="K218:M218" si="456">if(B218=1,0,K217+1)</f>
        <v>3</v>
      </c>
      <c r="L218">
        <f t="shared" si="456"/>
        <v>5</v>
      </c>
      <c r="M218">
        <f t="shared" si="456"/>
        <v>0</v>
      </c>
      <c r="O218" s="8">
        <f>IFERROR(__xludf.DUMMYFUNCTION("""COMPUTED_VALUE"""),43132.0)</f>
        <v>43132</v>
      </c>
      <c r="P218">
        <f t="shared" ref="P218:R218" si="457">B218+P219</f>
        <v>116</v>
      </c>
      <c r="Q218">
        <f t="shared" si="457"/>
        <v>121</v>
      </c>
      <c r="R218">
        <f t="shared" si="457"/>
        <v>117</v>
      </c>
      <c r="S218">
        <f t="shared" si="265"/>
        <v>-1</v>
      </c>
      <c r="U218" s="8">
        <f>IFERROR(__xludf.DUMMYFUNCTION("""COMPUTED_VALUE"""),43132.0)</f>
        <v>43132</v>
      </c>
      <c r="V218">
        <f t="shared" si="9"/>
        <v>5</v>
      </c>
      <c r="W218">
        <f t="shared" si="10"/>
        <v>0</v>
      </c>
      <c r="X218">
        <f t="shared" si="11"/>
        <v>4</v>
      </c>
      <c r="Z218" s="8">
        <f>IFERROR(__xludf.DUMMYFUNCTION("""COMPUTED_VALUE"""),43132.0)</f>
        <v>43132</v>
      </c>
      <c r="AA218">
        <f t="shared" si="12"/>
        <v>0</v>
      </c>
      <c r="AB218">
        <f t="shared" si="13"/>
        <v>-5</v>
      </c>
      <c r="AC218">
        <f t="shared" si="14"/>
        <v>-1</v>
      </c>
    </row>
    <row r="219">
      <c r="A219" s="8">
        <f>IFERROR(__xludf.DUMMYFUNCTION("""COMPUTED_VALUE"""),43127.0)</f>
        <v>43127</v>
      </c>
      <c r="B219">
        <f>IFERROR(__xludf.DUMMYFUNCTION("""COMPUTED_VALUE"""),1.0)</f>
        <v>1</v>
      </c>
      <c r="C219">
        <f>IFERROR(__xludf.DUMMYFUNCTION("""COMPUTED_VALUE"""),3.0)</f>
        <v>3</v>
      </c>
      <c r="D219">
        <f>IFERROR(__xludf.DUMMYFUNCTION("""COMPUTED_VALUE"""),2.0)</f>
        <v>2</v>
      </c>
      <c r="K219">
        <f t="shared" ref="K219:M219" si="458">if(B219=1,0,K218+1)</f>
        <v>0</v>
      </c>
      <c r="L219">
        <f t="shared" si="458"/>
        <v>6</v>
      </c>
      <c r="M219">
        <f t="shared" si="458"/>
        <v>1</v>
      </c>
      <c r="O219" s="8">
        <f>IFERROR(__xludf.DUMMYFUNCTION("""COMPUTED_VALUE"""),43127.0)</f>
        <v>43127</v>
      </c>
      <c r="P219">
        <f t="shared" ref="P219:R219" si="459">B219+P220</f>
        <v>113</v>
      </c>
      <c r="Q219">
        <f t="shared" si="459"/>
        <v>119</v>
      </c>
      <c r="R219">
        <f t="shared" si="459"/>
        <v>116</v>
      </c>
      <c r="S219">
        <f t="shared" si="265"/>
        <v>-3</v>
      </c>
      <c r="U219" s="8">
        <f>IFERROR(__xludf.DUMMYFUNCTION("""COMPUTED_VALUE"""),43127.0)</f>
        <v>43127</v>
      </c>
      <c r="V219">
        <f t="shared" si="9"/>
        <v>6</v>
      </c>
      <c r="W219">
        <f t="shared" si="10"/>
        <v>0</v>
      </c>
      <c r="X219">
        <f t="shared" si="11"/>
        <v>3</v>
      </c>
      <c r="Z219" s="8">
        <f>IFERROR(__xludf.DUMMYFUNCTION("""COMPUTED_VALUE"""),43127.0)</f>
        <v>43127</v>
      </c>
      <c r="AA219">
        <f t="shared" si="12"/>
        <v>0</v>
      </c>
      <c r="AB219">
        <f t="shared" si="13"/>
        <v>-6</v>
      </c>
      <c r="AC219">
        <f t="shared" si="14"/>
        <v>-3</v>
      </c>
    </row>
    <row r="220">
      <c r="A220" s="8">
        <f>IFERROR(__xludf.DUMMYFUNCTION("""COMPUTED_VALUE"""),43126.0)</f>
        <v>43126</v>
      </c>
      <c r="B220">
        <f>IFERROR(__xludf.DUMMYFUNCTION("""COMPUTED_VALUE"""),3.0)</f>
        <v>3</v>
      </c>
      <c r="C220">
        <f>IFERROR(__xludf.DUMMYFUNCTION("""COMPUTED_VALUE"""),1.0)</f>
        <v>1</v>
      </c>
      <c r="D220">
        <f>IFERROR(__xludf.DUMMYFUNCTION("""COMPUTED_VALUE"""),2.0)</f>
        <v>2</v>
      </c>
      <c r="K220">
        <f t="shared" ref="K220:M220" si="460">if(B220=1,0,K219+1)</f>
        <v>1</v>
      </c>
      <c r="L220">
        <f t="shared" si="460"/>
        <v>0</v>
      </c>
      <c r="M220">
        <f t="shared" si="460"/>
        <v>2</v>
      </c>
      <c r="O220" s="8">
        <f>IFERROR(__xludf.DUMMYFUNCTION("""COMPUTED_VALUE"""),43126.0)</f>
        <v>43126</v>
      </c>
      <c r="P220">
        <f t="shared" ref="P220:R220" si="461">B220+P221</f>
        <v>112</v>
      </c>
      <c r="Q220">
        <f t="shared" si="461"/>
        <v>116</v>
      </c>
      <c r="R220">
        <f t="shared" si="461"/>
        <v>114</v>
      </c>
      <c r="S220">
        <f t="shared" si="265"/>
        <v>-2</v>
      </c>
      <c r="U220" s="8">
        <f>IFERROR(__xludf.DUMMYFUNCTION("""COMPUTED_VALUE"""),43126.0)</f>
        <v>43126</v>
      </c>
      <c r="V220">
        <f t="shared" si="9"/>
        <v>4</v>
      </c>
      <c r="W220">
        <f t="shared" si="10"/>
        <v>0</v>
      </c>
      <c r="X220">
        <f t="shared" si="11"/>
        <v>2</v>
      </c>
      <c r="Z220" s="8">
        <f>IFERROR(__xludf.DUMMYFUNCTION("""COMPUTED_VALUE"""),43126.0)</f>
        <v>43126</v>
      </c>
      <c r="AA220">
        <f t="shared" si="12"/>
        <v>0</v>
      </c>
      <c r="AB220">
        <f t="shared" si="13"/>
        <v>-4</v>
      </c>
      <c r="AC220">
        <f t="shared" si="14"/>
        <v>-2</v>
      </c>
    </row>
    <row r="221">
      <c r="A221" s="8">
        <f>IFERROR(__xludf.DUMMYFUNCTION("""COMPUTED_VALUE"""),43119.0)</f>
        <v>43119</v>
      </c>
      <c r="B221">
        <f>IFERROR(__xludf.DUMMYFUNCTION("""COMPUTED_VALUE"""),2.0)</f>
        <v>2</v>
      </c>
      <c r="C221">
        <f>IFERROR(__xludf.DUMMYFUNCTION("""COMPUTED_VALUE"""),3.0)</f>
        <v>3</v>
      </c>
      <c r="D221">
        <f>IFERROR(__xludf.DUMMYFUNCTION("""COMPUTED_VALUE"""),1.0)</f>
        <v>1</v>
      </c>
      <c r="K221">
        <f t="shared" ref="K221:M221" si="462">if(B221=1,0,K220+1)</f>
        <v>2</v>
      </c>
      <c r="L221">
        <f t="shared" si="462"/>
        <v>1</v>
      </c>
      <c r="M221">
        <f t="shared" si="462"/>
        <v>0</v>
      </c>
      <c r="O221" s="8">
        <f>IFERROR(__xludf.DUMMYFUNCTION("""COMPUTED_VALUE"""),43119.0)</f>
        <v>43119</v>
      </c>
      <c r="P221">
        <f t="shared" ref="P221:R221" si="463">B221+P222</f>
        <v>109</v>
      </c>
      <c r="Q221">
        <f t="shared" si="463"/>
        <v>115</v>
      </c>
      <c r="R221">
        <f t="shared" si="463"/>
        <v>112</v>
      </c>
      <c r="S221">
        <f t="shared" si="265"/>
        <v>-3</v>
      </c>
      <c r="U221" s="8">
        <f>IFERROR(__xludf.DUMMYFUNCTION("""COMPUTED_VALUE"""),43119.0)</f>
        <v>43119</v>
      </c>
      <c r="V221">
        <f t="shared" si="9"/>
        <v>6</v>
      </c>
      <c r="W221">
        <f t="shared" si="10"/>
        <v>0</v>
      </c>
      <c r="X221">
        <f t="shared" si="11"/>
        <v>3</v>
      </c>
      <c r="Z221" s="8">
        <f>IFERROR(__xludf.DUMMYFUNCTION("""COMPUTED_VALUE"""),43119.0)</f>
        <v>43119</v>
      </c>
      <c r="AA221">
        <f t="shared" si="12"/>
        <v>0</v>
      </c>
      <c r="AB221">
        <f t="shared" si="13"/>
        <v>-6</v>
      </c>
      <c r="AC221">
        <f t="shared" si="14"/>
        <v>-3</v>
      </c>
    </row>
    <row r="222">
      <c r="A222" s="8">
        <f>IFERROR(__xludf.DUMMYFUNCTION("""COMPUTED_VALUE"""),43114.0)</f>
        <v>43114</v>
      </c>
      <c r="B222">
        <f>IFERROR(__xludf.DUMMYFUNCTION("""COMPUTED_VALUE"""),1.0)</f>
        <v>1</v>
      </c>
      <c r="C222">
        <f>IFERROR(__xludf.DUMMYFUNCTION("""COMPUTED_VALUE"""),3.0)</f>
        <v>3</v>
      </c>
      <c r="D222">
        <f>IFERROR(__xludf.DUMMYFUNCTION("""COMPUTED_VALUE"""),2.0)</f>
        <v>2</v>
      </c>
      <c r="K222">
        <f t="shared" ref="K222:M222" si="464">if(B222=1,0,K221+1)</f>
        <v>0</v>
      </c>
      <c r="L222">
        <f t="shared" si="464"/>
        <v>2</v>
      </c>
      <c r="M222">
        <f t="shared" si="464"/>
        <v>1</v>
      </c>
      <c r="O222" s="8">
        <f>IFERROR(__xludf.DUMMYFUNCTION("""COMPUTED_VALUE"""),43114.0)</f>
        <v>43114</v>
      </c>
      <c r="P222">
        <f t="shared" ref="P222:R222" si="465">B222+P223</f>
        <v>107</v>
      </c>
      <c r="Q222">
        <f t="shared" si="465"/>
        <v>112</v>
      </c>
      <c r="R222">
        <f t="shared" si="465"/>
        <v>111</v>
      </c>
      <c r="S222">
        <f t="shared" si="265"/>
        <v>-4</v>
      </c>
      <c r="U222" s="8">
        <f>IFERROR(__xludf.DUMMYFUNCTION("""COMPUTED_VALUE"""),43114.0)</f>
        <v>43114</v>
      </c>
      <c r="V222">
        <f t="shared" si="9"/>
        <v>5</v>
      </c>
      <c r="W222">
        <f t="shared" si="10"/>
        <v>0</v>
      </c>
      <c r="X222">
        <f t="shared" si="11"/>
        <v>1</v>
      </c>
      <c r="Z222" s="8">
        <f>IFERROR(__xludf.DUMMYFUNCTION("""COMPUTED_VALUE"""),43114.0)</f>
        <v>43114</v>
      </c>
      <c r="AA222">
        <f t="shared" si="12"/>
        <v>0</v>
      </c>
      <c r="AB222">
        <f t="shared" si="13"/>
        <v>-5</v>
      </c>
      <c r="AC222">
        <f t="shared" si="14"/>
        <v>-4</v>
      </c>
    </row>
    <row r="223">
      <c r="A223" s="8">
        <f>IFERROR(__xludf.DUMMYFUNCTION("""COMPUTED_VALUE"""),43101.0)</f>
        <v>43101</v>
      </c>
      <c r="B223">
        <f>IFERROR(__xludf.DUMMYFUNCTION("""COMPUTED_VALUE"""),2.0)</f>
        <v>2</v>
      </c>
      <c r="C223">
        <f>IFERROR(__xludf.DUMMYFUNCTION("""COMPUTED_VALUE"""),3.0)</f>
        <v>3</v>
      </c>
      <c r="D223">
        <f>IFERROR(__xludf.DUMMYFUNCTION("""COMPUTED_VALUE"""),1.0)</f>
        <v>1</v>
      </c>
      <c r="K223">
        <f t="shared" ref="K223:M223" si="466">if(B223=1,0,K222+1)</f>
        <v>1</v>
      </c>
      <c r="L223">
        <f t="shared" si="466"/>
        <v>3</v>
      </c>
      <c r="M223">
        <f t="shared" si="466"/>
        <v>0</v>
      </c>
      <c r="O223" s="8">
        <f>IFERROR(__xludf.DUMMYFUNCTION("""COMPUTED_VALUE"""),43101.0)</f>
        <v>43101</v>
      </c>
      <c r="P223">
        <f t="shared" ref="P223:R223" si="467">B223+P224</f>
        <v>106</v>
      </c>
      <c r="Q223">
        <f t="shared" si="467"/>
        <v>109</v>
      </c>
      <c r="R223">
        <f t="shared" si="467"/>
        <v>109</v>
      </c>
      <c r="S223">
        <f t="shared" si="265"/>
        <v>-3</v>
      </c>
      <c r="U223" s="8">
        <f>IFERROR(__xludf.DUMMYFUNCTION("""COMPUTED_VALUE"""),43101.0)</f>
        <v>43101</v>
      </c>
      <c r="V223">
        <f t="shared" si="9"/>
        <v>3</v>
      </c>
      <c r="W223">
        <f t="shared" si="10"/>
        <v>0</v>
      </c>
      <c r="X223">
        <f t="shared" si="11"/>
        <v>0</v>
      </c>
      <c r="Z223" s="8">
        <f>IFERROR(__xludf.DUMMYFUNCTION("""COMPUTED_VALUE"""),43101.0)</f>
        <v>43101</v>
      </c>
      <c r="AA223">
        <f t="shared" si="12"/>
        <v>0</v>
      </c>
      <c r="AB223">
        <f t="shared" si="13"/>
        <v>-3</v>
      </c>
      <c r="AC223">
        <f t="shared" si="14"/>
        <v>-3</v>
      </c>
    </row>
    <row r="224">
      <c r="A224" s="8">
        <f>IFERROR(__xludf.DUMMYFUNCTION("""COMPUTED_VALUE"""),43097.0)</f>
        <v>43097</v>
      </c>
      <c r="B224">
        <f>IFERROR(__xludf.DUMMYFUNCTION("""COMPUTED_VALUE"""),3.0)</f>
        <v>3</v>
      </c>
      <c r="C224">
        <f>IFERROR(__xludf.DUMMYFUNCTION("""COMPUTED_VALUE"""),2.0)</f>
        <v>2</v>
      </c>
      <c r="D224">
        <f>IFERROR(__xludf.DUMMYFUNCTION("""COMPUTED_VALUE"""),1.0)</f>
        <v>1</v>
      </c>
      <c r="K224">
        <f t="shared" ref="K224:M224" si="468">if(B224=1,0,K223+1)</f>
        <v>2</v>
      </c>
      <c r="L224">
        <f t="shared" si="468"/>
        <v>4</v>
      </c>
      <c r="M224">
        <f t="shared" si="468"/>
        <v>0</v>
      </c>
      <c r="O224" s="8">
        <f>IFERROR(__xludf.DUMMYFUNCTION("""COMPUTED_VALUE"""),43097.0)</f>
        <v>43097</v>
      </c>
      <c r="P224">
        <f t="shared" ref="P224:R224" si="469">B224+P225</f>
        <v>104</v>
      </c>
      <c r="Q224">
        <f t="shared" si="469"/>
        <v>106</v>
      </c>
      <c r="R224">
        <f t="shared" si="469"/>
        <v>108</v>
      </c>
      <c r="S224">
        <f t="shared" si="265"/>
        <v>-2</v>
      </c>
      <c r="U224" s="8">
        <f>IFERROR(__xludf.DUMMYFUNCTION("""COMPUTED_VALUE"""),43097.0)</f>
        <v>43097</v>
      </c>
      <c r="V224">
        <f t="shared" si="9"/>
        <v>2</v>
      </c>
      <c r="W224">
        <f t="shared" si="10"/>
        <v>0</v>
      </c>
      <c r="X224">
        <f t="shared" si="11"/>
        <v>-2</v>
      </c>
      <c r="Z224" s="8">
        <f>IFERROR(__xludf.DUMMYFUNCTION("""COMPUTED_VALUE"""),43097.0)</f>
        <v>43097</v>
      </c>
      <c r="AA224">
        <f t="shared" si="12"/>
        <v>0</v>
      </c>
      <c r="AB224">
        <f t="shared" si="13"/>
        <v>-2</v>
      </c>
      <c r="AC224">
        <f t="shared" si="14"/>
        <v>-4</v>
      </c>
    </row>
    <row r="225">
      <c r="A225" s="8">
        <f>IFERROR(__xludf.DUMMYFUNCTION("""COMPUTED_VALUE"""),43095.0)</f>
        <v>43095</v>
      </c>
      <c r="B225">
        <f>IFERROR(__xludf.DUMMYFUNCTION("""COMPUTED_VALUE"""),1.0)</f>
        <v>1</v>
      </c>
      <c r="C225">
        <f>IFERROR(__xludf.DUMMYFUNCTION("""COMPUTED_VALUE"""),2.0)</f>
        <v>2</v>
      </c>
      <c r="D225">
        <f>IFERROR(__xludf.DUMMYFUNCTION("""COMPUTED_VALUE"""),3.0)</f>
        <v>3</v>
      </c>
      <c r="K225">
        <f t="shared" ref="K225:M225" si="470">if(B225=1,0,K224+1)</f>
        <v>0</v>
      </c>
      <c r="L225">
        <f t="shared" si="470"/>
        <v>5</v>
      </c>
      <c r="M225">
        <f t="shared" si="470"/>
        <v>1</v>
      </c>
      <c r="O225" s="8">
        <f>IFERROR(__xludf.DUMMYFUNCTION("""COMPUTED_VALUE"""),43095.0)</f>
        <v>43095</v>
      </c>
      <c r="P225">
        <f t="shared" ref="P225:R225" si="471">B225+P226</f>
        <v>101</v>
      </c>
      <c r="Q225">
        <f t="shared" si="471"/>
        <v>104</v>
      </c>
      <c r="R225">
        <f t="shared" si="471"/>
        <v>107</v>
      </c>
      <c r="S225">
        <f t="shared" si="265"/>
        <v>-3</v>
      </c>
      <c r="U225" s="8">
        <f>IFERROR(__xludf.DUMMYFUNCTION("""COMPUTED_VALUE"""),43095.0)</f>
        <v>43095</v>
      </c>
      <c r="V225">
        <f t="shared" si="9"/>
        <v>3</v>
      </c>
      <c r="W225">
        <f t="shared" si="10"/>
        <v>0</v>
      </c>
      <c r="X225">
        <f t="shared" si="11"/>
        <v>-3</v>
      </c>
      <c r="Z225" s="8">
        <f>IFERROR(__xludf.DUMMYFUNCTION("""COMPUTED_VALUE"""),43095.0)</f>
        <v>43095</v>
      </c>
      <c r="AA225">
        <f t="shared" si="12"/>
        <v>0</v>
      </c>
      <c r="AB225">
        <f t="shared" si="13"/>
        <v>-3</v>
      </c>
      <c r="AC225">
        <f t="shared" si="14"/>
        <v>-6</v>
      </c>
    </row>
    <row r="226">
      <c r="A226" s="8">
        <f>IFERROR(__xludf.DUMMYFUNCTION("""COMPUTED_VALUE"""),43093.0)</f>
        <v>43093</v>
      </c>
      <c r="B226">
        <f>IFERROR(__xludf.DUMMYFUNCTION("""COMPUTED_VALUE"""),3.0)</f>
        <v>3</v>
      </c>
      <c r="C226">
        <f>IFERROR(__xludf.DUMMYFUNCTION("""COMPUTED_VALUE"""),1.0)</f>
        <v>1</v>
      </c>
      <c r="D226">
        <f>IFERROR(__xludf.DUMMYFUNCTION("""COMPUTED_VALUE"""),2.0)</f>
        <v>2</v>
      </c>
      <c r="K226">
        <f t="shared" ref="K226:M226" si="472">if(B226=1,0,K225+1)</f>
        <v>1</v>
      </c>
      <c r="L226">
        <f t="shared" si="472"/>
        <v>0</v>
      </c>
      <c r="M226">
        <f t="shared" si="472"/>
        <v>2</v>
      </c>
      <c r="O226" s="8">
        <f>IFERROR(__xludf.DUMMYFUNCTION("""COMPUTED_VALUE"""),43093.0)</f>
        <v>43093</v>
      </c>
      <c r="P226">
        <f t="shared" ref="P226:R226" si="473">B226+P227</f>
        <v>100</v>
      </c>
      <c r="Q226">
        <f t="shared" si="473"/>
        <v>102</v>
      </c>
      <c r="R226">
        <f t="shared" si="473"/>
        <v>104</v>
      </c>
      <c r="S226">
        <f t="shared" si="265"/>
        <v>-2</v>
      </c>
      <c r="U226" s="8">
        <f>IFERROR(__xludf.DUMMYFUNCTION("""COMPUTED_VALUE"""),43093.0)</f>
        <v>43093</v>
      </c>
      <c r="V226">
        <f t="shared" si="9"/>
        <v>2</v>
      </c>
      <c r="W226">
        <f t="shared" si="10"/>
        <v>0</v>
      </c>
      <c r="X226">
        <f t="shared" si="11"/>
        <v>-2</v>
      </c>
      <c r="Z226" s="8">
        <f>IFERROR(__xludf.DUMMYFUNCTION("""COMPUTED_VALUE"""),43093.0)</f>
        <v>43093</v>
      </c>
      <c r="AA226">
        <f t="shared" si="12"/>
        <v>0</v>
      </c>
      <c r="AB226">
        <f t="shared" si="13"/>
        <v>-2</v>
      </c>
      <c r="AC226">
        <f t="shared" si="14"/>
        <v>-4</v>
      </c>
    </row>
    <row r="227">
      <c r="A227" s="8">
        <f>IFERROR(__xludf.DUMMYFUNCTION("""COMPUTED_VALUE"""),43090.0)</f>
        <v>43090</v>
      </c>
      <c r="B227">
        <f>IFERROR(__xludf.DUMMYFUNCTION("""COMPUTED_VALUE"""),1.0)</f>
        <v>1</v>
      </c>
      <c r="C227">
        <f>IFERROR(__xludf.DUMMYFUNCTION("""COMPUTED_VALUE"""),3.0)</f>
        <v>3</v>
      </c>
      <c r="D227">
        <f>IFERROR(__xludf.DUMMYFUNCTION("""COMPUTED_VALUE"""),2.0)</f>
        <v>2</v>
      </c>
      <c r="K227">
        <f t="shared" ref="K227:M227" si="474">if(B227=1,0,K226+1)</f>
        <v>0</v>
      </c>
      <c r="L227">
        <f t="shared" si="474"/>
        <v>1</v>
      </c>
      <c r="M227">
        <f t="shared" si="474"/>
        <v>3</v>
      </c>
      <c r="O227" s="8">
        <f>IFERROR(__xludf.DUMMYFUNCTION("""COMPUTED_VALUE"""),43090.0)</f>
        <v>43090</v>
      </c>
      <c r="P227">
        <f t="shared" ref="P227:R227" si="475">B227+P228</f>
        <v>97</v>
      </c>
      <c r="Q227">
        <f t="shared" si="475"/>
        <v>101</v>
      </c>
      <c r="R227">
        <f t="shared" si="475"/>
        <v>102</v>
      </c>
      <c r="S227">
        <f t="shared" si="265"/>
        <v>-4</v>
      </c>
      <c r="U227" s="8">
        <f>IFERROR(__xludf.DUMMYFUNCTION("""COMPUTED_VALUE"""),43090.0)</f>
        <v>43090</v>
      </c>
      <c r="V227">
        <f t="shared" si="9"/>
        <v>4</v>
      </c>
      <c r="W227">
        <f t="shared" si="10"/>
        <v>0</v>
      </c>
      <c r="X227">
        <f t="shared" si="11"/>
        <v>-1</v>
      </c>
      <c r="Z227" s="8">
        <f>IFERROR(__xludf.DUMMYFUNCTION("""COMPUTED_VALUE"""),43090.0)</f>
        <v>43090</v>
      </c>
      <c r="AA227">
        <f t="shared" si="12"/>
        <v>0</v>
      </c>
      <c r="AB227">
        <f t="shared" si="13"/>
        <v>-4</v>
      </c>
      <c r="AC227">
        <f t="shared" si="14"/>
        <v>-5</v>
      </c>
    </row>
    <row r="228">
      <c r="A228" s="8">
        <f>IFERROR(__xludf.DUMMYFUNCTION("""COMPUTED_VALUE"""),43076.0)</f>
        <v>43076</v>
      </c>
      <c r="B228">
        <f>IFERROR(__xludf.DUMMYFUNCTION("""COMPUTED_VALUE"""),2.0)</f>
        <v>2</v>
      </c>
      <c r="C228">
        <f>IFERROR(__xludf.DUMMYFUNCTION("""COMPUTED_VALUE"""),1.0)</f>
        <v>1</v>
      </c>
      <c r="D228">
        <f>IFERROR(__xludf.DUMMYFUNCTION("""COMPUTED_VALUE"""),3.0)</f>
        <v>3</v>
      </c>
      <c r="K228">
        <f t="shared" ref="K228:M228" si="476">if(B228=1,0,K227+1)</f>
        <v>1</v>
      </c>
      <c r="L228">
        <f t="shared" si="476"/>
        <v>0</v>
      </c>
      <c r="M228">
        <f t="shared" si="476"/>
        <v>4</v>
      </c>
      <c r="O228" s="8">
        <f>IFERROR(__xludf.DUMMYFUNCTION("""COMPUTED_VALUE"""),43076.0)</f>
        <v>43076</v>
      </c>
      <c r="P228">
        <f t="shared" ref="P228:R228" si="477">B228+P229</f>
        <v>96</v>
      </c>
      <c r="Q228">
        <f t="shared" si="477"/>
        <v>98</v>
      </c>
      <c r="R228">
        <f t="shared" si="477"/>
        <v>100</v>
      </c>
      <c r="S228">
        <f t="shared" si="265"/>
        <v>-2</v>
      </c>
      <c r="U228" s="8">
        <f>IFERROR(__xludf.DUMMYFUNCTION("""COMPUTED_VALUE"""),43076.0)</f>
        <v>43076</v>
      </c>
      <c r="V228">
        <f t="shared" si="9"/>
        <v>2</v>
      </c>
      <c r="W228">
        <f t="shared" si="10"/>
        <v>0</v>
      </c>
      <c r="X228">
        <f t="shared" si="11"/>
        <v>-2</v>
      </c>
      <c r="Z228" s="8">
        <f>IFERROR(__xludf.DUMMYFUNCTION("""COMPUTED_VALUE"""),43076.0)</f>
        <v>43076</v>
      </c>
      <c r="AA228">
        <f t="shared" si="12"/>
        <v>0</v>
      </c>
      <c r="AB228">
        <f t="shared" si="13"/>
        <v>-2</v>
      </c>
      <c r="AC228">
        <f t="shared" si="14"/>
        <v>-4</v>
      </c>
    </row>
    <row r="229">
      <c r="A229" s="8">
        <f>IFERROR(__xludf.DUMMYFUNCTION("""COMPUTED_VALUE"""),43072.0)</f>
        <v>43072</v>
      </c>
      <c r="B229">
        <f>IFERROR(__xludf.DUMMYFUNCTION("""COMPUTED_VALUE"""),1.0)</f>
        <v>1</v>
      </c>
      <c r="C229">
        <f>IFERROR(__xludf.DUMMYFUNCTION("""COMPUTED_VALUE"""),3.0)</f>
        <v>3</v>
      </c>
      <c r="D229">
        <f>IFERROR(__xludf.DUMMYFUNCTION("""COMPUTED_VALUE"""),4.0)</f>
        <v>4</v>
      </c>
      <c r="K229">
        <f t="shared" ref="K229:M229" si="478">if(B229=1,0,K228+1)</f>
        <v>0</v>
      </c>
      <c r="L229">
        <f t="shared" si="478"/>
        <v>1</v>
      </c>
      <c r="M229">
        <f t="shared" si="478"/>
        <v>5</v>
      </c>
      <c r="O229" s="8">
        <f>IFERROR(__xludf.DUMMYFUNCTION("""COMPUTED_VALUE"""),43072.0)</f>
        <v>43072</v>
      </c>
      <c r="P229">
        <f t="shared" ref="P229:R229" si="479">B229+P230</f>
        <v>94</v>
      </c>
      <c r="Q229">
        <f t="shared" si="479"/>
        <v>97</v>
      </c>
      <c r="R229">
        <f t="shared" si="479"/>
        <v>97</v>
      </c>
      <c r="S229">
        <f t="shared" si="265"/>
        <v>-3</v>
      </c>
      <c r="U229" s="8">
        <f>IFERROR(__xludf.DUMMYFUNCTION("""COMPUTED_VALUE"""),43072.0)</f>
        <v>43072</v>
      </c>
      <c r="V229">
        <f t="shared" si="9"/>
        <v>3</v>
      </c>
      <c r="W229">
        <f t="shared" si="10"/>
        <v>0</v>
      </c>
      <c r="X229">
        <f t="shared" si="11"/>
        <v>0</v>
      </c>
      <c r="Z229" s="8">
        <f>IFERROR(__xludf.DUMMYFUNCTION("""COMPUTED_VALUE"""),43072.0)</f>
        <v>43072</v>
      </c>
      <c r="AA229">
        <f t="shared" si="12"/>
        <v>0</v>
      </c>
      <c r="AB229">
        <f t="shared" si="13"/>
        <v>-3</v>
      </c>
      <c r="AC229">
        <f t="shared" si="14"/>
        <v>-3</v>
      </c>
    </row>
    <row r="230">
      <c r="A230" s="8">
        <f>IFERROR(__xludf.DUMMYFUNCTION("""COMPUTED_VALUE"""),43069.0)</f>
        <v>43069</v>
      </c>
      <c r="B230">
        <f>IFERROR(__xludf.DUMMYFUNCTION("""COMPUTED_VALUE"""),3.0)</f>
        <v>3</v>
      </c>
      <c r="C230">
        <f>IFERROR(__xludf.DUMMYFUNCTION("""COMPUTED_VALUE"""),1.0)</f>
        <v>1</v>
      </c>
      <c r="D230">
        <f>IFERROR(__xludf.DUMMYFUNCTION("""COMPUTED_VALUE"""),2.0)</f>
        <v>2</v>
      </c>
      <c r="K230">
        <f t="shared" ref="K230:M230" si="480">if(B230=1,0,K229+1)</f>
        <v>1</v>
      </c>
      <c r="L230">
        <f t="shared" si="480"/>
        <v>0</v>
      </c>
      <c r="M230">
        <f t="shared" si="480"/>
        <v>6</v>
      </c>
      <c r="O230" s="8">
        <f>IFERROR(__xludf.DUMMYFUNCTION("""COMPUTED_VALUE"""),43069.0)</f>
        <v>43069</v>
      </c>
      <c r="P230">
        <f t="shared" ref="P230:R230" si="481">B230+P231</f>
        <v>93</v>
      </c>
      <c r="Q230">
        <f t="shared" si="481"/>
        <v>94</v>
      </c>
      <c r="R230">
        <f t="shared" si="481"/>
        <v>93</v>
      </c>
      <c r="S230">
        <f t="shared" si="265"/>
        <v>-1</v>
      </c>
      <c r="U230" s="8">
        <f>IFERROR(__xludf.DUMMYFUNCTION("""COMPUTED_VALUE"""),43069.0)</f>
        <v>43069</v>
      </c>
      <c r="V230">
        <f t="shared" si="9"/>
        <v>1</v>
      </c>
      <c r="W230">
        <f t="shared" si="10"/>
        <v>0</v>
      </c>
      <c r="X230">
        <f t="shared" si="11"/>
        <v>1</v>
      </c>
      <c r="Z230" s="8">
        <f>IFERROR(__xludf.DUMMYFUNCTION("""COMPUTED_VALUE"""),43069.0)</f>
        <v>43069</v>
      </c>
      <c r="AA230">
        <f t="shared" si="12"/>
        <v>0</v>
      </c>
      <c r="AB230">
        <f t="shared" si="13"/>
        <v>-1</v>
      </c>
      <c r="AC230">
        <f t="shared" si="14"/>
        <v>0</v>
      </c>
    </row>
    <row r="231">
      <c r="A231" s="8">
        <f>IFERROR(__xludf.DUMMYFUNCTION("""COMPUTED_VALUE"""),43065.0)</f>
        <v>43065</v>
      </c>
      <c r="B231">
        <f>IFERROR(__xludf.DUMMYFUNCTION("""COMPUTED_VALUE"""),4.0)</f>
        <v>4</v>
      </c>
      <c r="C231">
        <f>IFERROR(__xludf.DUMMYFUNCTION("""COMPUTED_VALUE"""),2.0)</f>
        <v>2</v>
      </c>
      <c r="D231">
        <f>IFERROR(__xludf.DUMMYFUNCTION("""COMPUTED_VALUE"""),1.0)</f>
        <v>1</v>
      </c>
      <c r="K231">
        <f t="shared" ref="K231:M231" si="482">if(B231=1,0,K230+1)</f>
        <v>2</v>
      </c>
      <c r="L231">
        <f t="shared" si="482"/>
        <v>1</v>
      </c>
      <c r="M231">
        <f t="shared" si="482"/>
        <v>0</v>
      </c>
      <c r="O231" s="8">
        <f>IFERROR(__xludf.DUMMYFUNCTION("""COMPUTED_VALUE"""),43065.0)</f>
        <v>43065</v>
      </c>
      <c r="P231">
        <f t="shared" ref="P231:R231" si="483">B231+P232</f>
        <v>90</v>
      </c>
      <c r="Q231">
        <f t="shared" si="483"/>
        <v>93</v>
      </c>
      <c r="R231">
        <f t="shared" si="483"/>
        <v>91</v>
      </c>
      <c r="S231">
        <f t="shared" si="265"/>
        <v>-1</v>
      </c>
      <c r="U231" s="8">
        <f>IFERROR(__xludf.DUMMYFUNCTION("""COMPUTED_VALUE"""),43065.0)</f>
        <v>43065</v>
      </c>
      <c r="V231">
        <f t="shared" si="9"/>
        <v>3</v>
      </c>
      <c r="W231">
        <f t="shared" si="10"/>
        <v>0</v>
      </c>
      <c r="X231">
        <f t="shared" si="11"/>
        <v>2</v>
      </c>
      <c r="Z231" s="8">
        <f>IFERROR(__xludf.DUMMYFUNCTION("""COMPUTED_VALUE"""),43065.0)</f>
        <v>43065</v>
      </c>
      <c r="AA231">
        <f t="shared" si="12"/>
        <v>0</v>
      </c>
      <c r="AB231">
        <f t="shared" si="13"/>
        <v>-3</v>
      </c>
      <c r="AC231">
        <f t="shared" si="14"/>
        <v>-1</v>
      </c>
    </row>
    <row r="232">
      <c r="A232" s="8">
        <f>IFERROR(__xludf.DUMMYFUNCTION("""COMPUTED_VALUE"""),43057.0)</f>
        <v>43057</v>
      </c>
      <c r="B232">
        <f>IFERROR(__xludf.DUMMYFUNCTION("""COMPUTED_VALUE"""),3.0)</f>
        <v>3</v>
      </c>
      <c r="C232">
        <f>IFERROR(__xludf.DUMMYFUNCTION("""COMPUTED_VALUE"""),1.0)</f>
        <v>1</v>
      </c>
      <c r="D232">
        <f>IFERROR(__xludf.DUMMYFUNCTION("""COMPUTED_VALUE"""),4.0)</f>
        <v>4</v>
      </c>
      <c r="K232">
        <f t="shared" ref="K232:M232" si="484">if(B232=1,0,K231+1)</f>
        <v>3</v>
      </c>
      <c r="L232">
        <f t="shared" si="484"/>
        <v>0</v>
      </c>
      <c r="M232">
        <f t="shared" si="484"/>
        <v>1</v>
      </c>
      <c r="O232" s="8">
        <f>IFERROR(__xludf.DUMMYFUNCTION("""COMPUTED_VALUE"""),43057.0)</f>
        <v>43057</v>
      </c>
      <c r="P232">
        <f t="shared" ref="P232:R232" si="485">B232+P233</f>
        <v>86</v>
      </c>
      <c r="Q232">
        <f t="shared" si="485"/>
        <v>91</v>
      </c>
      <c r="R232">
        <f t="shared" si="485"/>
        <v>90</v>
      </c>
      <c r="S232">
        <f t="shared" si="265"/>
        <v>-4</v>
      </c>
      <c r="U232" s="8">
        <f>IFERROR(__xludf.DUMMYFUNCTION("""COMPUTED_VALUE"""),43057.0)</f>
        <v>43057</v>
      </c>
      <c r="V232">
        <f t="shared" si="9"/>
        <v>5</v>
      </c>
      <c r="W232">
        <f t="shared" si="10"/>
        <v>0</v>
      </c>
      <c r="X232">
        <f t="shared" si="11"/>
        <v>1</v>
      </c>
      <c r="Z232" s="8">
        <f>IFERROR(__xludf.DUMMYFUNCTION("""COMPUTED_VALUE"""),43057.0)</f>
        <v>43057</v>
      </c>
      <c r="AA232">
        <f t="shared" si="12"/>
        <v>0</v>
      </c>
      <c r="AB232">
        <f t="shared" si="13"/>
        <v>-5</v>
      </c>
      <c r="AC232">
        <f t="shared" si="14"/>
        <v>-4</v>
      </c>
    </row>
    <row r="233">
      <c r="A233" s="8">
        <f>IFERROR(__xludf.DUMMYFUNCTION("""COMPUTED_VALUE"""),43055.0)</f>
        <v>43055</v>
      </c>
      <c r="B233">
        <f>IFERROR(__xludf.DUMMYFUNCTION("""COMPUTED_VALUE"""),4.0)</f>
        <v>4</v>
      </c>
      <c r="C233">
        <f>IFERROR(__xludf.DUMMYFUNCTION("""COMPUTED_VALUE"""),3.0)</f>
        <v>3</v>
      </c>
      <c r="D233">
        <f>IFERROR(__xludf.DUMMYFUNCTION("""COMPUTED_VALUE"""),1.0)</f>
        <v>1</v>
      </c>
      <c r="K233">
        <f t="shared" ref="K233:M233" si="486">if(B233=1,0,K232+1)</f>
        <v>4</v>
      </c>
      <c r="L233">
        <f t="shared" si="486"/>
        <v>1</v>
      </c>
      <c r="M233">
        <f t="shared" si="486"/>
        <v>0</v>
      </c>
      <c r="O233" s="8">
        <f>IFERROR(__xludf.DUMMYFUNCTION("""COMPUTED_VALUE"""),43055.0)</f>
        <v>43055</v>
      </c>
      <c r="P233">
        <f t="shared" ref="P233:R233" si="487">B233+P234</f>
        <v>83</v>
      </c>
      <c r="Q233">
        <f t="shared" si="487"/>
        <v>90</v>
      </c>
      <c r="R233">
        <f t="shared" si="487"/>
        <v>86</v>
      </c>
      <c r="S233">
        <f t="shared" si="265"/>
        <v>-3</v>
      </c>
      <c r="U233" s="8">
        <f>IFERROR(__xludf.DUMMYFUNCTION("""COMPUTED_VALUE"""),43055.0)</f>
        <v>43055</v>
      </c>
      <c r="V233">
        <f t="shared" si="9"/>
        <v>7</v>
      </c>
      <c r="W233">
        <f t="shared" si="10"/>
        <v>0</v>
      </c>
      <c r="X233">
        <f t="shared" si="11"/>
        <v>4</v>
      </c>
      <c r="Z233" s="8">
        <f>IFERROR(__xludf.DUMMYFUNCTION("""COMPUTED_VALUE"""),43055.0)</f>
        <v>43055</v>
      </c>
      <c r="AA233">
        <f t="shared" si="12"/>
        <v>0</v>
      </c>
      <c r="AB233">
        <f t="shared" si="13"/>
        <v>-7</v>
      </c>
      <c r="AC233">
        <f t="shared" si="14"/>
        <v>-3</v>
      </c>
    </row>
    <row r="234">
      <c r="A234" s="8">
        <f>IFERROR(__xludf.DUMMYFUNCTION("""COMPUTED_VALUE"""),43046.0)</f>
        <v>43046</v>
      </c>
      <c r="B234">
        <f>IFERROR(__xludf.DUMMYFUNCTION("""COMPUTED_VALUE"""),4.0)</f>
        <v>4</v>
      </c>
      <c r="C234">
        <f>IFERROR(__xludf.DUMMYFUNCTION("""COMPUTED_VALUE"""),2.0)</f>
        <v>2</v>
      </c>
      <c r="D234">
        <f>IFERROR(__xludf.DUMMYFUNCTION("""COMPUTED_VALUE"""),3.0)</f>
        <v>3</v>
      </c>
      <c r="O234" s="8">
        <f>IFERROR(__xludf.DUMMYFUNCTION("""COMPUTED_VALUE"""),43046.0)</f>
        <v>43046</v>
      </c>
      <c r="P234">
        <f t="shared" ref="P234:R234" si="488">B234+P235</f>
        <v>79</v>
      </c>
      <c r="Q234">
        <f t="shared" si="488"/>
        <v>87</v>
      </c>
      <c r="R234">
        <f t="shared" si="488"/>
        <v>85</v>
      </c>
      <c r="S234">
        <f t="shared" si="265"/>
        <v>-6</v>
      </c>
      <c r="U234" s="8">
        <f>IFERROR(__xludf.DUMMYFUNCTION("""COMPUTED_VALUE"""),43046.0)</f>
        <v>43046</v>
      </c>
      <c r="V234">
        <f t="shared" si="9"/>
        <v>8</v>
      </c>
      <c r="W234">
        <f t="shared" si="10"/>
        <v>0</v>
      </c>
      <c r="X234">
        <f t="shared" si="11"/>
        <v>2</v>
      </c>
      <c r="Z234" s="8">
        <f>IFERROR(__xludf.DUMMYFUNCTION("""COMPUTED_VALUE"""),43046.0)</f>
        <v>43046</v>
      </c>
      <c r="AA234">
        <f t="shared" si="12"/>
        <v>0</v>
      </c>
      <c r="AB234">
        <f t="shared" si="13"/>
        <v>-8</v>
      </c>
      <c r="AC234">
        <f t="shared" si="14"/>
        <v>-6</v>
      </c>
    </row>
    <row r="235">
      <c r="A235" s="8">
        <f>IFERROR(__xludf.DUMMYFUNCTION("""COMPUTED_VALUE"""),43044.0)</f>
        <v>43044</v>
      </c>
      <c r="B235">
        <f>IFERROR(__xludf.DUMMYFUNCTION("""COMPUTED_VALUE"""),1.0)</f>
        <v>1</v>
      </c>
      <c r="C235">
        <f>IFERROR(__xludf.DUMMYFUNCTION("""COMPUTED_VALUE"""),3.0)</f>
        <v>3</v>
      </c>
      <c r="D235">
        <f>IFERROR(__xludf.DUMMYFUNCTION("""COMPUTED_VALUE"""),2.0)</f>
        <v>2</v>
      </c>
      <c r="O235" s="8">
        <f>IFERROR(__xludf.DUMMYFUNCTION("""COMPUTED_VALUE"""),43044.0)</f>
        <v>43044</v>
      </c>
      <c r="P235">
        <f t="shared" ref="P235:R235" si="489">B235+P236</f>
        <v>75</v>
      </c>
      <c r="Q235">
        <f t="shared" si="489"/>
        <v>85</v>
      </c>
      <c r="R235">
        <f t="shared" si="489"/>
        <v>82</v>
      </c>
      <c r="S235">
        <f t="shared" si="265"/>
        <v>-7</v>
      </c>
      <c r="U235" s="8">
        <f>IFERROR(__xludf.DUMMYFUNCTION("""COMPUTED_VALUE"""),43044.0)</f>
        <v>43044</v>
      </c>
      <c r="V235">
        <f t="shared" si="9"/>
        <v>10</v>
      </c>
      <c r="W235">
        <f t="shared" si="10"/>
        <v>0</v>
      </c>
      <c r="X235">
        <f t="shared" si="11"/>
        <v>3</v>
      </c>
      <c r="Z235" s="8">
        <f>IFERROR(__xludf.DUMMYFUNCTION("""COMPUTED_VALUE"""),43044.0)</f>
        <v>43044</v>
      </c>
      <c r="AA235">
        <f t="shared" si="12"/>
        <v>0</v>
      </c>
      <c r="AB235">
        <f t="shared" si="13"/>
        <v>-10</v>
      </c>
      <c r="AC235">
        <f t="shared" si="14"/>
        <v>-7</v>
      </c>
    </row>
    <row r="236">
      <c r="A236" s="8">
        <f>IFERROR(__xludf.DUMMYFUNCTION("""COMPUTED_VALUE"""),43041.0)</f>
        <v>43041</v>
      </c>
      <c r="B236">
        <f>IFERROR(__xludf.DUMMYFUNCTION("""COMPUTED_VALUE"""),2.0)</f>
        <v>2</v>
      </c>
      <c r="C236">
        <f>IFERROR(__xludf.DUMMYFUNCTION("""COMPUTED_VALUE"""),3.0)</f>
        <v>3</v>
      </c>
      <c r="D236">
        <f>IFERROR(__xludf.DUMMYFUNCTION("""COMPUTED_VALUE"""),1.0)</f>
        <v>1</v>
      </c>
      <c r="O236" s="8">
        <f>IFERROR(__xludf.DUMMYFUNCTION("""COMPUTED_VALUE"""),43041.0)</f>
        <v>43041</v>
      </c>
      <c r="P236">
        <f t="shared" ref="P236:R236" si="490">B236+P237</f>
        <v>74</v>
      </c>
      <c r="Q236">
        <f t="shared" si="490"/>
        <v>82</v>
      </c>
      <c r="R236">
        <f t="shared" si="490"/>
        <v>80</v>
      </c>
      <c r="S236">
        <f t="shared" si="265"/>
        <v>-6</v>
      </c>
      <c r="U236" s="8">
        <f>IFERROR(__xludf.DUMMYFUNCTION("""COMPUTED_VALUE"""),43041.0)</f>
        <v>43041</v>
      </c>
      <c r="V236">
        <f t="shared" si="9"/>
        <v>8</v>
      </c>
      <c r="W236">
        <f t="shared" si="10"/>
        <v>0</v>
      </c>
      <c r="X236">
        <f t="shared" si="11"/>
        <v>2</v>
      </c>
      <c r="Z236" s="8">
        <f>IFERROR(__xludf.DUMMYFUNCTION("""COMPUTED_VALUE"""),43041.0)</f>
        <v>43041</v>
      </c>
      <c r="AA236">
        <f t="shared" si="12"/>
        <v>0</v>
      </c>
      <c r="AB236">
        <f t="shared" si="13"/>
        <v>-8</v>
      </c>
      <c r="AC236">
        <f t="shared" si="14"/>
        <v>-6</v>
      </c>
    </row>
    <row r="237">
      <c r="A237" s="8">
        <f>IFERROR(__xludf.DUMMYFUNCTION("""COMPUTED_VALUE"""),43037.0)</f>
        <v>43037</v>
      </c>
      <c r="B237">
        <f>IFERROR(__xludf.DUMMYFUNCTION("""COMPUTED_VALUE"""),2.0)</f>
        <v>2</v>
      </c>
      <c r="C237">
        <f>IFERROR(__xludf.DUMMYFUNCTION("""COMPUTED_VALUE"""),3.0)</f>
        <v>3</v>
      </c>
      <c r="D237">
        <f>IFERROR(__xludf.DUMMYFUNCTION("""COMPUTED_VALUE"""),1.0)</f>
        <v>1</v>
      </c>
      <c r="O237" s="8">
        <f>IFERROR(__xludf.DUMMYFUNCTION("""COMPUTED_VALUE"""),43037.0)</f>
        <v>43037</v>
      </c>
      <c r="P237">
        <f t="shared" ref="P237:R237" si="491">B237+P238</f>
        <v>72</v>
      </c>
      <c r="Q237">
        <f t="shared" si="491"/>
        <v>79</v>
      </c>
      <c r="R237">
        <f t="shared" si="491"/>
        <v>79</v>
      </c>
      <c r="S237">
        <f t="shared" si="265"/>
        <v>-7</v>
      </c>
      <c r="U237" s="8">
        <f>IFERROR(__xludf.DUMMYFUNCTION("""COMPUTED_VALUE"""),43037.0)</f>
        <v>43037</v>
      </c>
      <c r="V237">
        <f t="shared" si="9"/>
        <v>7</v>
      </c>
      <c r="W237">
        <f t="shared" si="10"/>
        <v>0</v>
      </c>
      <c r="X237">
        <f t="shared" si="11"/>
        <v>0</v>
      </c>
      <c r="Z237" s="8">
        <f>IFERROR(__xludf.DUMMYFUNCTION("""COMPUTED_VALUE"""),43037.0)</f>
        <v>43037</v>
      </c>
      <c r="AA237">
        <f t="shared" si="12"/>
        <v>0</v>
      </c>
      <c r="AB237">
        <f t="shared" si="13"/>
        <v>-7</v>
      </c>
      <c r="AC237">
        <f t="shared" si="14"/>
        <v>-7</v>
      </c>
    </row>
    <row r="238">
      <c r="A238" s="8">
        <f>IFERROR(__xludf.DUMMYFUNCTION("""COMPUTED_VALUE"""),43034.0)</f>
        <v>43034</v>
      </c>
      <c r="B238">
        <f>IFERROR(__xludf.DUMMYFUNCTION("""COMPUTED_VALUE"""),1.0)</f>
        <v>1</v>
      </c>
      <c r="C238">
        <f>IFERROR(__xludf.DUMMYFUNCTION("""COMPUTED_VALUE"""),3.0)</f>
        <v>3</v>
      </c>
      <c r="D238">
        <f>IFERROR(__xludf.DUMMYFUNCTION("""COMPUTED_VALUE"""),2.0)</f>
        <v>2</v>
      </c>
      <c r="O238" s="8">
        <f>IFERROR(__xludf.DUMMYFUNCTION("""COMPUTED_VALUE"""),43034.0)</f>
        <v>43034</v>
      </c>
      <c r="P238">
        <f t="shared" ref="P238:R238" si="492">B238+P239</f>
        <v>70</v>
      </c>
      <c r="Q238">
        <f t="shared" si="492"/>
        <v>76</v>
      </c>
      <c r="R238">
        <f t="shared" si="492"/>
        <v>78</v>
      </c>
      <c r="S238">
        <f t="shared" si="265"/>
        <v>-6</v>
      </c>
      <c r="U238" s="8">
        <f>IFERROR(__xludf.DUMMYFUNCTION("""COMPUTED_VALUE"""),43034.0)</f>
        <v>43034</v>
      </c>
      <c r="V238">
        <f t="shared" si="9"/>
        <v>6</v>
      </c>
      <c r="W238">
        <f t="shared" si="10"/>
        <v>0</v>
      </c>
      <c r="X238">
        <f t="shared" si="11"/>
        <v>-2</v>
      </c>
      <c r="Z238" s="8">
        <f>IFERROR(__xludf.DUMMYFUNCTION("""COMPUTED_VALUE"""),43034.0)</f>
        <v>43034</v>
      </c>
      <c r="AA238">
        <f t="shared" si="12"/>
        <v>0</v>
      </c>
      <c r="AB238">
        <f t="shared" si="13"/>
        <v>-6</v>
      </c>
      <c r="AC238">
        <f t="shared" si="14"/>
        <v>-8</v>
      </c>
    </row>
    <row r="239">
      <c r="A239" s="8">
        <f>IFERROR(__xludf.DUMMYFUNCTION("""COMPUTED_VALUE"""),43018.0)</f>
        <v>43018</v>
      </c>
      <c r="B239">
        <f>IFERROR(__xludf.DUMMYFUNCTION("""COMPUTED_VALUE"""),1.0)</f>
        <v>1</v>
      </c>
      <c r="C239">
        <f>IFERROR(__xludf.DUMMYFUNCTION("""COMPUTED_VALUE"""),3.0)</f>
        <v>3</v>
      </c>
      <c r="D239">
        <f>IFERROR(__xludf.DUMMYFUNCTION("""COMPUTED_VALUE"""),2.0)</f>
        <v>2</v>
      </c>
      <c r="O239" s="8">
        <f>IFERROR(__xludf.DUMMYFUNCTION("""COMPUTED_VALUE"""),43018.0)</f>
        <v>43018</v>
      </c>
      <c r="P239">
        <f t="shared" ref="P239:R239" si="493">B239+P240</f>
        <v>69</v>
      </c>
      <c r="Q239">
        <f t="shared" si="493"/>
        <v>73</v>
      </c>
      <c r="R239">
        <f t="shared" si="493"/>
        <v>76</v>
      </c>
      <c r="S239">
        <f t="shared" si="265"/>
        <v>-4</v>
      </c>
      <c r="U239" s="8">
        <f>IFERROR(__xludf.DUMMYFUNCTION("""COMPUTED_VALUE"""),43018.0)</f>
        <v>43018</v>
      </c>
      <c r="V239">
        <f t="shared" si="9"/>
        <v>4</v>
      </c>
      <c r="W239">
        <f t="shared" si="10"/>
        <v>0</v>
      </c>
      <c r="X239">
        <f t="shared" si="11"/>
        <v>-3</v>
      </c>
      <c r="Z239" s="8">
        <f>IFERROR(__xludf.DUMMYFUNCTION("""COMPUTED_VALUE"""),43018.0)</f>
        <v>43018</v>
      </c>
      <c r="AA239">
        <f t="shared" si="12"/>
        <v>0</v>
      </c>
      <c r="AB239">
        <f t="shared" si="13"/>
        <v>-4</v>
      </c>
      <c r="AC239">
        <f t="shared" si="14"/>
        <v>-7</v>
      </c>
    </row>
    <row r="240">
      <c r="A240" s="8">
        <f>IFERROR(__xludf.DUMMYFUNCTION("""COMPUTED_VALUE"""),43005.0)</f>
        <v>43005</v>
      </c>
      <c r="B240">
        <f>IFERROR(__xludf.DUMMYFUNCTION("""COMPUTED_VALUE"""),3.0)</f>
        <v>3</v>
      </c>
      <c r="C240">
        <f>IFERROR(__xludf.DUMMYFUNCTION("""COMPUTED_VALUE"""),1.0)</f>
        <v>1</v>
      </c>
      <c r="D240">
        <f>IFERROR(__xludf.DUMMYFUNCTION("""COMPUTED_VALUE"""),2.0)</f>
        <v>2</v>
      </c>
      <c r="O240" s="8">
        <f>IFERROR(__xludf.DUMMYFUNCTION("""COMPUTED_VALUE"""),43005.0)</f>
        <v>43005</v>
      </c>
      <c r="P240">
        <f t="shared" ref="P240:R240" si="494">B240+P241</f>
        <v>68</v>
      </c>
      <c r="Q240">
        <f t="shared" si="494"/>
        <v>70</v>
      </c>
      <c r="R240">
        <f t="shared" si="494"/>
        <v>74</v>
      </c>
      <c r="S240">
        <f t="shared" si="265"/>
        <v>-2</v>
      </c>
      <c r="U240" s="8">
        <f>IFERROR(__xludf.DUMMYFUNCTION("""COMPUTED_VALUE"""),43005.0)</f>
        <v>43005</v>
      </c>
      <c r="V240">
        <f t="shared" si="9"/>
        <v>2</v>
      </c>
      <c r="W240">
        <f t="shared" si="10"/>
        <v>0</v>
      </c>
      <c r="X240">
        <f t="shared" si="11"/>
        <v>-4</v>
      </c>
      <c r="Z240" s="8">
        <f>IFERROR(__xludf.DUMMYFUNCTION("""COMPUTED_VALUE"""),43005.0)</f>
        <v>43005</v>
      </c>
      <c r="AA240">
        <f t="shared" si="12"/>
        <v>0</v>
      </c>
      <c r="AB240">
        <f t="shared" si="13"/>
        <v>-2</v>
      </c>
      <c r="AC240">
        <f t="shared" si="14"/>
        <v>-6</v>
      </c>
    </row>
    <row r="241">
      <c r="A241" s="8">
        <f>IFERROR(__xludf.DUMMYFUNCTION("""COMPUTED_VALUE"""),43002.0)</f>
        <v>43002</v>
      </c>
      <c r="B241">
        <f>IFERROR(__xludf.DUMMYFUNCTION("""COMPUTED_VALUE"""),2.0)</f>
        <v>2</v>
      </c>
      <c r="C241">
        <f>IFERROR(__xludf.DUMMYFUNCTION("""COMPUTED_VALUE"""),3.0)</f>
        <v>3</v>
      </c>
      <c r="D241">
        <f>IFERROR(__xludf.DUMMYFUNCTION("""COMPUTED_VALUE"""),1.0)</f>
        <v>1</v>
      </c>
      <c r="O241" s="8">
        <f>IFERROR(__xludf.DUMMYFUNCTION("""COMPUTED_VALUE"""),43002.0)</f>
        <v>43002</v>
      </c>
      <c r="P241">
        <f t="shared" ref="P241:R241" si="495">B241+P242</f>
        <v>65</v>
      </c>
      <c r="Q241">
        <f t="shared" si="495"/>
        <v>69</v>
      </c>
      <c r="R241">
        <f t="shared" si="495"/>
        <v>72</v>
      </c>
      <c r="S241">
        <f t="shared" si="265"/>
        <v>-4</v>
      </c>
      <c r="U241" s="8">
        <f>IFERROR(__xludf.DUMMYFUNCTION("""COMPUTED_VALUE"""),43002.0)</f>
        <v>43002</v>
      </c>
      <c r="V241">
        <f t="shared" si="9"/>
        <v>4</v>
      </c>
      <c r="W241">
        <f t="shared" si="10"/>
        <v>0</v>
      </c>
      <c r="X241">
        <f t="shared" si="11"/>
        <v>-3</v>
      </c>
      <c r="Z241" s="8">
        <f>IFERROR(__xludf.DUMMYFUNCTION("""COMPUTED_VALUE"""),43002.0)</f>
        <v>43002</v>
      </c>
      <c r="AA241">
        <f t="shared" si="12"/>
        <v>0</v>
      </c>
      <c r="AB241">
        <f t="shared" si="13"/>
        <v>-4</v>
      </c>
      <c r="AC241">
        <f t="shared" si="14"/>
        <v>-7</v>
      </c>
    </row>
    <row r="242">
      <c r="A242" s="8">
        <f>IFERROR(__xludf.DUMMYFUNCTION("""COMPUTED_VALUE"""),42862.0)</f>
        <v>42862</v>
      </c>
      <c r="B242">
        <f>IFERROR(__xludf.DUMMYFUNCTION("""COMPUTED_VALUE"""),3.0)</f>
        <v>3</v>
      </c>
      <c r="C242">
        <f>IFERROR(__xludf.DUMMYFUNCTION("""COMPUTED_VALUE"""),4.0)</f>
        <v>4</v>
      </c>
      <c r="D242">
        <f>IFERROR(__xludf.DUMMYFUNCTION("""COMPUTED_VALUE"""),2.0)</f>
        <v>2</v>
      </c>
      <c r="O242" s="8">
        <f>IFERROR(__xludf.DUMMYFUNCTION("""COMPUTED_VALUE"""),42862.0)</f>
        <v>42862</v>
      </c>
      <c r="P242">
        <f t="shared" ref="P242:R242" si="496">B242+P243</f>
        <v>63</v>
      </c>
      <c r="Q242">
        <f t="shared" si="496"/>
        <v>66</v>
      </c>
      <c r="R242">
        <f t="shared" si="496"/>
        <v>71</v>
      </c>
      <c r="S242">
        <f t="shared" si="265"/>
        <v>-3</v>
      </c>
      <c r="U242" s="8">
        <f>IFERROR(__xludf.DUMMYFUNCTION("""COMPUTED_VALUE"""),42862.0)</f>
        <v>42862</v>
      </c>
      <c r="V242">
        <f t="shared" si="9"/>
        <v>3</v>
      </c>
      <c r="W242">
        <f t="shared" si="10"/>
        <v>0</v>
      </c>
      <c r="X242">
        <f t="shared" si="11"/>
        <v>-5</v>
      </c>
      <c r="Z242" s="8">
        <f>IFERROR(__xludf.DUMMYFUNCTION("""COMPUTED_VALUE"""),42862.0)</f>
        <v>42862</v>
      </c>
      <c r="AA242">
        <f t="shared" si="12"/>
        <v>0</v>
      </c>
      <c r="AB242">
        <f t="shared" si="13"/>
        <v>-3</v>
      </c>
      <c r="AC242">
        <f t="shared" si="14"/>
        <v>-8</v>
      </c>
    </row>
    <row r="243">
      <c r="A243" s="8">
        <f>IFERROR(__xludf.DUMMYFUNCTION("""COMPUTED_VALUE"""),42764.0)</f>
        <v>42764</v>
      </c>
      <c r="B243">
        <f>IFERROR(__xludf.DUMMYFUNCTION("""COMPUTED_VALUE"""),2.0)</f>
        <v>2</v>
      </c>
      <c r="C243">
        <f>IFERROR(__xludf.DUMMYFUNCTION("""COMPUTED_VALUE"""),3.0)</f>
        <v>3</v>
      </c>
      <c r="D243">
        <f>IFERROR(__xludf.DUMMYFUNCTION("""COMPUTED_VALUE"""),1.0)</f>
        <v>1</v>
      </c>
      <c r="O243" s="8">
        <f>IFERROR(__xludf.DUMMYFUNCTION("""COMPUTED_VALUE"""),42764.0)</f>
        <v>42764</v>
      </c>
      <c r="P243">
        <f t="shared" ref="P243:R243" si="497">B243+P244</f>
        <v>60</v>
      </c>
      <c r="Q243">
        <f t="shared" si="497"/>
        <v>62</v>
      </c>
      <c r="R243">
        <f t="shared" si="497"/>
        <v>69</v>
      </c>
      <c r="S243">
        <f t="shared" si="265"/>
        <v>-2</v>
      </c>
      <c r="U243" s="8">
        <f>IFERROR(__xludf.DUMMYFUNCTION("""COMPUTED_VALUE"""),42764.0)</f>
        <v>42764</v>
      </c>
      <c r="V243">
        <f t="shared" si="9"/>
        <v>2</v>
      </c>
      <c r="W243">
        <f t="shared" si="10"/>
        <v>0</v>
      </c>
      <c r="X243">
        <f t="shared" si="11"/>
        <v>-7</v>
      </c>
      <c r="Z243" s="8">
        <f>IFERROR(__xludf.DUMMYFUNCTION("""COMPUTED_VALUE"""),42764.0)</f>
        <v>42764</v>
      </c>
      <c r="AA243">
        <f t="shared" si="12"/>
        <v>0</v>
      </c>
      <c r="AB243">
        <f t="shared" si="13"/>
        <v>-2</v>
      </c>
      <c r="AC243">
        <f t="shared" si="14"/>
        <v>-9</v>
      </c>
    </row>
    <row r="244">
      <c r="A244" s="8">
        <f>IFERROR(__xludf.DUMMYFUNCTION("""COMPUTED_VALUE"""),42763.0)</f>
        <v>42763</v>
      </c>
      <c r="B244">
        <f>IFERROR(__xludf.DUMMYFUNCTION("""COMPUTED_VALUE"""),3.0)</f>
        <v>3</v>
      </c>
      <c r="C244">
        <f>IFERROR(__xludf.DUMMYFUNCTION("""COMPUTED_VALUE"""),4.0)</f>
        <v>4</v>
      </c>
      <c r="D244">
        <f>IFERROR(__xludf.DUMMYFUNCTION("""COMPUTED_VALUE"""),1.0)</f>
        <v>1</v>
      </c>
      <c r="O244" s="8">
        <f>IFERROR(__xludf.DUMMYFUNCTION("""COMPUTED_VALUE"""),42763.0)</f>
        <v>42763</v>
      </c>
      <c r="P244">
        <f t="shared" ref="P244:R244" si="498">B244+P245</f>
        <v>58</v>
      </c>
      <c r="Q244">
        <f t="shared" si="498"/>
        <v>59</v>
      </c>
      <c r="R244">
        <f t="shared" si="498"/>
        <v>68</v>
      </c>
      <c r="S244">
        <f t="shared" si="265"/>
        <v>-1</v>
      </c>
      <c r="U244" s="8">
        <f>IFERROR(__xludf.DUMMYFUNCTION("""COMPUTED_VALUE"""),42763.0)</f>
        <v>42763</v>
      </c>
      <c r="V244">
        <f t="shared" si="9"/>
        <v>1</v>
      </c>
      <c r="W244">
        <f t="shared" si="10"/>
        <v>0</v>
      </c>
      <c r="X244">
        <f t="shared" si="11"/>
        <v>-9</v>
      </c>
      <c r="Z244" s="8">
        <f>IFERROR(__xludf.DUMMYFUNCTION("""COMPUTED_VALUE"""),42763.0)</f>
        <v>42763</v>
      </c>
      <c r="AA244">
        <f t="shared" si="12"/>
        <v>0</v>
      </c>
      <c r="AB244">
        <f t="shared" si="13"/>
        <v>-1</v>
      </c>
      <c r="AC244">
        <f t="shared" si="14"/>
        <v>-10</v>
      </c>
    </row>
    <row r="245">
      <c r="A245" s="8">
        <f>IFERROR(__xludf.DUMMYFUNCTION("""COMPUTED_VALUE"""),42763.0)</f>
        <v>42763</v>
      </c>
      <c r="B245">
        <f>IFERROR(__xludf.DUMMYFUNCTION("""COMPUTED_VALUE"""),1.0)</f>
        <v>1</v>
      </c>
      <c r="C245">
        <f>IFERROR(__xludf.DUMMYFUNCTION("""COMPUTED_VALUE"""),2.0)</f>
        <v>2</v>
      </c>
      <c r="D245">
        <f>IFERROR(__xludf.DUMMYFUNCTION("""COMPUTED_VALUE"""),4.0)</f>
        <v>4</v>
      </c>
      <c r="O245" s="8">
        <f>IFERROR(__xludf.DUMMYFUNCTION("""COMPUTED_VALUE"""),42763.0)</f>
        <v>42763</v>
      </c>
      <c r="P245">
        <f t="shared" ref="P245:R245" si="499">B245+P246</f>
        <v>55</v>
      </c>
      <c r="Q245">
        <f t="shared" si="499"/>
        <v>55</v>
      </c>
      <c r="R245">
        <f t="shared" si="499"/>
        <v>67</v>
      </c>
      <c r="S245">
        <f t="shared" si="265"/>
        <v>-12</v>
      </c>
      <c r="U245" s="8">
        <f>IFERROR(__xludf.DUMMYFUNCTION("""COMPUTED_VALUE"""),42763.0)</f>
        <v>42763</v>
      </c>
      <c r="V245">
        <f t="shared" si="9"/>
        <v>0</v>
      </c>
      <c r="W245">
        <f t="shared" si="10"/>
        <v>0</v>
      </c>
      <c r="X245">
        <f t="shared" si="11"/>
        <v>-12</v>
      </c>
      <c r="Z245" s="8">
        <f>IFERROR(__xludf.DUMMYFUNCTION("""COMPUTED_VALUE"""),42763.0)</f>
        <v>42763</v>
      </c>
      <c r="AA245">
        <f t="shared" si="12"/>
        <v>0</v>
      </c>
      <c r="AB245">
        <f t="shared" si="13"/>
        <v>0</v>
      </c>
      <c r="AC245">
        <f t="shared" si="14"/>
        <v>-12</v>
      </c>
    </row>
    <row r="246">
      <c r="A246" s="8">
        <f>IFERROR(__xludf.DUMMYFUNCTION("""COMPUTED_VALUE"""),42728.0)</f>
        <v>42728</v>
      </c>
      <c r="B246">
        <f>IFERROR(__xludf.DUMMYFUNCTION("""COMPUTED_VALUE"""),2.0)</f>
        <v>2</v>
      </c>
      <c r="C246">
        <f>IFERROR(__xludf.DUMMYFUNCTION("""COMPUTED_VALUE"""),5.0)</f>
        <v>5</v>
      </c>
      <c r="D246">
        <f>IFERROR(__xludf.DUMMYFUNCTION("""COMPUTED_VALUE"""),3.0)</f>
        <v>3</v>
      </c>
      <c r="O246" s="8">
        <f>IFERROR(__xludf.DUMMYFUNCTION("""COMPUTED_VALUE"""),42728.0)</f>
        <v>42728</v>
      </c>
      <c r="P246">
        <f t="shared" ref="P246:R246" si="500">B246+P247</f>
        <v>54</v>
      </c>
      <c r="Q246">
        <f t="shared" si="500"/>
        <v>53</v>
      </c>
      <c r="R246">
        <f t="shared" si="500"/>
        <v>63</v>
      </c>
      <c r="S246">
        <f t="shared" si="265"/>
        <v>-1</v>
      </c>
      <c r="U246" s="8">
        <f>IFERROR(__xludf.DUMMYFUNCTION("""COMPUTED_VALUE"""),42728.0)</f>
        <v>42728</v>
      </c>
      <c r="V246">
        <f t="shared" si="9"/>
        <v>-1</v>
      </c>
      <c r="W246">
        <f t="shared" si="10"/>
        <v>0</v>
      </c>
      <c r="X246">
        <f t="shared" si="11"/>
        <v>-10</v>
      </c>
      <c r="Z246" s="8">
        <f>IFERROR(__xludf.DUMMYFUNCTION("""COMPUTED_VALUE"""),42728.0)</f>
        <v>42728</v>
      </c>
      <c r="AA246">
        <f t="shared" si="12"/>
        <v>-1</v>
      </c>
      <c r="AB246">
        <f t="shared" si="13"/>
        <v>0</v>
      </c>
      <c r="AC246">
        <f t="shared" si="14"/>
        <v>-10</v>
      </c>
    </row>
    <row r="247">
      <c r="A247" s="8">
        <f>IFERROR(__xludf.DUMMYFUNCTION("""COMPUTED_VALUE"""),42693.0)</f>
        <v>42693</v>
      </c>
      <c r="B247">
        <f>IFERROR(__xludf.DUMMYFUNCTION("""COMPUTED_VALUE"""),3.0)</f>
        <v>3</v>
      </c>
      <c r="C247">
        <f>IFERROR(__xludf.DUMMYFUNCTION("""COMPUTED_VALUE"""),2.0)</f>
        <v>2</v>
      </c>
      <c r="D247">
        <f>IFERROR(__xludf.DUMMYFUNCTION("""COMPUTED_VALUE"""),1.0)</f>
        <v>1</v>
      </c>
      <c r="O247" s="8">
        <f>IFERROR(__xludf.DUMMYFUNCTION("""COMPUTED_VALUE"""),42693.0)</f>
        <v>42693</v>
      </c>
      <c r="P247">
        <f t="shared" ref="P247:R247" si="501">B247+P248</f>
        <v>52</v>
      </c>
      <c r="Q247">
        <f t="shared" si="501"/>
        <v>48</v>
      </c>
      <c r="R247">
        <f t="shared" si="501"/>
        <v>60</v>
      </c>
      <c r="S247">
        <f t="shared" si="265"/>
        <v>-4</v>
      </c>
      <c r="U247" s="8">
        <f>IFERROR(__xludf.DUMMYFUNCTION("""COMPUTED_VALUE"""),42693.0)</f>
        <v>42693</v>
      </c>
      <c r="V247">
        <f t="shared" si="9"/>
        <v>-4</v>
      </c>
      <c r="W247">
        <f t="shared" si="10"/>
        <v>0</v>
      </c>
      <c r="X247">
        <f t="shared" si="11"/>
        <v>-12</v>
      </c>
      <c r="Z247" s="8">
        <f>IFERROR(__xludf.DUMMYFUNCTION("""COMPUTED_VALUE"""),42693.0)</f>
        <v>42693</v>
      </c>
      <c r="AA247">
        <f t="shared" si="12"/>
        <v>-4</v>
      </c>
      <c r="AB247">
        <f t="shared" si="13"/>
        <v>0</v>
      </c>
      <c r="AC247">
        <f t="shared" si="14"/>
        <v>-12</v>
      </c>
    </row>
    <row r="248">
      <c r="A248" s="8">
        <f>IFERROR(__xludf.DUMMYFUNCTION("""COMPUTED_VALUE"""),42634.0)</f>
        <v>42634</v>
      </c>
      <c r="B248">
        <f>IFERROR(__xludf.DUMMYFUNCTION("""COMPUTED_VALUE"""),1.0)</f>
        <v>1</v>
      </c>
      <c r="C248">
        <f>IFERROR(__xludf.DUMMYFUNCTION("""COMPUTED_VALUE"""),3.0)</f>
        <v>3</v>
      </c>
      <c r="D248">
        <f>IFERROR(__xludf.DUMMYFUNCTION("""COMPUTED_VALUE"""),2.0)</f>
        <v>2</v>
      </c>
      <c r="O248" s="8">
        <f>IFERROR(__xludf.DUMMYFUNCTION("""COMPUTED_VALUE"""),42634.0)</f>
        <v>42634</v>
      </c>
      <c r="P248">
        <f t="shared" ref="P248:R248" si="502">B248+P249</f>
        <v>49</v>
      </c>
      <c r="Q248">
        <f t="shared" si="502"/>
        <v>46</v>
      </c>
      <c r="R248">
        <f t="shared" si="502"/>
        <v>59</v>
      </c>
      <c r="S248">
        <f t="shared" si="265"/>
        <v>-3</v>
      </c>
      <c r="U248" s="8">
        <f>IFERROR(__xludf.DUMMYFUNCTION("""COMPUTED_VALUE"""),42634.0)</f>
        <v>42634</v>
      </c>
      <c r="V248">
        <f t="shared" si="9"/>
        <v>-3</v>
      </c>
      <c r="W248">
        <f t="shared" si="10"/>
        <v>0</v>
      </c>
      <c r="X248">
        <f t="shared" si="11"/>
        <v>-13</v>
      </c>
      <c r="Z248" s="8">
        <f>IFERROR(__xludf.DUMMYFUNCTION("""COMPUTED_VALUE"""),42634.0)</f>
        <v>42634</v>
      </c>
      <c r="AA248">
        <f t="shared" si="12"/>
        <v>-3</v>
      </c>
      <c r="AB248">
        <f t="shared" si="13"/>
        <v>0</v>
      </c>
      <c r="AC248">
        <f t="shared" si="14"/>
        <v>-13</v>
      </c>
    </row>
    <row r="249">
      <c r="A249" s="8">
        <f>IFERROR(__xludf.DUMMYFUNCTION("""COMPUTED_VALUE"""),42589.0)</f>
        <v>42589</v>
      </c>
      <c r="B249">
        <f>IFERROR(__xludf.DUMMYFUNCTION("""COMPUTED_VALUE"""),2.0)</f>
        <v>2</v>
      </c>
      <c r="C249">
        <f>IFERROR(__xludf.DUMMYFUNCTION("""COMPUTED_VALUE"""),3.0)</f>
        <v>3</v>
      </c>
      <c r="D249">
        <f>IFERROR(__xludf.DUMMYFUNCTION("""COMPUTED_VALUE"""),4.0)</f>
        <v>4</v>
      </c>
      <c r="O249" s="8">
        <f>IFERROR(__xludf.DUMMYFUNCTION("""COMPUTED_VALUE"""),42589.0)</f>
        <v>42589</v>
      </c>
      <c r="P249">
        <f t="shared" ref="P249:R249" si="503">B249+P250</f>
        <v>48</v>
      </c>
      <c r="Q249">
        <f t="shared" si="503"/>
        <v>43</v>
      </c>
      <c r="R249">
        <f t="shared" si="503"/>
        <v>57</v>
      </c>
      <c r="S249">
        <f t="shared" si="265"/>
        <v>-5</v>
      </c>
      <c r="U249" s="8">
        <f>IFERROR(__xludf.DUMMYFUNCTION("""COMPUTED_VALUE"""),42589.0)</f>
        <v>42589</v>
      </c>
      <c r="V249">
        <f t="shared" si="9"/>
        <v>-5</v>
      </c>
      <c r="W249">
        <f t="shared" si="10"/>
        <v>0</v>
      </c>
      <c r="X249">
        <f t="shared" si="11"/>
        <v>-14</v>
      </c>
      <c r="Z249" s="8">
        <f>IFERROR(__xludf.DUMMYFUNCTION("""COMPUTED_VALUE"""),42589.0)</f>
        <v>42589</v>
      </c>
      <c r="AA249">
        <f t="shared" si="12"/>
        <v>-5</v>
      </c>
      <c r="AB249">
        <f t="shared" si="13"/>
        <v>0</v>
      </c>
      <c r="AC249">
        <f t="shared" si="14"/>
        <v>-14</v>
      </c>
    </row>
    <row r="250">
      <c r="A250" s="8">
        <f>IFERROR(__xludf.DUMMYFUNCTION("""COMPUTED_VALUE"""),42578.0)</f>
        <v>42578</v>
      </c>
      <c r="B250">
        <f>IFERROR(__xludf.DUMMYFUNCTION("""COMPUTED_VALUE"""),2.0)</f>
        <v>2</v>
      </c>
      <c r="C250">
        <f>IFERROR(__xludf.DUMMYFUNCTION("""COMPUTED_VALUE"""),1.0)</f>
        <v>1</v>
      </c>
      <c r="D250">
        <f>IFERROR(__xludf.DUMMYFUNCTION("""COMPUTED_VALUE"""),4.0)</f>
        <v>4</v>
      </c>
      <c r="O250" s="8">
        <f>IFERROR(__xludf.DUMMYFUNCTION("""COMPUTED_VALUE"""),42578.0)</f>
        <v>42578</v>
      </c>
      <c r="P250">
        <f t="shared" ref="P250:R250" si="504">B250+P251</f>
        <v>46</v>
      </c>
      <c r="Q250">
        <f t="shared" si="504"/>
        <v>40</v>
      </c>
      <c r="R250">
        <f t="shared" si="504"/>
        <v>53</v>
      </c>
      <c r="S250">
        <f t="shared" si="265"/>
        <v>-6</v>
      </c>
      <c r="U250" s="8">
        <f>IFERROR(__xludf.DUMMYFUNCTION("""COMPUTED_VALUE"""),42578.0)</f>
        <v>42578</v>
      </c>
      <c r="V250">
        <f t="shared" si="9"/>
        <v>-6</v>
      </c>
      <c r="W250">
        <f t="shared" si="10"/>
        <v>0</v>
      </c>
      <c r="X250">
        <f t="shared" si="11"/>
        <v>-13</v>
      </c>
      <c r="Z250" s="8">
        <f>IFERROR(__xludf.DUMMYFUNCTION("""COMPUTED_VALUE"""),42578.0)</f>
        <v>42578</v>
      </c>
      <c r="AA250">
        <f t="shared" si="12"/>
        <v>-6</v>
      </c>
      <c r="AB250">
        <f t="shared" si="13"/>
        <v>0</v>
      </c>
      <c r="AC250">
        <f t="shared" si="14"/>
        <v>-13</v>
      </c>
    </row>
    <row r="251">
      <c r="A251" s="8">
        <f>IFERROR(__xludf.DUMMYFUNCTION("""COMPUTED_VALUE"""),42578.0)</f>
        <v>42578</v>
      </c>
      <c r="B251">
        <f>IFERROR(__xludf.DUMMYFUNCTION("""COMPUTED_VALUE"""),1.0)</f>
        <v>1</v>
      </c>
      <c r="C251">
        <f>IFERROR(__xludf.DUMMYFUNCTION("""COMPUTED_VALUE"""),3.0)</f>
        <v>3</v>
      </c>
      <c r="D251">
        <f>IFERROR(__xludf.DUMMYFUNCTION("""COMPUTED_VALUE"""),2.0)</f>
        <v>2</v>
      </c>
      <c r="O251" s="8">
        <f>IFERROR(__xludf.DUMMYFUNCTION("""COMPUTED_VALUE"""),42578.0)</f>
        <v>42578</v>
      </c>
      <c r="P251">
        <f t="shared" ref="P251:R251" si="505">B251+P252</f>
        <v>44</v>
      </c>
      <c r="Q251">
        <f t="shared" si="505"/>
        <v>39</v>
      </c>
      <c r="R251">
        <f t="shared" si="505"/>
        <v>49</v>
      </c>
      <c r="S251">
        <f t="shared" si="265"/>
        <v>-5</v>
      </c>
      <c r="U251" s="8">
        <f>IFERROR(__xludf.DUMMYFUNCTION("""COMPUTED_VALUE"""),42578.0)</f>
        <v>42578</v>
      </c>
      <c r="V251">
        <f t="shared" si="9"/>
        <v>-5</v>
      </c>
      <c r="W251">
        <f t="shared" si="10"/>
        <v>0</v>
      </c>
      <c r="X251">
        <f t="shared" si="11"/>
        <v>-10</v>
      </c>
      <c r="Z251" s="8">
        <f>IFERROR(__xludf.DUMMYFUNCTION("""COMPUTED_VALUE"""),42578.0)</f>
        <v>42578</v>
      </c>
      <c r="AA251">
        <f t="shared" si="12"/>
        <v>-5</v>
      </c>
      <c r="AB251">
        <f t="shared" si="13"/>
        <v>0</v>
      </c>
      <c r="AC251">
        <f t="shared" si="14"/>
        <v>-10</v>
      </c>
    </row>
    <row r="252">
      <c r="A252" s="8">
        <f>IFERROR(__xludf.DUMMYFUNCTION("""COMPUTED_VALUE"""),42561.0)</f>
        <v>42561</v>
      </c>
      <c r="B252">
        <f>IFERROR(__xludf.DUMMYFUNCTION("""COMPUTED_VALUE"""),3.0)</f>
        <v>3</v>
      </c>
      <c r="C252">
        <f>IFERROR(__xludf.DUMMYFUNCTION("""COMPUTED_VALUE"""),1.0)</f>
        <v>1</v>
      </c>
      <c r="D252">
        <f>IFERROR(__xludf.DUMMYFUNCTION("""COMPUTED_VALUE"""),4.0)</f>
        <v>4</v>
      </c>
      <c r="O252" s="8">
        <f>IFERROR(__xludf.DUMMYFUNCTION("""COMPUTED_VALUE"""),42561.0)</f>
        <v>42561</v>
      </c>
      <c r="P252">
        <f t="shared" ref="P252:R252" si="506">B252+P253</f>
        <v>43</v>
      </c>
      <c r="Q252">
        <f t="shared" si="506"/>
        <v>36</v>
      </c>
      <c r="R252">
        <f t="shared" si="506"/>
        <v>47</v>
      </c>
      <c r="S252">
        <f t="shared" si="265"/>
        <v>-7</v>
      </c>
      <c r="U252" s="8">
        <f>IFERROR(__xludf.DUMMYFUNCTION("""COMPUTED_VALUE"""),42561.0)</f>
        <v>42561</v>
      </c>
      <c r="V252">
        <f t="shared" si="9"/>
        <v>-7</v>
      </c>
      <c r="W252">
        <f t="shared" si="10"/>
        <v>0</v>
      </c>
      <c r="X252">
        <f t="shared" si="11"/>
        <v>-11</v>
      </c>
      <c r="Z252" s="8">
        <f>IFERROR(__xludf.DUMMYFUNCTION("""COMPUTED_VALUE"""),42561.0)</f>
        <v>42561</v>
      </c>
      <c r="AA252">
        <f t="shared" si="12"/>
        <v>-7</v>
      </c>
      <c r="AB252">
        <f t="shared" si="13"/>
        <v>0</v>
      </c>
      <c r="AC252">
        <f t="shared" si="14"/>
        <v>-11</v>
      </c>
    </row>
    <row r="253">
      <c r="A253" s="8">
        <f>IFERROR(__xludf.DUMMYFUNCTION("""COMPUTED_VALUE"""),42560.0)</f>
        <v>42560</v>
      </c>
      <c r="B253">
        <f>IFERROR(__xludf.DUMMYFUNCTION("""COMPUTED_VALUE"""),4.0)</f>
        <v>4</v>
      </c>
      <c r="C253">
        <f>IFERROR(__xludf.DUMMYFUNCTION("""COMPUTED_VALUE"""),3.0)</f>
        <v>3</v>
      </c>
      <c r="D253">
        <f>IFERROR(__xludf.DUMMYFUNCTION("""COMPUTED_VALUE"""),1.0)</f>
        <v>1</v>
      </c>
      <c r="O253" s="8">
        <f>IFERROR(__xludf.DUMMYFUNCTION("""COMPUTED_VALUE"""),42560.0)</f>
        <v>42560</v>
      </c>
      <c r="P253">
        <f t="shared" ref="P253:R253" si="507">B253+P254</f>
        <v>40</v>
      </c>
      <c r="Q253">
        <f t="shared" si="507"/>
        <v>35</v>
      </c>
      <c r="R253">
        <f t="shared" si="507"/>
        <v>43</v>
      </c>
      <c r="S253">
        <f t="shared" si="265"/>
        <v>-5</v>
      </c>
      <c r="U253" s="8">
        <f>IFERROR(__xludf.DUMMYFUNCTION("""COMPUTED_VALUE"""),42560.0)</f>
        <v>42560</v>
      </c>
      <c r="V253">
        <f t="shared" si="9"/>
        <v>-5</v>
      </c>
      <c r="W253">
        <f t="shared" si="10"/>
        <v>0</v>
      </c>
      <c r="X253">
        <f t="shared" si="11"/>
        <v>-8</v>
      </c>
      <c r="Z253" s="8">
        <f>IFERROR(__xludf.DUMMYFUNCTION("""COMPUTED_VALUE"""),42560.0)</f>
        <v>42560</v>
      </c>
      <c r="AA253">
        <f t="shared" si="12"/>
        <v>-5</v>
      </c>
      <c r="AB253">
        <f t="shared" si="13"/>
        <v>0</v>
      </c>
      <c r="AC253">
        <f t="shared" si="14"/>
        <v>-8</v>
      </c>
    </row>
    <row r="254">
      <c r="A254" s="8">
        <f>IFERROR(__xludf.DUMMYFUNCTION("""COMPUTED_VALUE"""),42555.0)</f>
        <v>42555</v>
      </c>
      <c r="B254">
        <f>IFERROR(__xludf.DUMMYFUNCTION("""COMPUTED_VALUE"""),1.0)</f>
        <v>1</v>
      </c>
      <c r="C254">
        <f>IFERROR(__xludf.DUMMYFUNCTION("""COMPUTED_VALUE"""),3.0)</f>
        <v>3</v>
      </c>
      <c r="D254">
        <f>IFERROR(__xludf.DUMMYFUNCTION("""COMPUTED_VALUE"""),4.0)</f>
        <v>4</v>
      </c>
      <c r="O254" s="8">
        <f>IFERROR(__xludf.DUMMYFUNCTION("""COMPUTED_VALUE"""),42555.0)</f>
        <v>42555</v>
      </c>
      <c r="P254">
        <f t="shared" ref="P254:R254" si="508">B254+P255</f>
        <v>36</v>
      </c>
      <c r="Q254">
        <f t="shared" si="508"/>
        <v>32</v>
      </c>
      <c r="R254">
        <f t="shared" si="508"/>
        <v>42</v>
      </c>
      <c r="S254">
        <f t="shared" si="265"/>
        <v>-4</v>
      </c>
      <c r="U254" s="8">
        <f>IFERROR(__xludf.DUMMYFUNCTION("""COMPUTED_VALUE"""),42555.0)</f>
        <v>42555</v>
      </c>
      <c r="V254">
        <f t="shared" si="9"/>
        <v>-4</v>
      </c>
      <c r="W254">
        <f t="shared" si="10"/>
        <v>0</v>
      </c>
      <c r="X254">
        <f t="shared" si="11"/>
        <v>-10</v>
      </c>
      <c r="Z254" s="8">
        <f>IFERROR(__xludf.DUMMYFUNCTION("""COMPUTED_VALUE"""),42555.0)</f>
        <v>42555</v>
      </c>
      <c r="AA254">
        <f t="shared" si="12"/>
        <v>-4</v>
      </c>
      <c r="AB254">
        <f t="shared" si="13"/>
        <v>0</v>
      </c>
      <c r="AC254">
        <f t="shared" si="14"/>
        <v>-10</v>
      </c>
    </row>
    <row r="255">
      <c r="A255" s="8">
        <f>IFERROR(__xludf.DUMMYFUNCTION("""COMPUTED_VALUE"""),42554.0)</f>
        <v>42554</v>
      </c>
      <c r="B255">
        <f>IFERROR(__xludf.DUMMYFUNCTION("""COMPUTED_VALUE"""),3.0)</f>
        <v>3</v>
      </c>
      <c r="C255">
        <f>IFERROR(__xludf.DUMMYFUNCTION("""COMPUTED_VALUE"""),2.0)</f>
        <v>2</v>
      </c>
      <c r="D255">
        <f>IFERROR(__xludf.DUMMYFUNCTION("""COMPUTED_VALUE"""),1.0)</f>
        <v>1</v>
      </c>
      <c r="O255" s="8">
        <f>IFERROR(__xludf.DUMMYFUNCTION("""COMPUTED_VALUE"""),42554.0)</f>
        <v>42554</v>
      </c>
      <c r="P255">
        <f t="shared" ref="P255:R255" si="509">B255+P256</f>
        <v>35</v>
      </c>
      <c r="Q255">
        <f t="shared" si="509"/>
        <v>29</v>
      </c>
      <c r="R255">
        <f t="shared" si="509"/>
        <v>38</v>
      </c>
      <c r="S255">
        <f t="shared" si="265"/>
        <v>-6</v>
      </c>
      <c r="U255" s="8">
        <f>IFERROR(__xludf.DUMMYFUNCTION("""COMPUTED_VALUE"""),42554.0)</f>
        <v>42554</v>
      </c>
      <c r="V255">
        <f t="shared" si="9"/>
        <v>-6</v>
      </c>
      <c r="W255">
        <f t="shared" si="10"/>
        <v>0</v>
      </c>
      <c r="X255">
        <f t="shared" si="11"/>
        <v>-9</v>
      </c>
      <c r="Z255" s="8">
        <f>IFERROR(__xludf.DUMMYFUNCTION("""COMPUTED_VALUE"""),42554.0)</f>
        <v>42554</v>
      </c>
      <c r="AA255">
        <f t="shared" si="12"/>
        <v>-6</v>
      </c>
      <c r="AB255">
        <f t="shared" si="13"/>
        <v>0</v>
      </c>
      <c r="AC255">
        <f t="shared" si="14"/>
        <v>-9</v>
      </c>
    </row>
    <row r="256">
      <c r="A256" s="8">
        <f>IFERROR(__xludf.DUMMYFUNCTION("""COMPUTED_VALUE"""),42547.0)</f>
        <v>42547</v>
      </c>
      <c r="B256">
        <f>IFERROR(__xludf.DUMMYFUNCTION("""COMPUTED_VALUE"""),1.0)</f>
        <v>1</v>
      </c>
      <c r="C256">
        <f>IFERROR(__xludf.DUMMYFUNCTION("""COMPUTED_VALUE"""),2.0)</f>
        <v>2</v>
      </c>
      <c r="D256">
        <f>IFERROR(__xludf.DUMMYFUNCTION("""COMPUTED_VALUE"""),4.0)</f>
        <v>4</v>
      </c>
      <c r="O256" s="8">
        <f>IFERROR(__xludf.DUMMYFUNCTION("""COMPUTED_VALUE"""),42547.0)</f>
        <v>42547</v>
      </c>
      <c r="P256">
        <f t="shared" ref="P256:R256" si="510">B256+P257</f>
        <v>32</v>
      </c>
      <c r="Q256">
        <f t="shared" si="510"/>
        <v>27</v>
      </c>
      <c r="R256">
        <f t="shared" si="510"/>
        <v>37</v>
      </c>
      <c r="S256">
        <f t="shared" si="265"/>
        <v>-5</v>
      </c>
      <c r="U256" s="8">
        <f>IFERROR(__xludf.DUMMYFUNCTION("""COMPUTED_VALUE"""),42547.0)</f>
        <v>42547</v>
      </c>
      <c r="V256">
        <f t="shared" si="9"/>
        <v>-5</v>
      </c>
      <c r="W256">
        <f t="shared" si="10"/>
        <v>0</v>
      </c>
      <c r="X256">
        <f t="shared" si="11"/>
        <v>-10</v>
      </c>
      <c r="Z256" s="8">
        <f>IFERROR(__xludf.DUMMYFUNCTION("""COMPUTED_VALUE"""),42547.0)</f>
        <v>42547</v>
      </c>
      <c r="AA256">
        <f t="shared" si="12"/>
        <v>-5</v>
      </c>
      <c r="AB256">
        <f t="shared" si="13"/>
        <v>0</v>
      </c>
      <c r="AC256">
        <f t="shared" si="14"/>
        <v>-10</v>
      </c>
    </row>
    <row r="257">
      <c r="A257" s="8">
        <f>IFERROR(__xludf.DUMMYFUNCTION("""COMPUTED_VALUE"""),42535.0)</f>
        <v>42535</v>
      </c>
      <c r="B257">
        <f>IFERROR(__xludf.DUMMYFUNCTION("""COMPUTED_VALUE"""),4.0)</f>
        <v>4</v>
      </c>
      <c r="C257">
        <f>IFERROR(__xludf.DUMMYFUNCTION("""COMPUTED_VALUE"""),3.0)</f>
        <v>3</v>
      </c>
      <c r="D257">
        <f>IFERROR(__xludf.DUMMYFUNCTION("""COMPUTED_VALUE"""),2.0)</f>
        <v>2</v>
      </c>
      <c r="O257" s="8">
        <f>IFERROR(__xludf.DUMMYFUNCTION("""COMPUTED_VALUE"""),42535.0)</f>
        <v>42535</v>
      </c>
      <c r="P257">
        <f t="shared" ref="P257:R257" si="511">B257+P258</f>
        <v>31</v>
      </c>
      <c r="Q257">
        <f t="shared" si="511"/>
        <v>25</v>
      </c>
      <c r="R257">
        <f t="shared" si="511"/>
        <v>33</v>
      </c>
      <c r="S257">
        <f t="shared" si="265"/>
        <v>-6</v>
      </c>
      <c r="U257" s="8">
        <f>IFERROR(__xludf.DUMMYFUNCTION("""COMPUTED_VALUE"""),42535.0)</f>
        <v>42535</v>
      </c>
      <c r="V257">
        <f t="shared" si="9"/>
        <v>-6</v>
      </c>
      <c r="W257">
        <f t="shared" si="10"/>
        <v>0</v>
      </c>
      <c r="X257">
        <f t="shared" si="11"/>
        <v>-8</v>
      </c>
      <c r="Z257" s="8">
        <f>IFERROR(__xludf.DUMMYFUNCTION("""COMPUTED_VALUE"""),42535.0)</f>
        <v>42535</v>
      </c>
      <c r="AA257">
        <f t="shared" si="12"/>
        <v>-6</v>
      </c>
      <c r="AB257">
        <f t="shared" si="13"/>
        <v>0</v>
      </c>
      <c r="AC257">
        <f t="shared" si="14"/>
        <v>-8</v>
      </c>
    </row>
    <row r="258">
      <c r="A258" s="8">
        <f>IFERROR(__xludf.DUMMYFUNCTION("""COMPUTED_VALUE"""),42533.0)</f>
        <v>42533</v>
      </c>
      <c r="B258">
        <f>IFERROR(__xludf.DUMMYFUNCTION("""COMPUTED_VALUE"""),3.0)</f>
        <v>3</v>
      </c>
      <c r="C258">
        <f>IFERROR(__xludf.DUMMYFUNCTION("""COMPUTED_VALUE"""),1.0)</f>
        <v>1</v>
      </c>
      <c r="D258">
        <f>IFERROR(__xludf.DUMMYFUNCTION("""COMPUTED_VALUE"""),2.0)</f>
        <v>2</v>
      </c>
      <c r="O258" s="8">
        <f>IFERROR(__xludf.DUMMYFUNCTION("""COMPUTED_VALUE"""),42533.0)</f>
        <v>42533</v>
      </c>
      <c r="P258">
        <f t="shared" ref="P258:R258" si="512">B258+P259</f>
        <v>27</v>
      </c>
      <c r="Q258">
        <f t="shared" si="512"/>
        <v>22</v>
      </c>
      <c r="R258">
        <f t="shared" si="512"/>
        <v>31</v>
      </c>
      <c r="S258">
        <f t="shared" si="265"/>
        <v>-5</v>
      </c>
      <c r="U258" s="8">
        <f>IFERROR(__xludf.DUMMYFUNCTION("""COMPUTED_VALUE"""),42533.0)</f>
        <v>42533</v>
      </c>
      <c r="V258">
        <f t="shared" si="9"/>
        <v>-5</v>
      </c>
      <c r="W258">
        <f t="shared" si="10"/>
        <v>0</v>
      </c>
      <c r="X258">
        <f t="shared" si="11"/>
        <v>-9</v>
      </c>
      <c r="Z258" s="8">
        <f>IFERROR(__xludf.DUMMYFUNCTION("""COMPUTED_VALUE"""),42533.0)</f>
        <v>42533</v>
      </c>
      <c r="AA258">
        <f t="shared" si="12"/>
        <v>-5</v>
      </c>
      <c r="AB258">
        <f t="shared" si="13"/>
        <v>0</v>
      </c>
      <c r="AC258">
        <f t="shared" si="14"/>
        <v>-9</v>
      </c>
    </row>
    <row r="259">
      <c r="A259" s="8">
        <f>IFERROR(__xludf.DUMMYFUNCTION("""COMPUTED_VALUE"""),42532.0)</f>
        <v>42532</v>
      </c>
      <c r="B259">
        <f>IFERROR(__xludf.DUMMYFUNCTION("""COMPUTED_VALUE"""),2.0)</f>
        <v>2</v>
      </c>
      <c r="C259">
        <f>IFERROR(__xludf.DUMMYFUNCTION("""COMPUTED_VALUE"""),1.0)</f>
        <v>1</v>
      </c>
      <c r="D259">
        <f>IFERROR(__xludf.DUMMYFUNCTION("""COMPUTED_VALUE"""),4.0)</f>
        <v>4</v>
      </c>
      <c r="O259" s="8">
        <f>IFERROR(__xludf.DUMMYFUNCTION("""COMPUTED_VALUE"""),42532.0)</f>
        <v>42532</v>
      </c>
      <c r="P259">
        <f t="shared" ref="P259:R259" si="513">B259+P260</f>
        <v>24</v>
      </c>
      <c r="Q259">
        <f t="shared" si="513"/>
        <v>21</v>
      </c>
      <c r="R259">
        <f t="shared" si="513"/>
        <v>29</v>
      </c>
      <c r="S259">
        <f t="shared" si="265"/>
        <v>-3</v>
      </c>
      <c r="U259" s="8">
        <f>IFERROR(__xludf.DUMMYFUNCTION("""COMPUTED_VALUE"""),42532.0)</f>
        <v>42532</v>
      </c>
      <c r="V259">
        <f t="shared" si="9"/>
        <v>-3</v>
      </c>
      <c r="W259">
        <f t="shared" si="10"/>
        <v>0</v>
      </c>
      <c r="X259">
        <f t="shared" si="11"/>
        <v>-8</v>
      </c>
      <c r="Z259" s="8">
        <f>IFERROR(__xludf.DUMMYFUNCTION("""COMPUTED_VALUE"""),42532.0)</f>
        <v>42532</v>
      </c>
      <c r="AA259">
        <f t="shared" si="12"/>
        <v>-3</v>
      </c>
      <c r="AB259">
        <f t="shared" si="13"/>
        <v>0</v>
      </c>
      <c r="AC259">
        <f t="shared" si="14"/>
        <v>-8</v>
      </c>
    </row>
    <row r="260">
      <c r="A260" s="8">
        <f>IFERROR(__xludf.DUMMYFUNCTION("""COMPUTED_VALUE"""),42532.0)</f>
        <v>42532</v>
      </c>
      <c r="B260">
        <f>IFERROR(__xludf.DUMMYFUNCTION("""COMPUTED_VALUE"""),3.0)</f>
        <v>3</v>
      </c>
      <c r="C260">
        <f>IFERROR(__xludf.DUMMYFUNCTION("""COMPUTED_VALUE"""),2.0)</f>
        <v>2</v>
      </c>
      <c r="D260">
        <f>IFERROR(__xludf.DUMMYFUNCTION("""COMPUTED_VALUE"""),1.0)</f>
        <v>1</v>
      </c>
      <c r="O260" s="8">
        <f>IFERROR(__xludf.DUMMYFUNCTION("""COMPUTED_VALUE"""),42532.0)</f>
        <v>42532</v>
      </c>
      <c r="P260">
        <f t="shared" ref="P260:R260" si="514">B260+P261</f>
        <v>22</v>
      </c>
      <c r="Q260">
        <f t="shared" si="514"/>
        <v>20</v>
      </c>
      <c r="R260">
        <f t="shared" si="514"/>
        <v>25</v>
      </c>
      <c r="S260">
        <f t="shared" si="265"/>
        <v>-2</v>
      </c>
      <c r="U260" s="8">
        <f>IFERROR(__xludf.DUMMYFUNCTION("""COMPUTED_VALUE"""),42532.0)</f>
        <v>42532</v>
      </c>
      <c r="V260">
        <f t="shared" si="9"/>
        <v>-2</v>
      </c>
      <c r="W260">
        <f t="shared" si="10"/>
        <v>0</v>
      </c>
      <c r="X260">
        <f t="shared" si="11"/>
        <v>-5</v>
      </c>
      <c r="Z260" s="8">
        <f>IFERROR(__xludf.DUMMYFUNCTION("""COMPUTED_VALUE"""),42532.0)</f>
        <v>42532</v>
      </c>
      <c r="AA260">
        <f t="shared" si="12"/>
        <v>-2</v>
      </c>
      <c r="AB260">
        <f t="shared" si="13"/>
        <v>0</v>
      </c>
      <c r="AC260">
        <f t="shared" si="14"/>
        <v>-5</v>
      </c>
    </row>
    <row r="261">
      <c r="A261" s="8"/>
      <c r="B261">
        <f>IFERROR(__xludf.DUMMYFUNCTION("""COMPUTED_VALUE"""),3.0)</f>
        <v>3</v>
      </c>
      <c r="C261">
        <f>IFERROR(__xludf.DUMMYFUNCTION("""COMPUTED_VALUE"""),4.0)</f>
        <v>4</v>
      </c>
      <c r="D261">
        <f>IFERROR(__xludf.DUMMYFUNCTION("""COMPUTED_VALUE"""),1.0)</f>
        <v>1</v>
      </c>
      <c r="O261" s="8"/>
      <c r="P261">
        <f t="shared" ref="P261:R261" si="515">B261+P262</f>
        <v>19</v>
      </c>
      <c r="Q261">
        <f t="shared" si="515"/>
        <v>18</v>
      </c>
      <c r="R261">
        <f t="shared" si="515"/>
        <v>24</v>
      </c>
      <c r="S261">
        <f t="shared" si="265"/>
        <v>-1</v>
      </c>
      <c r="U261" s="8"/>
      <c r="V261">
        <f t="shared" si="9"/>
        <v>-1</v>
      </c>
      <c r="W261">
        <f t="shared" si="10"/>
        <v>0</v>
      </c>
      <c r="X261">
        <f t="shared" si="11"/>
        <v>-6</v>
      </c>
      <c r="Z261" s="8"/>
      <c r="AA261">
        <f t="shared" si="12"/>
        <v>-1</v>
      </c>
      <c r="AB261">
        <f t="shared" si="13"/>
        <v>0</v>
      </c>
      <c r="AC261">
        <f t="shared" si="14"/>
        <v>-6</v>
      </c>
    </row>
    <row r="262">
      <c r="A262" s="8"/>
      <c r="B262">
        <f>IFERROR(__xludf.DUMMYFUNCTION("""COMPUTED_VALUE"""),3.0)</f>
        <v>3</v>
      </c>
      <c r="C262">
        <f>IFERROR(__xludf.DUMMYFUNCTION("""COMPUTED_VALUE"""),1.0)</f>
        <v>1</v>
      </c>
      <c r="D262">
        <f>IFERROR(__xludf.DUMMYFUNCTION("""COMPUTED_VALUE"""),4.0)</f>
        <v>4</v>
      </c>
      <c r="O262" s="8"/>
      <c r="P262">
        <f t="shared" ref="P262:R262" si="516">B262+P263</f>
        <v>16</v>
      </c>
      <c r="Q262">
        <f t="shared" si="516"/>
        <v>14</v>
      </c>
      <c r="R262">
        <f t="shared" si="516"/>
        <v>23</v>
      </c>
      <c r="S262">
        <f t="shared" si="265"/>
        <v>-2</v>
      </c>
      <c r="U262" s="8"/>
      <c r="V262">
        <f t="shared" si="9"/>
        <v>-2</v>
      </c>
      <c r="W262">
        <f t="shared" si="10"/>
        <v>0</v>
      </c>
      <c r="X262">
        <f t="shared" si="11"/>
        <v>-9</v>
      </c>
      <c r="Z262" s="8"/>
      <c r="AA262">
        <f t="shared" si="12"/>
        <v>-2</v>
      </c>
      <c r="AB262">
        <f t="shared" si="13"/>
        <v>0</v>
      </c>
      <c r="AC262">
        <f t="shared" si="14"/>
        <v>-9</v>
      </c>
    </row>
    <row r="263">
      <c r="A263" s="8"/>
      <c r="B263">
        <f>IFERROR(__xludf.DUMMYFUNCTION("""COMPUTED_VALUE"""),3.0)</f>
        <v>3</v>
      </c>
      <c r="C263">
        <f>IFERROR(__xludf.DUMMYFUNCTION("""COMPUTED_VALUE"""),2.0)</f>
        <v>2</v>
      </c>
      <c r="D263">
        <f>IFERROR(__xludf.DUMMYFUNCTION("""COMPUTED_VALUE"""),1.0)</f>
        <v>1</v>
      </c>
      <c r="O263" s="8"/>
      <c r="P263">
        <f t="shared" ref="P263:R263" si="517">B263+P264</f>
        <v>13</v>
      </c>
      <c r="Q263">
        <f t="shared" si="517"/>
        <v>13</v>
      </c>
      <c r="R263">
        <f t="shared" si="517"/>
        <v>19</v>
      </c>
      <c r="S263">
        <f t="shared" si="265"/>
        <v>-6</v>
      </c>
      <c r="U263" s="8"/>
      <c r="V263">
        <f t="shared" si="9"/>
        <v>0</v>
      </c>
      <c r="W263">
        <f t="shared" si="10"/>
        <v>0</v>
      </c>
      <c r="X263">
        <f t="shared" si="11"/>
        <v>-6</v>
      </c>
      <c r="Z263" s="8"/>
      <c r="AA263">
        <f t="shared" si="12"/>
        <v>0</v>
      </c>
      <c r="AB263">
        <f t="shared" si="13"/>
        <v>0</v>
      </c>
      <c r="AC263">
        <f t="shared" si="14"/>
        <v>-6</v>
      </c>
    </row>
    <row r="264">
      <c r="A264" s="8"/>
      <c r="B264">
        <f>IFERROR(__xludf.DUMMYFUNCTION("""COMPUTED_VALUE"""),1.0)</f>
        <v>1</v>
      </c>
      <c r="C264">
        <f>IFERROR(__xludf.DUMMYFUNCTION("""COMPUTED_VALUE"""),2.0)</f>
        <v>2</v>
      </c>
      <c r="D264">
        <f>IFERROR(__xludf.DUMMYFUNCTION("""COMPUTED_VALUE"""),3.0)</f>
        <v>3</v>
      </c>
      <c r="O264" s="8"/>
      <c r="P264">
        <f t="shared" ref="P264:R264" si="518">B264+P265</f>
        <v>10</v>
      </c>
      <c r="Q264">
        <f t="shared" si="518"/>
        <v>11</v>
      </c>
      <c r="R264">
        <f t="shared" si="518"/>
        <v>18</v>
      </c>
      <c r="S264">
        <f t="shared" si="265"/>
        <v>-1</v>
      </c>
      <c r="U264" s="8"/>
      <c r="V264">
        <f t="shared" si="9"/>
        <v>1</v>
      </c>
      <c r="W264">
        <f t="shared" si="10"/>
        <v>0</v>
      </c>
      <c r="X264">
        <f t="shared" si="11"/>
        <v>-7</v>
      </c>
      <c r="Z264" s="8"/>
      <c r="AA264">
        <f t="shared" si="12"/>
        <v>0</v>
      </c>
      <c r="AB264">
        <f t="shared" si="13"/>
        <v>-1</v>
      </c>
      <c r="AC264">
        <f t="shared" si="14"/>
        <v>-8</v>
      </c>
    </row>
    <row r="265">
      <c r="A265" s="8"/>
      <c r="B265">
        <f>IFERROR(__xludf.DUMMYFUNCTION("""COMPUTED_VALUE"""),1.0)</f>
        <v>1</v>
      </c>
      <c r="C265">
        <f>IFERROR(__xludf.DUMMYFUNCTION("""COMPUTED_VALUE"""),2.0)</f>
        <v>2</v>
      </c>
      <c r="D265">
        <f>IFERROR(__xludf.DUMMYFUNCTION("""COMPUTED_VALUE"""),4.0)</f>
        <v>4</v>
      </c>
      <c r="O265" s="8"/>
      <c r="P265">
        <f t="shared" ref="P265:R265" si="519">B265+P266</f>
        <v>9</v>
      </c>
      <c r="Q265">
        <f t="shared" si="519"/>
        <v>9</v>
      </c>
      <c r="R265">
        <f t="shared" si="519"/>
        <v>15</v>
      </c>
      <c r="S265">
        <f t="shared" si="265"/>
        <v>-6</v>
      </c>
      <c r="U265" s="8"/>
      <c r="V265">
        <f t="shared" si="9"/>
        <v>0</v>
      </c>
      <c r="W265">
        <f t="shared" si="10"/>
        <v>0</v>
      </c>
      <c r="X265">
        <f t="shared" si="11"/>
        <v>-6</v>
      </c>
      <c r="Z265" s="8"/>
      <c r="AA265">
        <f t="shared" si="12"/>
        <v>0</v>
      </c>
      <c r="AB265">
        <f t="shared" si="13"/>
        <v>0</v>
      </c>
      <c r="AC265">
        <f t="shared" si="14"/>
        <v>-6</v>
      </c>
    </row>
    <row r="266">
      <c r="A266" s="8"/>
      <c r="B266">
        <f>IFERROR(__xludf.DUMMYFUNCTION("""COMPUTED_VALUE"""),3.0)</f>
        <v>3</v>
      </c>
      <c r="C266">
        <f>IFERROR(__xludf.DUMMYFUNCTION("""COMPUTED_VALUE"""),1.0)</f>
        <v>1</v>
      </c>
      <c r="D266">
        <f>IFERROR(__xludf.DUMMYFUNCTION("""COMPUTED_VALUE"""),2.0)</f>
        <v>2</v>
      </c>
      <c r="O266" s="8"/>
      <c r="P266">
        <f t="shared" ref="P266:R266" si="520">B266+P267</f>
        <v>8</v>
      </c>
      <c r="Q266">
        <f t="shared" si="520"/>
        <v>7</v>
      </c>
      <c r="R266">
        <f t="shared" si="520"/>
        <v>11</v>
      </c>
      <c r="S266">
        <f t="shared" si="265"/>
        <v>-1</v>
      </c>
      <c r="U266" s="8"/>
      <c r="V266">
        <f t="shared" si="9"/>
        <v>-1</v>
      </c>
      <c r="W266">
        <f t="shared" si="10"/>
        <v>0</v>
      </c>
      <c r="X266">
        <f t="shared" si="11"/>
        <v>-4</v>
      </c>
      <c r="Z266" s="8"/>
      <c r="AA266">
        <f t="shared" si="12"/>
        <v>-1</v>
      </c>
      <c r="AB266">
        <f t="shared" si="13"/>
        <v>0</v>
      </c>
      <c r="AC266">
        <f t="shared" si="14"/>
        <v>-4</v>
      </c>
    </row>
    <row r="267">
      <c r="A267" s="8"/>
      <c r="B267">
        <f>IFERROR(__xludf.DUMMYFUNCTION("""COMPUTED_VALUE"""),3.0)</f>
        <v>3</v>
      </c>
      <c r="C267">
        <f>IFERROR(__xludf.DUMMYFUNCTION("""COMPUTED_VALUE"""),1.0)</f>
        <v>1</v>
      </c>
      <c r="D267">
        <f>IFERROR(__xludf.DUMMYFUNCTION("""COMPUTED_VALUE"""),2.0)</f>
        <v>2</v>
      </c>
      <c r="O267" s="8"/>
      <c r="P267">
        <f t="shared" ref="P267:R267" si="521">B267+P268</f>
        <v>5</v>
      </c>
      <c r="Q267">
        <f t="shared" si="521"/>
        <v>6</v>
      </c>
      <c r="R267">
        <f t="shared" si="521"/>
        <v>9</v>
      </c>
      <c r="S267">
        <f t="shared" si="265"/>
        <v>-1</v>
      </c>
      <c r="U267" s="8"/>
      <c r="V267">
        <f t="shared" si="9"/>
        <v>1</v>
      </c>
      <c r="W267">
        <f t="shared" si="10"/>
        <v>0</v>
      </c>
      <c r="X267">
        <f t="shared" si="11"/>
        <v>-3</v>
      </c>
      <c r="Z267" s="8"/>
      <c r="AA267">
        <f t="shared" si="12"/>
        <v>0</v>
      </c>
      <c r="AB267">
        <f t="shared" si="13"/>
        <v>-1</v>
      </c>
      <c r="AC267">
        <f t="shared" si="14"/>
        <v>-4</v>
      </c>
    </row>
    <row r="268">
      <c r="A268" s="8"/>
      <c r="B268">
        <f>IFERROR(__xludf.DUMMYFUNCTION("""COMPUTED_VALUE"""),1.0)</f>
        <v>1</v>
      </c>
      <c r="C268">
        <f>IFERROR(__xludf.DUMMYFUNCTION("""COMPUTED_VALUE"""),3.0)</f>
        <v>3</v>
      </c>
      <c r="D268">
        <f>IFERROR(__xludf.DUMMYFUNCTION("""COMPUTED_VALUE"""),4.0)</f>
        <v>4</v>
      </c>
      <c r="O268" s="8"/>
      <c r="P268">
        <f t="shared" ref="P268:R268" si="522">B268+P269</f>
        <v>2</v>
      </c>
      <c r="Q268">
        <f t="shared" si="522"/>
        <v>5</v>
      </c>
      <c r="R268">
        <f t="shared" si="522"/>
        <v>7</v>
      </c>
      <c r="S268">
        <f t="shared" si="265"/>
        <v>-3</v>
      </c>
      <c r="U268" s="8"/>
      <c r="V268">
        <f t="shared" si="9"/>
        <v>3</v>
      </c>
      <c r="W268">
        <f t="shared" si="10"/>
        <v>0</v>
      </c>
      <c r="X268">
        <f t="shared" si="11"/>
        <v>-2</v>
      </c>
      <c r="Z268" s="8"/>
      <c r="AA268">
        <f t="shared" si="12"/>
        <v>0</v>
      </c>
      <c r="AB268">
        <f t="shared" si="13"/>
        <v>-3</v>
      </c>
      <c r="AC268">
        <f t="shared" si="14"/>
        <v>-5</v>
      </c>
    </row>
    <row r="269">
      <c r="A269" s="8"/>
      <c r="B269">
        <f>IFERROR(__xludf.DUMMYFUNCTION("""COMPUTED_VALUE"""),1.0)</f>
        <v>1</v>
      </c>
      <c r="C269">
        <f>IFERROR(__xludf.DUMMYFUNCTION("""COMPUTED_VALUE"""),2.0)</f>
        <v>2</v>
      </c>
      <c r="D269">
        <f>IFERROR(__xludf.DUMMYFUNCTION("""COMPUTED_VALUE"""),3.0)</f>
        <v>3</v>
      </c>
      <c r="O269" s="8"/>
      <c r="P269">
        <f t="shared" ref="P269:R269" si="523">B269+P270</f>
        <v>1</v>
      </c>
      <c r="Q269">
        <f t="shared" si="523"/>
        <v>2</v>
      </c>
      <c r="R269">
        <f t="shared" si="523"/>
        <v>3</v>
      </c>
      <c r="S269">
        <f t="shared" si="265"/>
        <v>-1</v>
      </c>
      <c r="U269" s="8"/>
      <c r="V269">
        <f t="shared" si="9"/>
        <v>1</v>
      </c>
      <c r="W269">
        <f t="shared" si="10"/>
        <v>0</v>
      </c>
      <c r="X269">
        <f t="shared" si="11"/>
        <v>-1</v>
      </c>
      <c r="Z269" s="8"/>
      <c r="AA269">
        <f t="shared" si="12"/>
        <v>0</v>
      </c>
      <c r="AB269">
        <f t="shared" si="13"/>
        <v>-1</v>
      </c>
      <c r="AC269">
        <f t="shared" si="14"/>
        <v>-2</v>
      </c>
    </row>
    <row r="270">
      <c r="O270" s="8"/>
      <c r="P270">
        <f t="shared" ref="P270:R270" si="524">B270+P271</f>
        <v>0</v>
      </c>
      <c r="Q270">
        <f t="shared" si="524"/>
        <v>0</v>
      </c>
      <c r="R270">
        <f t="shared" si="524"/>
        <v>0</v>
      </c>
      <c r="S270">
        <f t="shared" si="265"/>
        <v>0</v>
      </c>
      <c r="U270" s="8"/>
      <c r="V270">
        <f t="shared" si="9"/>
        <v>0</v>
      </c>
      <c r="W270">
        <f t="shared" si="10"/>
        <v>0</v>
      </c>
      <c r="X270">
        <f t="shared" si="11"/>
        <v>0</v>
      </c>
      <c r="Z270" s="8"/>
      <c r="AA270">
        <f t="shared" si="12"/>
        <v>0</v>
      </c>
      <c r="AB270">
        <f t="shared" si="13"/>
        <v>0</v>
      </c>
      <c r="AC270">
        <f t="shared" si="14"/>
        <v>0</v>
      </c>
    </row>
    <row r="271">
      <c r="O271" s="8"/>
      <c r="P271">
        <f t="shared" ref="P271:R271" si="525">B271+P272</f>
        <v>0</v>
      </c>
      <c r="Q271">
        <f t="shared" si="525"/>
        <v>0</v>
      </c>
      <c r="R271">
        <f t="shared" si="525"/>
        <v>0</v>
      </c>
      <c r="S271">
        <f t="shared" si="265"/>
        <v>0</v>
      </c>
      <c r="U271" s="8"/>
      <c r="V271">
        <f t="shared" si="9"/>
        <v>0</v>
      </c>
      <c r="W271">
        <f t="shared" si="10"/>
        <v>0</v>
      </c>
      <c r="X271">
        <f t="shared" si="11"/>
        <v>0</v>
      </c>
      <c r="Z271" s="8"/>
      <c r="AA271">
        <f t="shared" si="12"/>
        <v>0</v>
      </c>
      <c r="AB271">
        <f t="shared" si="13"/>
        <v>0</v>
      </c>
      <c r="AC271">
        <f t="shared" si="14"/>
        <v>0</v>
      </c>
    </row>
    <row r="272">
      <c r="O272" s="8"/>
      <c r="P272">
        <f t="shared" ref="P272:R272" si="526">B272+P273</f>
        <v>0</v>
      </c>
      <c r="Q272">
        <f t="shared" si="526"/>
        <v>0</v>
      </c>
      <c r="R272">
        <f t="shared" si="526"/>
        <v>0</v>
      </c>
      <c r="S272">
        <f t="shared" si="265"/>
        <v>0</v>
      </c>
      <c r="U272" s="8"/>
      <c r="V272">
        <f t="shared" si="9"/>
        <v>0</v>
      </c>
      <c r="W272">
        <f t="shared" si="10"/>
        <v>0</v>
      </c>
      <c r="X272">
        <f t="shared" si="11"/>
        <v>0</v>
      </c>
      <c r="Z272" s="8"/>
      <c r="AA272">
        <f t="shared" si="12"/>
        <v>0</v>
      </c>
      <c r="AB272">
        <f t="shared" si="13"/>
        <v>0</v>
      </c>
      <c r="AC272">
        <f t="shared" si="14"/>
        <v>0</v>
      </c>
    </row>
    <row r="273">
      <c r="O273" s="8"/>
      <c r="P273">
        <f t="shared" ref="P273:R273" si="527">B273+P274</f>
        <v>0</v>
      </c>
      <c r="Q273">
        <f t="shared" si="527"/>
        <v>0</v>
      </c>
      <c r="R273">
        <f t="shared" si="527"/>
        <v>0</v>
      </c>
      <c r="S273">
        <f t="shared" si="265"/>
        <v>0</v>
      </c>
      <c r="U273" s="8"/>
      <c r="V273">
        <f t="shared" si="9"/>
        <v>0</v>
      </c>
      <c r="W273">
        <f t="shared" si="10"/>
        <v>0</v>
      </c>
      <c r="X273">
        <f t="shared" si="11"/>
        <v>0</v>
      </c>
      <c r="Z273" s="8"/>
      <c r="AA273">
        <f t="shared" si="12"/>
        <v>0</v>
      </c>
      <c r="AB273">
        <f t="shared" si="13"/>
        <v>0</v>
      </c>
      <c r="AC273">
        <f t="shared" si="14"/>
        <v>0</v>
      </c>
    </row>
    <row r="274">
      <c r="O274" s="8"/>
      <c r="P274">
        <f t="shared" ref="P274:R274" si="528">B274+P275</f>
        <v>0</v>
      </c>
      <c r="Q274">
        <f t="shared" si="528"/>
        <v>0</v>
      </c>
      <c r="R274">
        <f t="shared" si="528"/>
        <v>0</v>
      </c>
      <c r="S274">
        <f t="shared" si="265"/>
        <v>0</v>
      </c>
      <c r="U274" s="8"/>
      <c r="V274">
        <f t="shared" si="9"/>
        <v>0</v>
      </c>
      <c r="W274">
        <f t="shared" si="10"/>
        <v>0</v>
      </c>
      <c r="X274">
        <f t="shared" si="11"/>
        <v>0</v>
      </c>
      <c r="Z274" s="8"/>
      <c r="AA274">
        <f t="shared" si="12"/>
        <v>0</v>
      </c>
      <c r="AB274">
        <f t="shared" si="13"/>
        <v>0</v>
      </c>
      <c r="AC274">
        <f t="shared" si="14"/>
        <v>0</v>
      </c>
    </row>
    <row r="275">
      <c r="O275" s="8"/>
      <c r="P275">
        <f t="shared" ref="P275:R275" si="529">B275+P276</f>
        <v>0</v>
      </c>
      <c r="Q275">
        <f t="shared" si="529"/>
        <v>0</v>
      </c>
      <c r="R275">
        <f t="shared" si="529"/>
        <v>0</v>
      </c>
      <c r="S275">
        <f t="shared" si="265"/>
        <v>0</v>
      </c>
      <c r="U275" s="8"/>
      <c r="V275">
        <f t="shared" si="9"/>
        <v>0</v>
      </c>
      <c r="W275">
        <f t="shared" si="10"/>
        <v>0</v>
      </c>
      <c r="X275">
        <f t="shared" si="11"/>
        <v>0</v>
      </c>
      <c r="Z275" s="8"/>
      <c r="AA275">
        <f t="shared" si="12"/>
        <v>0</v>
      </c>
      <c r="AB275">
        <f t="shared" si="13"/>
        <v>0</v>
      </c>
      <c r="AC275">
        <f t="shared" si="14"/>
        <v>0</v>
      </c>
    </row>
    <row r="276">
      <c r="O276" s="8"/>
      <c r="P276">
        <f t="shared" ref="P276:R276" si="530">B276+P277</f>
        <v>0</v>
      </c>
      <c r="Q276">
        <f t="shared" si="530"/>
        <v>0</v>
      </c>
      <c r="R276">
        <f t="shared" si="530"/>
        <v>0</v>
      </c>
      <c r="S276">
        <f t="shared" si="265"/>
        <v>0</v>
      </c>
      <c r="U276" s="8"/>
      <c r="V276">
        <f t="shared" si="9"/>
        <v>0</v>
      </c>
      <c r="W276">
        <f t="shared" si="10"/>
        <v>0</v>
      </c>
      <c r="X276">
        <f t="shared" si="11"/>
        <v>0</v>
      </c>
      <c r="Z276" s="8"/>
      <c r="AA276">
        <f t="shared" si="12"/>
        <v>0</v>
      </c>
      <c r="AB276">
        <f t="shared" si="13"/>
        <v>0</v>
      </c>
      <c r="AC276">
        <f t="shared" si="14"/>
        <v>0</v>
      </c>
    </row>
    <row r="277">
      <c r="O277" s="8"/>
      <c r="P277">
        <f t="shared" ref="P277:R277" si="531">B277+P278</f>
        <v>0</v>
      </c>
      <c r="Q277">
        <f t="shared" si="531"/>
        <v>0</v>
      </c>
      <c r="R277">
        <f t="shared" si="531"/>
        <v>0</v>
      </c>
      <c r="S277">
        <f t="shared" si="265"/>
        <v>0</v>
      </c>
      <c r="U277" s="8"/>
      <c r="V277">
        <f t="shared" si="9"/>
        <v>0</v>
      </c>
      <c r="W277">
        <f t="shared" si="10"/>
        <v>0</v>
      </c>
      <c r="X277">
        <f t="shared" si="11"/>
        <v>0</v>
      </c>
      <c r="Z277" s="8"/>
      <c r="AA277">
        <f t="shared" si="12"/>
        <v>0</v>
      </c>
      <c r="AB277">
        <f t="shared" si="13"/>
        <v>0</v>
      </c>
      <c r="AC277">
        <f t="shared" si="14"/>
        <v>0</v>
      </c>
    </row>
    <row r="278">
      <c r="O278" s="8"/>
      <c r="P278">
        <f t="shared" ref="P278:R278" si="532">B278+P279</f>
        <v>0</v>
      </c>
      <c r="Q278">
        <f t="shared" si="532"/>
        <v>0</v>
      </c>
      <c r="R278">
        <f t="shared" si="532"/>
        <v>0</v>
      </c>
      <c r="S278">
        <f t="shared" si="265"/>
        <v>0</v>
      </c>
      <c r="U278" s="8"/>
      <c r="V278">
        <f t="shared" si="9"/>
        <v>0</v>
      </c>
      <c r="W278">
        <f t="shared" si="10"/>
        <v>0</v>
      </c>
      <c r="X278">
        <f t="shared" si="11"/>
        <v>0</v>
      </c>
      <c r="Z278" s="8"/>
      <c r="AA278">
        <f t="shared" si="12"/>
        <v>0</v>
      </c>
      <c r="AB278">
        <f t="shared" si="13"/>
        <v>0</v>
      </c>
      <c r="AC278">
        <f t="shared" si="14"/>
        <v>0</v>
      </c>
    </row>
    <row r="279">
      <c r="O279" s="8"/>
      <c r="P279">
        <f t="shared" ref="P279:R279" si="533">B279+P280</f>
        <v>0</v>
      </c>
      <c r="Q279">
        <f t="shared" si="533"/>
        <v>0</v>
      </c>
      <c r="R279">
        <f t="shared" si="533"/>
        <v>0</v>
      </c>
      <c r="S279">
        <f t="shared" si="265"/>
        <v>0</v>
      </c>
      <c r="U279" s="8"/>
      <c r="V279">
        <f t="shared" si="9"/>
        <v>0</v>
      </c>
      <c r="W279">
        <f t="shared" si="10"/>
        <v>0</v>
      </c>
      <c r="X279">
        <f t="shared" si="11"/>
        <v>0</v>
      </c>
      <c r="Z279" s="8"/>
      <c r="AA279">
        <f t="shared" si="12"/>
        <v>0</v>
      </c>
      <c r="AB279">
        <f t="shared" si="13"/>
        <v>0</v>
      </c>
      <c r="AC279">
        <f t="shared" si="14"/>
        <v>0</v>
      </c>
    </row>
    <row r="280">
      <c r="O280" s="8"/>
      <c r="P280">
        <f t="shared" ref="P280:R280" si="534">B280+P281</f>
        <v>0</v>
      </c>
      <c r="Q280">
        <f t="shared" si="534"/>
        <v>0</v>
      </c>
      <c r="R280">
        <f t="shared" si="534"/>
        <v>0</v>
      </c>
      <c r="S280">
        <f t="shared" si="265"/>
        <v>0</v>
      </c>
      <c r="U280" s="8"/>
      <c r="V280">
        <f t="shared" si="9"/>
        <v>0</v>
      </c>
      <c r="W280">
        <f t="shared" si="10"/>
        <v>0</v>
      </c>
      <c r="X280">
        <f t="shared" si="11"/>
        <v>0</v>
      </c>
      <c r="Z280" s="8"/>
      <c r="AA280">
        <f t="shared" si="12"/>
        <v>0</v>
      </c>
      <c r="AB280">
        <f t="shared" si="13"/>
        <v>0</v>
      </c>
      <c r="AC280">
        <f t="shared" si="14"/>
        <v>0</v>
      </c>
    </row>
    <row r="281">
      <c r="O281" s="8"/>
      <c r="P281">
        <f t="shared" ref="P281:R281" si="535">B281+P282</f>
        <v>0</v>
      </c>
      <c r="Q281">
        <f t="shared" si="535"/>
        <v>0</v>
      </c>
      <c r="R281">
        <f t="shared" si="535"/>
        <v>0</v>
      </c>
      <c r="S281">
        <f t="shared" si="265"/>
        <v>0</v>
      </c>
      <c r="U281" s="8"/>
      <c r="V281">
        <f t="shared" si="9"/>
        <v>0</v>
      </c>
      <c r="W281">
        <f t="shared" si="10"/>
        <v>0</v>
      </c>
      <c r="X281">
        <f t="shared" si="11"/>
        <v>0</v>
      </c>
      <c r="Z281" s="8"/>
      <c r="AA281">
        <f t="shared" si="12"/>
        <v>0</v>
      </c>
      <c r="AB281">
        <f t="shared" si="13"/>
        <v>0</v>
      </c>
      <c r="AC281">
        <f t="shared" si="14"/>
        <v>0</v>
      </c>
    </row>
    <row r="282">
      <c r="O282" s="8"/>
      <c r="P282">
        <f t="shared" ref="P282:R282" si="536">B282+P283</f>
        <v>0</v>
      </c>
      <c r="Q282">
        <f t="shared" si="536"/>
        <v>0</v>
      </c>
      <c r="R282">
        <f t="shared" si="536"/>
        <v>0</v>
      </c>
      <c r="S282">
        <f t="shared" si="265"/>
        <v>0</v>
      </c>
      <c r="U282" s="8"/>
      <c r="V282">
        <f t="shared" si="9"/>
        <v>0</v>
      </c>
      <c r="W282">
        <f t="shared" si="10"/>
        <v>0</v>
      </c>
      <c r="X282">
        <f t="shared" si="11"/>
        <v>0</v>
      </c>
      <c r="Z282" s="8"/>
      <c r="AA282">
        <f t="shared" si="12"/>
        <v>0</v>
      </c>
      <c r="AB282">
        <f t="shared" si="13"/>
        <v>0</v>
      </c>
      <c r="AC282">
        <f t="shared" si="14"/>
        <v>0</v>
      </c>
    </row>
    <row r="283">
      <c r="O283" s="8"/>
      <c r="P283">
        <f t="shared" ref="P283:R283" si="537">B283+P284</f>
        <v>0</v>
      </c>
      <c r="Q283">
        <f t="shared" si="537"/>
        <v>0</v>
      </c>
      <c r="R283">
        <f t="shared" si="537"/>
        <v>0</v>
      </c>
      <c r="S283">
        <f t="shared" si="265"/>
        <v>0</v>
      </c>
      <c r="U283" s="8"/>
      <c r="V283">
        <f t="shared" si="9"/>
        <v>0</v>
      </c>
      <c r="W283">
        <f t="shared" si="10"/>
        <v>0</v>
      </c>
      <c r="X283">
        <f t="shared" si="11"/>
        <v>0</v>
      </c>
      <c r="Z283" s="8"/>
      <c r="AA283">
        <f t="shared" si="12"/>
        <v>0</v>
      </c>
      <c r="AB283">
        <f t="shared" si="13"/>
        <v>0</v>
      </c>
      <c r="AC283">
        <f t="shared" si="14"/>
        <v>0</v>
      </c>
    </row>
    <row r="284">
      <c r="O284" s="8"/>
      <c r="P284">
        <f t="shared" ref="P284:R284" si="538">B284+P285</f>
        <v>0</v>
      </c>
      <c r="Q284">
        <f t="shared" si="538"/>
        <v>0</v>
      </c>
      <c r="R284">
        <f t="shared" si="538"/>
        <v>0</v>
      </c>
      <c r="S284">
        <f t="shared" si="265"/>
        <v>0</v>
      </c>
      <c r="U284" s="8"/>
      <c r="V284">
        <f t="shared" si="9"/>
        <v>0</v>
      </c>
      <c r="W284">
        <f t="shared" si="10"/>
        <v>0</v>
      </c>
      <c r="X284">
        <f t="shared" si="11"/>
        <v>0</v>
      </c>
      <c r="Z284" s="8"/>
      <c r="AA284">
        <f t="shared" si="12"/>
        <v>0</v>
      </c>
      <c r="AB284">
        <f t="shared" si="13"/>
        <v>0</v>
      </c>
      <c r="AC284">
        <f t="shared" si="14"/>
        <v>0</v>
      </c>
    </row>
    <row r="285">
      <c r="O285" s="8"/>
      <c r="P285">
        <f t="shared" ref="P285:R285" si="539">B285+P286</f>
        <v>0</v>
      </c>
      <c r="Q285">
        <f t="shared" si="539"/>
        <v>0</v>
      </c>
      <c r="R285">
        <f t="shared" si="539"/>
        <v>0</v>
      </c>
      <c r="S285">
        <f t="shared" si="265"/>
        <v>0</v>
      </c>
      <c r="U285" s="8"/>
      <c r="V285">
        <f t="shared" si="9"/>
        <v>0</v>
      </c>
      <c r="W285">
        <f t="shared" si="10"/>
        <v>0</v>
      </c>
      <c r="X285">
        <f t="shared" si="11"/>
        <v>0</v>
      </c>
      <c r="Z285" s="8"/>
      <c r="AA285">
        <f t="shared" si="12"/>
        <v>0</v>
      </c>
      <c r="AB285">
        <f t="shared" si="13"/>
        <v>0</v>
      </c>
      <c r="AC285">
        <f t="shared" si="14"/>
        <v>0</v>
      </c>
    </row>
    <row r="286">
      <c r="O286" s="8"/>
      <c r="P286">
        <f t="shared" ref="P286:R286" si="540">B286+P287</f>
        <v>0</v>
      </c>
      <c r="Q286">
        <f t="shared" si="540"/>
        <v>0</v>
      </c>
      <c r="R286">
        <f t="shared" si="540"/>
        <v>0</v>
      </c>
      <c r="S286">
        <f t="shared" si="265"/>
        <v>0</v>
      </c>
      <c r="U286" s="8"/>
      <c r="V286">
        <f t="shared" si="9"/>
        <v>0</v>
      </c>
      <c r="W286">
        <f t="shared" si="10"/>
        <v>0</v>
      </c>
      <c r="X286">
        <f t="shared" si="11"/>
        <v>0</v>
      </c>
      <c r="Z286" s="8"/>
      <c r="AA286">
        <f t="shared" si="12"/>
        <v>0</v>
      </c>
      <c r="AB286">
        <f t="shared" si="13"/>
        <v>0</v>
      </c>
      <c r="AC286">
        <f t="shared" si="14"/>
        <v>0</v>
      </c>
    </row>
    <row r="287">
      <c r="O287" s="8"/>
      <c r="P287">
        <f t="shared" ref="P287:R287" si="541">B287+P288</f>
        <v>0</v>
      </c>
      <c r="Q287">
        <f t="shared" si="541"/>
        <v>0</v>
      </c>
      <c r="R287">
        <f t="shared" si="541"/>
        <v>0</v>
      </c>
      <c r="S287">
        <f t="shared" si="265"/>
        <v>0</v>
      </c>
      <c r="U287" s="8"/>
      <c r="V287">
        <f t="shared" si="9"/>
        <v>0</v>
      </c>
      <c r="W287">
        <f t="shared" si="10"/>
        <v>0</v>
      </c>
      <c r="X287">
        <f t="shared" si="11"/>
        <v>0</v>
      </c>
      <c r="Z287" s="8"/>
      <c r="AA287">
        <f t="shared" si="12"/>
        <v>0</v>
      </c>
      <c r="AB287">
        <f t="shared" si="13"/>
        <v>0</v>
      </c>
      <c r="AC287">
        <f t="shared" si="14"/>
        <v>0</v>
      </c>
    </row>
    <row r="288">
      <c r="O288" s="8"/>
      <c r="P288">
        <f t="shared" ref="P288:R288" si="542">B288+P289</f>
        <v>0</v>
      </c>
      <c r="Q288">
        <f t="shared" si="542"/>
        <v>0</v>
      </c>
      <c r="R288">
        <f t="shared" si="542"/>
        <v>0</v>
      </c>
      <c r="S288">
        <f t="shared" si="265"/>
        <v>0</v>
      </c>
      <c r="U288" s="8"/>
      <c r="V288">
        <f t="shared" si="9"/>
        <v>0</v>
      </c>
      <c r="W288">
        <f t="shared" si="10"/>
        <v>0</v>
      </c>
      <c r="X288">
        <f t="shared" si="11"/>
        <v>0</v>
      </c>
      <c r="Z288" s="8"/>
      <c r="AA288">
        <f t="shared" si="12"/>
        <v>0</v>
      </c>
      <c r="AB288">
        <f t="shared" si="13"/>
        <v>0</v>
      </c>
      <c r="AC288">
        <f t="shared" si="14"/>
        <v>0</v>
      </c>
    </row>
    <row r="289">
      <c r="O289" s="8"/>
      <c r="P289">
        <f t="shared" ref="P289:R289" si="543">B289+P290</f>
        <v>0</v>
      </c>
      <c r="Q289">
        <f t="shared" si="543"/>
        <v>0</v>
      </c>
      <c r="R289">
        <f t="shared" si="543"/>
        <v>0</v>
      </c>
      <c r="S289">
        <f t="shared" si="265"/>
        <v>0</v>
      </c>
      <c r="U289" s="8"/>
      <c r="V289">
        <f t="shared" si="9"/>
        <v>0</v>
      </c>
      <c r="W289">
        <f t="shared" si="10"/>
        <v>0</v>
      </c>
      <c r="X289">
        <f t="shared" si="11"/>
        <v>0</v>
      </c>
      <c r="Z289" s="8"/>
      <c r="AA289">
        <f t="shared" si="12"/>
        <v>0</v>
      </c>
      <c r="AB289">
        <f t="shared" si="13"/>
        <v>0</v>
      </c>
      <c r="AC289">
        <f t="shared" si="14"/>
        <v>0</v>
      </c>
    </row>
    <row r="290">
      <c r="O290" s="8"/>
      <c r="P290">
        <f t="shared" ref="P290:R290" si="544">B290+P291</f>
        <v>0</v>
      </c>
      <c r="Q290">
        <f t="shared" si="544"/>
        <v>0</v>
      </c>
      <c r="R290">
        <f t="shared" si="544"/>
        <v>0</v>
      </c>
      <c r="S290">
        <f t="shared" si="265"/>
        <v>0</v>
      </c>
      <c r="U290" s="8"/>
      <c r="V290">
        <f t="shared" si="9"/>
        <v>0</v>
      </c>
      <c r="W290">
        <f t="shared" si="10"/>
        <v>0</v>
      </c>
      <c r="X290">
        <f t="shared" si="11"/>
        <v>0</v>
      </c>
      <c r="Z290" s="8"/>
      <c r="AA290">
        <f t="shared" si="12"/>
        <v>0</v>
      </c>
      <c r="AB290">
        <f t="shared" si="13"/>
        <v>0</v>
      </c>
      <c r="AC290">
        <f t="shared" si="14"/>
        <v>0</v>
      </c>
    </row>
    <row r="291">
      <c r="O291" s="8"/>
      <c r="P291">
        <f t="shared" ref="P291:R291" si="545">B291+P292</f>
        <v>0</v>
      </c>
      <c r="Q291">
        <f t="shared" si="545"/>
        <v>0</v>
      </c>
      <c r="R291">
        <f t="shared" si="545"/>
        <v>0</v>
      </c>
      <c r="S291">
        <f t="shared" si="265"/>
        <v>0</v>
      </c>
      <c r="U291" s="8"/>
      <c r="V291">
        <f t="shared" si="9"/>
        <v>0</v>
      </c>
      <c r="W291">
        <f t="shared" si="10"/>
        <v>0</v>
      </c>
      <c r="X291">
        <f t="shared" si="11"/>
        <v>0</v>
      </c>
      <c r="Z291" s="8"/>
      <c r="AA291">
        <f t="shared" si="12"/>
        <v>0</v>
      </c>
      <c r="AB291">
        <f t="shared" si="13"/>
        <v>0</v>
      </c>
      <c r="AC291">
        <f t="shared" si="14"/>
        <v>0</v>
      </c>
    </row>
    <row r="292">
      <c r="O292" s="8"/>
      <c r="P292">
        <f t="shared" ref="P292:R292" si="546">B292+P293</f>
        <v>0</v>
      </c>
      <c r="Q292">
        <f t="shared" si="546"/>
        <v>0</v>
      </c>
      <c r="R292">
        <f t="shared" si="546"/>
        <v>0</v>
      </c>
      <c r="S292">
        <f t="shared" si="265"/>
        <v>0</v>
      </c>
      <c r="U292" s="8"/>
      <c r="V292">
        <f t="shared" si="9"/>
        <v>0</v>
      </c>
      <c r="W292">
        <f t="shared" si="10"/>
        <v>0</v>
      </c>
      <c r="X292">
        <f t="shared" si="11"/>
        <v>0</v>
      </c>
      <c r="Z292" s="8"/>
      <c r="AA292">
        <f t="shared" si="12"/>
        <v>0</v>
      </c>
      <c r="AB292">
        <f t="shared" si="13"/>
        <v>0</v>
      </c>
      <c r="AC292">
        <f t="shared" si="14"/>
        <v>0</v>
      </c>
    </row>
    <row r="293">
      <c r="O293" s="8"/>
      <c r="P293">
        <f t="shared" ref="P293:R293" si="547">B293+P294</f>
        <v>0</v>
      </c>
      <c r="Q293">
        <f t="shared" si="547"/>
        <v>0</v>
      </c>
      <c r="R293">
        <f t="shared" si="547"/>
        <v>0</v>
      </c>
      <c r="S293">
        <f t="shared" si="265"/>
        <v>0</v>
      </c>
      <c r="U293" s="8"/>
      <c r="V293">
        <f t="shared" si="9"/>
        <v>0</v>
      </c>
      <c r="W293">
        <f t="shared" si="10"/>
        <v>0</v>
      </c>
      <c r="X293">
        <f t="shared" si="11"/>
        <v>0</v>
      </c>
      <c r="Z293" s="8"/>
      <c r="AA293">
        <f t="shared" si="12"/>
        <v>0</v>
      </c>
      <c r="AB293">
        <f t="shared" si="13"/>
        <v>0</v>
      </c>
      <c r="AC293">
        <f t="shared" si="14"/>
        <v>0</v>
      </c>
    </row>
    <row r="294">
      <c r="O294" s="8"/>
      <c r="P294">
        <f t="shared" ref="P294:R294" si="548">B294+P295</f>
        <v>0</v>
      </c>
      <c r="Q294">
        <f t="shared" si="548"/>
        <v>0</v>
      </c>
      <c r="R294">
        <f t="shared" si="548"/>
        <v>0</v>
      </c>
      <c r="S294">
        <f t="shared" si="265"/>
        <v>0</v>
      </c>
      <c r="U294" s="8"/>
      <c r="V294">
        <f t="shared" si="9"/>
        <v>0</v>
      </c>
      <c r="W294">
        <f t="shared" si="10"/>
        <v>0</v>
      </c>
      <c r="X294">
        <f t="shared" si="11"/>
        <v>0</v>
      </c>
      <c r="Z294" s="8"/>
      <c r="AA294">
        <f t="shared" si="12"/>
        <v>0</v>
      </c>
      <c r="AB294">
        <f t="shared" si="13"/>
        <v>0</v>
      </c>
      <c r="AC294">
        <f t="shared" si="14"/>
        <v>0</v>
      </c>
    </row>
    <row r="295">
      <c r="O295" s="8"/>
      <c r="P295">
        <f t="shared" ref="P295:R295" si="549">B295+P296</f>
        <v>0</v>
      </c>
      <c r="Q295">
        <f t="shared" si="549"/>
        <v>0</v>
      </c>
      <c r="R295">
        <f t="shared" si="549"/>
        <v>0</v>
      </c>
      <c r="S295">
        <f t="shared" si="265"/>
        <v>0</v>
      </c>
      <c r="U295" s="8"/>
      <c r="V295">
        <f t="shared" si="9"/>
        <v>0</v>
      </c>
      <c r="W295">
        <f t="shared" si="10"/>
        <v>0</v>
      </c>
      <c r="X295">
        <f t="shared" si="11"/>
        <v>0</v>
      </c>
      <c r="Z295" s="8"/>
      <c r="AA295">
        <f t="shared" si="12"/>
        <v>0</v>
      </c>
      <c r="AB295">
        <f t="shared" si="13"/>
        <v>0</v>
      </c>
      <c r="AC295">
        <f t="shared" si="14"/>
        <v>0</v>
      </c>
    </row>
    <row r="296">
      <c r="O296" s="8"/>
      <c r="P296">
        <f t="shared" ref="P296:R296" si="550">B296+P297</f>
        <v>0</v>
      </c>
      <c r="Q296">
        <f t="shared" si="550"/>
        <v>0</v>
      </c>
      <c r="R296">
        <f t="shared" si="550"/>
        <v>0</v>
      </c>
      <c r="S296">
        <f t="shared" si="265"/>
        <v>0</v>
      </c>
      <c r="U296" s="8"/>
      <c r="V296">
        <f t="shared" si="9"/>
        <v>0</v>
      </c>
      <c r="W296">
        <f t="shared" si="10"/>
        <v>0</v>
      </c>
      <c r="X296">
        <f t="shared" si="11"/>
        <v>0</v>
      </c>
      <c r="Z296" s="8"/>
      <c r="AA296">
        <f t="shared" si="12"/>
        <v>0</v>
      </c>
      <c r="AB296">
        <f t="shared" si="13"/>
        <v>0</v>
      </c>
      <c r="AC296">
        <f t="shared" si="14"/>
        <v>0</v>
      </c>
    </row>
    <row r="297">
      <c r="O297" s="8"/>
      <c r="P297">
        <f t="shared" ref="P297:R297" si="551">B297+P298</f>
        <v>0</v>
      </c>
      <c r="Q297">
        <f t="shared" si="551"/>
        <v>0</v>
      </c>
      <c r="R297">
        <f t="shared" si="551"/>
        <v>0</v>
      </c>
      <c r="S297">
        <f t="shared" si="265"/>
        <v>0</v>
      </c>
      <c r="U297" s="8"/>
      <c r="V297">
        <f t="shared" si="9"/>
        <v>0</v>
      </c>
      <c r="W297">
        <f t="shared" si="10"/>
        <v>0</v>
      </c>
      <c r="X297">
        <f t="shared" si="11"/>
        <v>0</v>
      </c>
      <c r="Z297" s="8"/>
      <c r="AA297">
        <f t="shared" si="12"/>
        <v>0</v>
      </c>
      <c r="AB297">
        <f t="shared" si="13"/>
        <v>0</v>
      </c>
      <c r="AC297">
        <f t="shared" si="14"/>
        <v>0</v>
      </c>
    </row>
    <row r="298">
      <c r="O298" s="8"/>
      <c r="P298">
        <f t="shared" ref="P298:R298" si="552">B298+P299</f>
        <v>0</v>
      </c>
      <c r="Q298">
        <f t="shared" si="552"/>
        <v>0</v>
      </c>
      <c r="R298">
        <f t="shared" si="552"/>
        <v>0</v>
      </c>
      <c r="S298">
        <f t="shared" si="265"/>
        <v>0</v>
      </c>
      <c r="U298" s="8"/>
      <c r="V298">
        <f t="shared" si="9"/>
        <v>0</v>
      </c>
      <c r="W298">
        <f t="shared" si="10"/>
        <v>0</v>
      </c>
      <c r="X298">
        <f t="shared" si="11"/>
        <v>0</v>
      </c>
      <c r="Z298" s="8"/>
      <c r="AA298">
        <f t="shared" si="12"/>
        <v>0</v>
      </c>
      <c r="AB298">
        <f t="shared" si="13"/>
        <v>0</v>
      </c>
      <c r="AC298">
        <f t="shared" si="14"/>
        <v>0</v>
      </c>
    </row>
    <row r="299">
      <c r="O299" s="8"/>
      <c r="P299">
        <f t="shared" ref="P299:R299" si="553">B299+P300</f>
        <v>0</v>
      </c>
      <c r="Q299">
        <f t="shared" si="553"/>
        <v>0</v>
      </c>
      <c r="R299">
        <f t="shared" si="553"/>
        <v>0</v>
      </c>
      <c r="S299">
        <f t="shared" si="265"/>
        <v>0</v>
      </c>
      <c r="U299" s="8"/>
      <c r="V299">
        <f t="shared" si="9"/>
        <v>0</v>
      </c>
      <c r="W299">
        <f t="shared" si="10"/>
        <v>0</v>
      </c>
      <c r="X299">
        <f t="shared" si="11"/>
        <v>0</v>
      </c>
      <c r="Z299" s="8"/>
      <c r="AA299">
        <f t="shared" si="12"/>
        <v>0</v>
      </c>
      <c r="AB299">
        <f t="shared" si="13"/>
        <v>0</v>
      </c>
      <c r="AC299">
        <f t="shared" si="14"/>
        <v>0</v>
      </c>
    </row>
    <row r="300">
      <c r="O300" s="8"/>
      <c r="P300">
        <f t="shared" ref="P300:R300" si="554">B300+P301</f>
        <v>0</v>
      </c>
      <c r="Q300">
        <f t="shared" si="554"/>
        <v>0</v>
      </c>
      <c r="R300">
        <f t="shared" si="554"/>
        <v>0</v>
      </c>
      <c r="S300">
        <f t="shared" si="265"/>
        <v>0</v>
      </c>
      <c r="U300" s="8"/>
      <c r="V300">
        <f t="shared" si="9"/>
        <v>0</v>
      </c>
      <c r="W300">
        <f t="shared" si="10"/>
        <v>0</v>
      </c>
      <c r="X300">
        <f t="shared" si="11"/>
        <v>0</v>
      </c>
      <c r="Z300" s="8"/>
      <c r="AA300">
        <f t="shared" si="12"/>
        <v>0</v>
      </c>
      <c r="AB300">
        <f t="shared" si="13"/>
        <v>0</v>
      </c>
      <c r="AC300">
        <f t="shared" si="14"/>
        <v>0</v>
      </c>
    </row>
    <row r="301">
      <c r="O301" s="8"/>
      <c r="P301">
        <f t="shared" ref="P301:R301" si="555">B301+P302</f>
        <v>0</v>
      </c>
      <c r="Q301">
        <f t="shared" si="555"/>
        <v>0</v>
      </c>
      <c r="R301">
        <f t="shared" si="555"/>
        <v>0</v>
      </c>
      <c r="S301">
        <f t="shared" si="265"/>
        <v>0</v>
      </c>
      <c r="U301" s="8"/>
      <c r="V301">
        <f t="shared" si="9"/>
        <v>0</v>
      </c>
      <c r="W301">
        <f t="shared" si="10"/>
        <v>0</v>
      </c>
      <c r="X301">
        <f t="shared" si="11"/>
        <v>0</v>
      </c>
      <c r="Z301" s="8"/>
      <c r="AA301">
        <f t="shared" si="12"/>
        <v>0</v>
      </c>
      <c r="AB301">
        <f t="shared" si="13"/>
        <v>0</v>
      </c>
      <c r="AC301">
        <f t="shared" si="14"/>
        <v>0</v>
      </c>
    </row>
    <row r="302">
      <c r="O302" s="8"/>
      <c r="P302">
        <f t="shared" ref="P302:R302" si="556">B302+P303</f>
        <v>0</v>
      </c>
      <c r="Q302">
        <f t="shared" si="556"/>
        <v>0</v>
      </c>
      <c r="R302">
        <f t="shared" si="556"/>
        <v>0</v>
      </c>
      <c r="S302">
        <f t="shared" si="265"/>
        <v>0</v>
      </c>
      <c r="U302" s="8"/>
      <c r="V302">
        <f t="shared" si="9"/>
        <v>0</v>
      </c>
      <c r="W302">
        <f t="shared" si="10"/>
        <v>0</v>
      </c>
      <c r="X302">
        <f t="shared" si="11"/>
        <v>0</v>
      </c>
      <c r="Z302" s="8"/>
      <c r="AA302">
        <f t="shared" si="12"/>
        <v>0</v>
      </c>
      <c r="AB302">
        <f t="shared" si="13"/>
        <v>0</v>
      </c>
      <c r="AC302">
        <f t="shared" si="14"/>
        <v>0</v>
      </c>
    </row>
    <row r="303">
      <c r="O303" s="8"/>
      <c r="P303">
        <f t="shared" ref="P303:R303" si="557">B303+P304</f>
        <v>0</v>
      </c>
      <c r="Q303">
        <f t="shared" si="557"/>
        <v>0</v>
      </c>
      <c r="R303">
        <f t="shared" si="557"/>
        <v>0</v>
      </c>
      <c r="S303">
        <f t="shared" si="265"/>
        <v>0</v>
      </c>
      <c r="U303" s="8"/>
      <c r="V303">
        <f t="shared" si="9"/>
        <v>0</v>
      </c>
      <c r="W303">
        <f t="shared" si="10"/>
        <v>0</v>
      </c>
      <c r="X303">
        <f t="shared" si="11"/>
        <v>0</v>
      </c>
      <c r="Z303" s="8"/>
      <c r="AA303">
        <f t="shared" si="12"/>
        <v>0</v>
      </c>
      <c r="AB303">
        <f t="shared" si="13"/>
        <v>0</v>
      </c>
      <c r="AC303">
        <f t="shared" si="14"/>
        <v>0</v>
      </c>
    </row>
    <row r="304">
      <c r="O304" s="8"/>
      <c r="P304">
        <f t="shared" ref="P304:R304" si="558">B304+P305</f>
        <v>0</v>
      </c>
      <c r="Q304">
        <f t="shared" si="558"/>
        <v>0</v>
      </c>
      <c r="R304">
        <f t="shared" si="558"/>
        <v>0</v>
      </c>
      <c r="S304">
        <f t="shared" si="265"/>
        <v>0</v>
      </c>
      <c r="U304" s="8"/>
      <c r="V304">
        <f t="shared" si="9"/>
        <v>0</v>
      </c>
      <c r="W304">
        <f t="shared" si="10"/>
        <v>0</v>
      </c>
      <c r="X304">
        <f t="shared" si="11"/>
        <v>0</v>
      </c>
      <c r="Z304" s="8"/>
      <c r="AA304">
        <f t="shared" si="12"/>
        <v>0</v>
      </c>
      <c r="AB304">
        <f t="shared" si="13"/>
        <v>0</v>
      </c>
      <c r="AC304">
        <f t="shared" si="14"/>
        <v>0</v>
      </c>
    </row>
    <row r="305">
      <c r="O305" s="8"/>
      <c r="P305">
        <f t="shared" ref="P305:R305" si="559">B305+P306</f>
        <v>0</v>
      </c>
      <c r="Q305">
        <f t="shared" si="559"/>
        <v>0</v>
      </c>
      <c r="R305">
        <f t="shared" si="559"/>
        <v>0</v>
      </c>
      <c r="S305">
        <f t="shared" si="265"/>
        <v>0</v>
      </c>
      <c r="U305" s="8"/>
      <c r="V305">
        <f t="shared" si="9"/>
        <v>0</v>
      </c>
      <c r="W305">
        <f t="shared" si="10"/>
        <v>0</v>
      </c>
      <c r="X305">
        <f t="shared" si="11"/>
        <v>0</v>
      </c>
      <c r="Z305" s="8"/>
      <c r="AA305">
        <f t="shared" si="12"/>
        <v>0</v>
      </c>
      <c r="AB305">
        <f t="shared" si="13"/>
        <v>0</v>
      </c>
      <c r="AC305">
        <f t="shared" si="14"/>
        <v>0</v>
      </c>
    </row>
    <row r="306">
      <c r="O306" s="8"/>
      <c r="P306">
        <f t="shared" ref="P306:R306" si="560">B306+P307</f>
        <v>0</v>
      </c>
      <c r="Q306">
        <f t="shared" si="560"/>
        <v>0</v>
      </c>
      <c r="R306">
        <f t="shared" si="560"/>
        <v>0</v>
      </c>
      <c r="S306">
        <f t="shared" si="265"/>
        <v>0</v>
      </c>
      <c r="U306" s="8"/>
      <c r="V306">
        <f t="shared" si="9"/>
        <v>0</v>
      </c>
      <c r="W306">
        <f t="shared" si="10"/>
        <v>0</v>
      </c>
      <c r="X306">
        <f t="shared" si="11"/>
        <v>0</v>
      </c>
      <c r="Z306" s="8"/>
      <c r="AA306">
        <f t="shared" si="12"/>
        <v>0</v>
      </c>
      <c r="AB306">
        <f t="shared" si="13"/>
        <v>0</v>
      </c>
      <c r="AC306">
        <f t="shared" si="14"/>
        <v>0</v>
      </c>
    </row>
    <row r="307">
      <c r="O307" s="8"/>
      <c r="P307">
        <f t="shared" ref="P307:R307" si="561">B307+P308</f>
        <v>0</v>
      </c>
      <c r="Q307">
        <f t="shared" si="561"/>
        <v>0</v>
      </c>
      <c r="R307">
        <f t="shared" si="561"/>
        <v>0</v>
      </c>
      <c r="S307">
        <f t="shared" si="265"/>
        <v>0</v>
      </c>
      <c r="U307" s="8"/>
      <c r="V307">
        <f t="shared" si="9"/>
        <v>0</v>
      </c>
      <c r="W307">
        <f t="shared" si="10"/>
        <v>0</v>
      </c>
      <c r="X307">
        <f t="shared" si="11"/>
        <v>0</v>
      </c>
      <c r="Z307" s="8"/>
      <c r="AA307">
        <f t="shared" si="12"/>
        <v>0</v>
      </c>
      <c r="AB307">
        <f t="shared" si="13"/>
        <v>0</v>
      </c>
      <c r="AC307">
        <f t="shared" si="14"/>
        <v>0</v>
      </c>
    </row>
    <row r="308">
      <c r="O308" s="8"/>
      <c r="P308">
        <f t="shared" ref="P308:R308" si="562">B308+P309</f>
        <v>0</v>
      </c>
      <c r="Q308">
        <f t="shared" si="562"/>
        <v>0</v>
      </c>
      <c r="R308">
        <f t="shared" si="562"/>
        <v>0</v>
      </c>
      <c r="S308">
        <f t="shared" si="265"/>
        <v>0</v>
      </c>
      <c r="U308" s="8"/>
      <c r="V308">
        <f t="shared" si="9"/>
        <v>0</v>
      </c>
      <c r="W308">
        <f t="shared" si="10"/>
        <v>0</v>
      </c>
      <c r="X308">
        <f t="shared" si="11"/>
        <v>0</v>
      </c>
      <c r="Z308" s="8"/>
      <c r="AA308">
        <f t="shared" si="12"/>
        <v>0</v>
      </c>
      <c r="AB308">
        <f t="shared" si="13"/>
        <v>0</v>
      </c>
      <c r="AC308">
        <f t="shared" si="14"/>
        <v>0</v>
      </c>
    </row>
    <row r="309">
      <c r="O309" s="8"/>
      <c r="P309">
        <f t="shared" ref="P309:R309" si="563">B309+P310</f>
        <v>0</v>
      </c>
      <c r="Q309">
        <f t="shared" si="563"/>
        <v>0</v>
      </c>
      <c r="R309">
        <f t="shared" si="563"/>
        <v>0</v>
      </c>
      <c r="S309">
        <f t="shared" si="265"/>
        <v>0</v>
      </c>
      <c r="U309" s="8"/>
      <c r="V309">
        <f t="shared" si="9"/>
        <v>0</v>
      </c>
      <c r="W309">
        <f t="shared" si="10"/>
        <v>0</v>
      </c>
      <c r="X309">
        <f t="shared" si="11"/>
        <v>0</v>
      </c>
      <c r="Z309" s="8"/>
      <c r="AA309">
        <f t="shared" si="12"/>
        <v>0</v>
      </c>
      <c r="AB309">
        <f t="shared" si="13"/>
        <v>0</v>
      </c>
      <c r="AC309">
        <f t="shared" si="14"/>
        <v>0</v>
      </c>
    </row>
    <row r="310">
      <c r="O310" s="8"/>
      <c r="P310">
        <f t="shared" ref="P310:R310" si="564">B310+P311</f>
        <v>0</v>
      </c>
      <c r="Q310">
        <f t="shared" si="564"/>
        <v>0</v>
      </c>
      <c r="R310">
        <f t="shared" si="564"/>
        <v>0</v>
      </c>
      <c r="S310">
        <f t="shared" si="265"/>
        <v>0</v>
      </c>
      <c r="U310" s="8"/>
      <c r="V310">
        <f t="shared" si="9"/>
        <v>0</v>
      </c>
      <c r="W310">
        <f t="shared" si="10"/>
        <v>0</v>
      </c>
      <c r="X310">
        <f t="shared" si="11"/>
        <v>0</v>
      </c>
      <c r="Z310" s="8"/>
      <c r="AA310">
        <f t="shared" si="12"/>
        <v>0</v>
      </c>
      <c r="AB310">
        <f t="shared" si="13"/>
        <v>0</v>
      </c>
      <c r="AC310">
        <f t="shared" si="14"/>
        <v>0</v>
      </c>
    </row>
    <row r="311">
      <c r="O311" s="8"/>
      <c r="P311">
        <f t="shared" ref="P311:R311" si="565">B311+P312</f>
        <v>0</v>
      </c>
      <c r="Q311">
        <f t="shared" si="565"/>
        <v>0</v>
      </c>
      <c r="R311">
        <f t="shared" si="565"/>
        <v>0</v>
      </c>
      <c r="S311">
        <f t="shared" si="265"/>
        <v>0</v>
      </c>
      <c r="U311" s="8"/>
      <c r="V311">
        <f t="shared" si="9"/>
        <v>0</v>
      </c>
      <c r="W311">
        <f t="shared" si="10"/>
        <v>0</v>
      </c>
      <c r="X311">
        <f t="shared" si="11"/>
        <v>0</v>
      </c>
      <c r="Z311" s="8"/>
      <c r="AA311">
        <f t="shared" si="12"/>
        <v>0</v>
      </c>
      <c r="AB311">
        <f t="shared" si="13"/>
        <v>0</v>
      </c>
      <c r="AC311">
        <f t="shared" si="14"/>
        <v>0</v>
      </c>
    </row>
    <row r="312">
      <c r="O312" s="8"/>
      <c r="P312">
        <f t="shared" ref="P312:R312" si="566">B312+P313</f>
        <v>0</v>
      </c>
      <c r="Q312">
        <f t="shared" si="566"/>
        <v>0</v>
      </c>
      <c r="R312">
        <f t="shared" si="566"/>
        <v>0</v>
      </c>
      <c r="S312">
        <f t="shared" si="265"/>
        <v>0</v>
      </c>
      <c r="U312" s="8"/>
      <c r="V312">
        <f t="shared" si="9"/>
        <v>0</v>
      </c>
      <c r="W312">
        <f t="shared" si="10"/>
        <v>0</v>
      </c>
      <c r="X312">
        <f t="shared" si="11"/>
        <v>0</v>
      </c>
      <c r="Z312" s="8"/>
      <c r="AA312">
        <f t="shared" si="12"/>
        <v>0</v>
      </c>
      <c r="AB312">
        <f t="shared" si="13"/>
        <v>0</v>
      </c>
      <c r="AC312">
        <f t="shared" si="14"/>
        <v>0</v>
      </c>
    </row>
    <row r="313">
      <c r="O313" s="8"/>
      <c r="P313">
        <f t="shared" ref="P313:R313" si="567">B313+P314</f>
        <v>0</v>
      </c>
      <c r="Q313">
        <f t="shared" si="567"/>
        <v>0</v>
      </c>
      <c r="R313">
        <f t="shared" si="567"/>
        <v>0</v>
      </c>
      <c r="S313">
        <f t="shared" si="265"/>
        <v>0</v>
      </c>
      <c r="U313" s="8"/>
      <c r="V313">
        <f t="shared" si="9"/>
        <v>0</v>
      </c>
      <c r="W313">
        <f t="shared" si="10"/>
        <v>0</v>
      </c>
      <c r="X313">
        <f t="shared" si="11"/>
        <v>0</v>
      </c>
      <c r="Z313" s="8"/>
      <c r="AA313">
        <f t="shared" si="12"/>
        <v>0</v>
      </c>
      <c r="AB313">
        <f t="shared" si="13"/>
        <v>0</v>
      </c>
      <c r="AC313">
        <f t="shared" si="14"/>
        <v>0</v>
      </c>
    </row>
    <row r="314">
      <c r="O314" s="8"/>
      <c r="P314">
        <f t="shared" ref="P314:R314" si="568">B314+P315</f>
        <v>0</v>
      </c>
      <c r="Q314">
        <f t="shared" si="568"/>
        <v>0</v>
      </c>
      <c r="R314">
        <f t="shared" si="568"/>
        <v>0</v>
      </c>
      <c r="S314">
        <f t="shared" si="265"/>
        <v>0</v>
      </c>
      <c r="U314" s="8"/>
      <c r="V314">
        <f t="shared" si="9"/>
        <v>0</v>
      </c>
      <c r="W314">
        <f t="shared" si="10"/>
        <v>0</v>
      </c>
      <c r="X314">
        <f t="shared" si="11"/>
        <v>0</v>
      </c>
      <c r="Z314" s="8"/>
      <c r="AA314">
        <f t="shared" si="12"/>
        <v>0</v>
      </c>
      <c r="AB314">
        <f t="shared" si="13"/>
        <v>0</v>
      </c>
      <c r="AC314">
        <f t="shared" si="14"/>
        <v>0</v>
      </c>
    </row>
    <row r="315">
      <c r="O315" s="8"/>
      <c r="P315">
        <f t="shared" ref="P315:R315" si="569">B315+P316</f>
        <v>0</v>
      </c>
      <c r="Q315">
        <f t="shared" si="569"/>
        <v>0</v>
      </c>
      <c r="R315">
        <f t="shared" si="569"/>
        <v>0</v>
      </c>
      <c r="S315">
        <f t="shared" si="265"/>
        <v>0</v>
      </c>
      <c r="U315" s="8"/>
      <c r="V315">
        <f t="shared" si="9"/>
        <v>0</v>
      </c>
      <c r="W315">
        <f t="shared" si="10"/>
        <v>0</v>
      </c>
      <c r="X315">
        <f t="shared" si="11"/>
        <v>0</v>
      </c>
      <c r="Z315" s="8"/>
      <c r="AA315">
        <f t="shared" si="12"/>
        <v>0</v>
      </c>
      <c r="AB315">
        <f t="shared" si="13"/>
        <v>0</v>
      </c>
      <c r="AC315">
        <f t="shared" si="14"/>
        <v>0</v>
      </c>
    </row>
    <row r="316">
      <c r="O316" s="8"/>
      <c r="P316">
        <f t="shared" ref="P316:R316" si="570">B316+P317</f>
        <v>0</v>
      </c>
      <c r="Q316">
        <f t="shared" si="570"/>
        <v>0</v>
      </c>
      <c r="R316">
        <f t="shared" si="570"/>
        <v>0</v>
      </c>
      <c r="S316">
        <f t="shared" si="265"/>
        <v>0</v>
      </c>
      <c r="U316" s="8"/>
      <c r="V316">
        <f t="shared" si="9"/>
        <v>0</v>
      </c>
      <c r="W316">
        <f t="shared" si="10"/>
        <v>0</v>
      </c>
      <c r="X316">
        <f t="shared" si="11"/>
        <v>0</v>
      </c>
      <c r="Z316" s="8"/>
      <c r="AA316">
        <f t="shared" si="12"/>
        <v>0</v>
      </c>
      <c r="AB316">
        <f t="shared" si="13"/>
        <v>0</v>
      </c>
      <c r="AC316">
        <f t="shared" si="14"/>
        <v>0</v>
      </c>
    </row>
    <row r="317">
      <c r="O317" s="8"/>
      <c r="P317">
        <f t="shared" ref="P317:R317" si="571">B317+P318</f>
        <v>0</v>
      </c>
      <c r="Q317">
        <f t="shared" si="571"/>
        <v>0</v>
      </c>
      <c r="R317">
        <f t="shared" si="571"/>
        <v>0</v>
      </c>
      <c r="S317">
        <f t="shared" si="265"/>
        <v>0</v>
      </c>
      <c r="U317" s="8"/>
      <c r="V317">
        <f t="shared" si="9"/>
        <v>0</v>
      </c>
      <c r="W317">
        <f t="shared" si="10"/>
        <v>0</v>
      </c>
      <c r="X317">
        <f t="shared" si="11"/>
        <v>0</v>
      </c>
      <c r="Z317" s="8"/>
      <c r="AA317">
        <f t="shared" si="12"/>
        <v>0</v>
      </c>
      <c r="AB317">
        <f t="shared" si="13"/>
        <v>0</v>
      </c>
      <c r="AC317">
        <f t="shared" si="14"/>
        <v>0</v>
      </c>
    </row>
    <row r="318">
      <c r="O318" s="8"/>
      <c r="P318">
        <f t="shared" ref="P318:R318" si="572">B318+P319</f>
        <v>0</v>
      </c>
      <c r="Q318">
        <f t="shared" si="572"/>
        <v>0</v>
      </c>
      <c r="R318">
        <f t="shared" si="572"/>
        <v>0</v>
      </c>
      <c r="S318">
        <f t="shared" si="265"/>
        <v>0</v>
      </c>
      <c r="U318" s="8"/>
      <c r="V318">
        <f t="shared" si="9"/>
        <v>0</v>
      </c>
      <c r="W318">
        <f t="shared" si="10"/>
        <v>0</v>
      </c>
      <c r="X318">
        <f t="shared" si="11"/>
        <v>0</v>
      </c>
      <c r="Z318" s="8"/>
      <c r="AA318">
        <f t="shared" si="12"/>
        <v>0</v>
      </c>
      <c r="AB318">
        <f t="shared" si="13"/>
        <v>0</v>
      </c>
      <c r="AC318">
        <f t="shared" si="14"/>
        <v>0</v>
      </c>
    </row>
    <row r="319">
      <c r="O319" s="8"/>
      <c r="P319">
        <f t="shared" ref="P319:R319" si="573">B319+P320</f>
        <v>0</v>
      </c>
      <c r="Q319">
        <f t="shared" si="573"/>
        <v>0</v>
      </c>
      <c r="R319">
        <f t="shared" si="573"/>
        <v>0</v>
      </c>
      <c r="S319">
        <f t="shared" si="265"/>
        <v>0</v>
      </c>
      <c r="U319" s="8"/>
      <c r="V319">
        <f t="shared" si="9"/>
        <v>0</v>
      </c>
      <c r="W319">
        <f t="shared" si="10"/>
        <v>0</v>
      </c>
      <c r="X319">
        <f t="shared" si="11"/>
        <v>0</v>
      </c>
      <c r="Z319" s="8"/>
      <c r="AA319">
        <f t="shared" si="12"/>
        <v>0</v>
      </c>
      <c r="AB319">
        <f t="shared" si="13"/>
        <v>0</v>
      </c>
      <c r="AC319">
        <f t="shared" si="14"/>
        <v>0</v>
      </c>
    </row>
    <row r="320">
      <c r="O320" s="8"/>
      <c r="P320">
        <f t="shared" ref="P320:R320" si="574">B320+P321</f>
        <v>0</v>
      </c>
      <c r="Q320">
        <f t="shared" si="574"/>
        <v>0</v>
      </c>
      <c r="R320">
        <f t="shared" si="574"/>
        <v>0</v>
      </c>
      <c r="S320">
        <f t="shared" si="265"/>
        <v>0</v>
      </c>
      <c r="U320" s="8"/>
      <c r="V320">
        <f t="shared" si="9"/>
        <v>0</v>
      </c>
      <c r="W320">
        <f t="shared" si="10"/>
        <v>0</v>
      </c>
      <c r="X320">
        <f t="shared" si="11"/>
        <v>0</v>
      </c>
      <c r="Z320" s="8"/>
      <c r="AA320">
        <f t="shared" si="12"/>
        <v>0</v>
      </c>
      <c r="AB320">
        <f t="shared" si="13"/>
        <v>0</v>
      </c>
      <c r="AC320">
        <f t="shared" si="14"/>
        <v>0</v>
      </c>
    </row>
    <row r="321">
      <c r="O321" s="8"/>
      <c r="P321">
        <f t="shared" ref="P321:R321" si="575">B321+P322</f>
        <v>0</v>
      </c>
      <c r="Q321">
        <f t="shared" si="575"/>
        <v>0</v>
      </c>
      <c r="R321">
        <f t="shared" si="575"/>
        <v>0</v>
      </c>
      <c r="S321">
        <f t="shared" si="265"/>
        <v>0</v>
      </c>
      <c r="U321" s="8"/>
      <c r="V321">
        <f t="shared" si="9"/>
        <v>0</v>
      </c>
      <c r="W321">
        <f t="shared" si="10"/>
        <v>0</v>
      </c>
      <c r="X321">
        <f t="shared" si="11"/>
        <v>0</v>
      </c>
      <c r="Z321" s="8"/>
      <c r="AA321">
        <f t="shared" si="12"/>
        <v>0</v>
      </c>
      <c r="AB321">
        <f t="shared" si="13"/>
        <v>0</v>
      </c>
      <c r="AC321">
        <f t="shared" si="14"/>
        <v>0</v>
      </c>
    </row>
    <row r="322">
      <c r="O322" s="8"/>
      <c r="P322">
        <f t="shared" ref="P322:R322" si="576">B322+P323</f>
        <v>0</v>
      </c>
      <c r="Q322">
        <f t="shared" si="576"/>
        <v>0</v>
      </c>
      <c r="R322">
        <f t="shared" si="576"/>
        <v>0</v>
      </c>
      <c r="S322">
        <f t="shared" si="265"/>
        <v>0</v>
      </c>
      <c r="U322" s="8"/>
      <c r="V322">
        <f t="shared" si="9"/>
        <v>0</v>
      </c>
      <c r="W322">
        <f t="shared" si="10"/>
        <v>0</v>
      </c>
      <c r="X322">
        <f t="shared" si="11"/>
        <v>0</v>
      </c>
      <c r="Z322" s="8"/>
      <c r="AA322">
        <f t="shared" si="12"/>
        <v>0</v>
      </c>
      <c r="AB322">
        <f t="shared" si="13"/>
        <v>0</v>
      </c>
      <c r="AC322">
        <f t="shared" si="14"/>
        <v>0</v>
      </c>
    </row>
    <row r="323">
      <c r="O323" s="8"/>
      <c r="P323">
        <f t="shared" ref="P323:R323" si="577">B323+P324</f>
        <v>0</v>
      </c>
      <c r="Q323">
        <f t="shared" si="577"/>
        <v>0</v>
      </c>
      <c r="R323">
        <f t="shared" si="577"/>
        <v>0</v>
      </c>
      <c r="S323">
        <f t="shared" si="265"/>
        <v>0</v>
      </c>
      <c r="U323" s="8"/>
      <c r="V323">
        <f t="shared" si="9"/>
        <v>0</v>
      </c>
      <c r="W323">
        <f t="shared" si="10"/>
        <v>0</v>
      </c>
      <c r="X323">
        <f t="shared" si="11"/>
        <v>0</v>
      </c>
      <c r="Z323" s="8"/>
      <c r="AA323">
        <f t="shared" si="12"/>
        <v>0</v>
      </c>
      <c r="AB323">
        <f t="shared" si="13"/>
        <v>0</v>
      </c>
      <c r="AC323">
        <f t="shared" si="14"/>
        <v>0</v>
      </c>
    </row>
    <row r="324">
      <c r="O324" s="8"/>
      <c r="P324">
        <f t="shared" ref="P324:R324" si="578">B324+P325</f>
        <v>0</v>
      </c>
      <c r="Q324">
        <f t="shared" si="578"/>
        <v>0</v>
      </c>
      <c r="R324">
        <f t="shared" si="578"/>
        <v>0</v>
      </c>
      <c r="S324">
        <f t="shared" si="265"/>
        <v>0</v>
      </c>
      <c r="U324" s="8"/>
      <c r="V324">
        <f t="shared" si="9"/>
        <v>0</v>
      </c>
      <c r="W324">
        <f t="shared" si="10"/>
        <v>0</v>
      </c>
      <c r="X324">
        <f t="shared" si="11"/>
        <v>0</v>
      </c>
      <c r="Z324" s="8"/>
      <c r="AA324">
        <f t="shared" si="12"/>
        <v>0</v>
      </c>
      <c r="AB324">
        <f t="shared" si="13"/>
        <v>0</v>
      </c>
      <c r="AC324">
        <f t="shared" si="14"/>
        <v>0</v>
      </c>
    </row>
    <row r="325">
      <c r="O325" s="8"/>
      <c r="P325">
        <f t="shared" ref="P325:R325" si="579">B325+P326</f>
        <v>0</v>
      </c>
      <c r="Q325">
        <f t="shared" si="579"/>
        <v>0</v>
      </c>
      <c r="R325">
        <f t="shared" si="579"/>
        <v>0</v>
      </c>
      <c r="S325">
        <f t="shared" si="265"/>
        <v>0</v>
      </c>
      <c r="U325" s="8"/>
      <c r="V325">
        <f t="shared" si="9"/>
        <v>0</v>
      </c>
      <c r="W325">
        <f t="shared" si="10"/>
        <v>0</v>
      </c>
      <c r="X325">
        <f t="shared" si="11"/>
        <v>0</v>
      </c>
      <c r="Z325" s="8"/>
      <c r="AA325">
        <f t="shared" si="12"/>
        <v>0</v>
      </c>
      <c r="AB325">
        <f t="shared" si="13"/>
        <v>0</v>
      </c>
      <c r="AC325">
        <f t="shared" si="14"/>
        <v>0</v>
      </c>
    </row>
    <row r="326">
      <c r="O326" s="8"/>
      <c r="P326">
        <f t="shared" ref="P326:R326" si="580">B326+P327</f>
        <v>0</v>
      </c>
      <c r="Q326">
        <f t="shared" si="580"/>
        <v>0</v>
      </c>
      <c r="R326">
        <f t="shared" si="580"/>
        <v>0</v>
      </c>
      <c r="S326">
        <f t="shared" si="265"/>
        <v>0</v>
      </c>
      <c r="U326" s="8"/>
      <c r="V326">
        <f t="shared" si="9"/>
        <v>0</v>
      </c>
      <c r="W326">
        <f t="shared" si="10"/>
        <v>0</v>
      </c>
      <c r="X326">
        <f t="shared" si="11"/>
        <v>0</v>
      </c>
      <c r="Z326" s="8"/>
      <c r="AA326">
        <f t="shared" si="12"/>
        <v>0</v>
      </c>
      <c r="AB326">
        <f t="shared" si="13"/>
        <v>0</v>
      </c>
      <c r="AC326">
        <f t="shared" si="14"/>
        <v>0</v>
      </c>
    </row>
    <row r="327">
      <c r="O327" s="8"/>
      <c r="P327">
        <f t="shared" ref="P327:R327" si="581">B327+P328</f>
        <v>0</v>
      </c>
      <c r="Q327">
        <f t="shared" si="581"/>
        <v>0</v>
      </c>
      <c r="R327">
        <f t="shared" si="581"/>
        <v>0</v>
      </c>
      <c r="S327">
        <f t="shared" si="265"/>
        <v>0</v>
      </c>
      <c r="U327" s="8"/>
      <c r="V327">
        <f t="shared" si="9"/>
        <v>0</v>
      </c>
      <c r="W327">
        <f t="shared" si="10"/>
        <v>0</v>
      </c>
      <c r="X327">
        <f t="shared" si="11"/>
        <v>0</v>
      </c>
      <c r="Z327" s="8"/>
      <c r="AA327">
        <f t="shared" si="12"/>
        <v>0</v>
      </c>
      <c r="AB327">
        <f t="shared" si="13"/>
        <v>0</v>
      </c>
      <c r="AC327">
        <f t="shared" si="14"/>
        <v>0</v>
      </c>
    </row>
    <row r="328">
      <c r="O328" s="8"/>
      <c r="P328">
        <f t="shared" ref="P328:R328" si="582">B328+P329</f>
        <v>0</v>
      </c>
      <c r="Q328">
        <f t="shared" si="582"/>
        <v>0</v>
      </c>
      <c r="R328">
        <f t="shared" si="582"/>
        <v>0</v>
      </c>
      <c r="S328">
        <f t="shared" si="265"/>
        <v>0</v>
      </c>
      <c r="U328" s="8"/>
      <c r="V328">
        <f t="shared" si="9"/>
        <v>0</v>
      </c>
      <c r="W328">
        <f t="shared" si="10"/>
        <v>0</v>
      </c>
      <c r="X328">
        <f t="shared" si="11"/>
        <v>0</v>
      </c>
      <c r="Z328" s="8"/>
      <c r="AA328">
        <f t="shared" si="12"/>
        <v>0</v>
      </c>
      <c r="AB328">
        <f t="shared" si="13"/>
        <v>0</v>
      </c>
      <c r="AC328">
        <f t="shared" si="14"/>
        <v>0</v>
      </c>
    </row>
    <row r="329">
      <c r="O329" s="8"/>
      <c r="P329">
        <f t="shared" ref="P329:R329" si="583">B329+P330</f>
        <v>0</v>
      </c>
      <c r="Q329">
        <f t="shared" si="583"/>
        <v>0</v>
      </c>
      <c r="R329">
        <f t="shared" si="583"/>
        <v>0</v>
      </c>
      <c r="S329">
        <f t="shared" si="265"/>
        <v>0</v>
      </c>
      <c r="U329" s="8"/>
      <c r="V329">
        <f t="shared" si="9"/>
        <v>0</v>
      </c>
      <c r="W329">
        <f t="shared" si="10"/>
        <v>0</v>
      </c>
      <c r="X329">
        <f t="shared" si="11"/>
        <v>0</v>
      </c>
      <c r="Z329" s="8"/>
      <c r="AA329">
        <f t="shared" si="12"/>
        <v>0</v>
      </c>
      <c r="AB329">
        <f t="shared" si="13"/>
        <v>0</v>
      </c>
      <c r="AC329">
        <f t="shared" si="14"/>
        <v>0</v>
      </c>
    </row>
    <row r="330">
      <c r="O330" s="8"/>
      <c r="P330">
        <f t="shared" ref="P330:R330" si="584">B330+P331</f>
        <v>0</v>
      </c>
      <c r="Q330">
        <f t="shared" si="584"/>
        <v>0</v>
      </c>
      <c r="R330">
        <f t="shared" si="584"/>
        <v>0</v>
      </c>
      <c r="S330">
        <f t="shared" si="265"/>
        <v>0</v>
      </c>
      <c r="U330" s="8"/>
      <c r="V330">
        <f t="shared" si="9"/>
        <v>0</v>
      </c>
      <c r="W330">
        <f t="shared" si="10"/>
        <v>0</v>
      </c>
      <c r="X330">
        <f t="shared" si="11"/>
        <v>0</v>
      </c>
      <c r="Z330" s="8"/>
      <c r="AA330">
        <f t="shared" si="12"/>
        <v>0</v>
      </c>
      <c r="AB330">
        <f t="shared" si="13"/>
        <v>0</v>
      </c>
      <c r="AC330">
        <f t="shared" si="14"/>
        <v>0</v>
      </c>
    </row>
    <row r="331">
      <c r="O331" s="8"/>
      <c r="P331">
        <f t="shared" ref="P331:R331" si="585">B331+P332</f>
        <v>0</v>
      </c>
      <c r="Q331">
        <f t="shared" si="585"/>
        <v>0</v>
      </c>
      <c r="R331">
        <f t="shared" si="585"/>
        <v>0</v>
      </c>
      <c r="S331">
        <f t="shared" si="265"/>
        <v>0</v>
      </c>
      <c r="U331" s="8"/>
      <c r="V331">
        <f t="shared" si="9"/>
        <v>0</v>
      </c>
      <c r="W331">
        <f t="shared" si="10"/>
        <v>0</v>
      </c>
      <c r="X331">
        <f t="shared" si="11"/>
        <v>0</v>
      </c>
      <c r="Z331" s="8"/>
      <c r="AA331">
        <f t="shared" si="12"/>
        <v>0</v>
      </c>
      <c r="AB331">
        <f t="shared" si="13"/>
        <v>0</v>
      </c>
      <c r="AC331">
        <f t="shared" si="14"/>
        <v>0</v>
      </c>
    </row>
    <row r="332">
      <c r="O332" s="8"/>
      <c r="P332">
        <f t="shared" ref="P332:R332" si="586">B332+P333</f>
        <v>0</v>
      </c>
      <c r="Q332">
        <f t="shared" si="586"/>
        <v>0</v>
      </c>
      <c r="R332">
        <f t="shared" si="586"/>
        <v>0</v>
      </c>
      <c r="S332">
        <f t="shared" si="265"/>
        <v>0</v>
      </c>
      <c r="U332" s="8"/>
      <c r="V332">
        <f t="shared" si="9"/>
        <v>0</v>
      </c>
      <c r="W332">
        <f t="shared" si="10"/>
        <v>0</v>
      </c>
      <c r="X332">
        <f t="shared" si="11"/>
        <v>0</v>
      </c>
      <c r="Z332" s="8"/>
      <c r="AA332">
        <f t="shared" si="12"/>
        <v>0</v>
      </c>
      <c r="AB332">
        <f t="shared" si="13"/>
        <v>0</v>
      </c>
      <c r="AC332">
        <f t="shared" si="14"/>
        <v>0</v>
      </c>
    </row>
    <row r="333">
      <c r="O333" s="8"/>
      <c r="P333">
        <f t="shared" ref="P333:R333" si="587">B333+P334</f>
        <v>0</v>
      </c>
      <c r="Q333">
        <f t="shared" si="587"/>
        <v>0</v>
      </c>
      <c r="R333">
        <f t="shared" si="587"/>
        <v>0</v>
      </c>
      <c r="S333">
        <f t="shared" si="265"/>
        <v>0</v>
      </c>
      <c r="U333" s="8"/>
      <c r="V333">
        <f t="shared" si="9"/>
        <v>0</v>
      </c>
      <c r="W333">
        <f t="shared" si="10"/>
        <v>0</v>
      </c>
      <c r="X333">
        <f t="shared" si="11"/>
        <v>0</v>
      </c>
      <c r="Z333" s="8"/>
      <c r="AA333">
        <f t="shared" si="12"/>
        <v>0</v>
      </c>
      <c r="AB333">
        <f t="shared" si="13"/>
        <v>0</v>
      </c>
      <c r="AC333">
        <f t="shared" si="14"/>
        <v>0</v>
      </c>
    </row>
    <row r="334">
      <c r="O334" s="8"/>
      <c r="P334">
        <f t="shared" ref="P334:R334" si="588">B334+P335</f>
        <v>0</v>
      </c>
      <c r="Q334">
        <f t="shared" si="588"/>
        <v>0</v>
      </c>
      <c r="R334">
        <f t="shared" si="588"/>
        <v>0</v>
      </c>
      <c r="S334">
        <f t="shared" si="265"/>
        <v>0</v>
      </c>
      <c r="U334" s="8"/>
      <c r="V334">
        <f t="shared" si="9"/>
        <v>0</v>
      </c>
      <c r="W334">
        <f t="shared" si="10"/>
        <v>0</v>
      </c>
      <c r="X334">
        <f t="shared" si="11"/>
        <v>0</v>
      </c>
      <c r="Z334" s="8"/>
      <c r="AA334">
        <f t="shared" si="12"/>
        <v>0</v>
      </c>
      <c r="AB334">
        <f t="shared" si="13"/>
        <v>0</v>
      </c>
      <c r="AC334">
        <f t="shared" si="14"/>
        <v>0</v>
      </c>
    </row>
    <row r="335">
      <c r="O335" s="8"/>
      <c r="P335">
        <f t="shared" ref="P335:R335" si="589">B335+P336</f>
        <v>0</v>
      </c>
      <c r="Q335">
        <f t="shared" si="589"/>
        <v>0</v>
      </c>
      <c r="R335">
        <f t="shared" si="589"/>
        <v>0</v>
      </c>
      <c r="S335">
        <f t="shared" si="265"/>
        <v>0</v>
      </c>
      <c r="U335" s="8"/>
      <c r="V335">
        <f t="shared" si="9"/>
        <v>0</v>
      </c>
      <c r="W335">
        <f t="shared" si="10"/>
        <v>0</v>
      </c>
      <c r="X335">
        <f t="shared" si="11"/>
        <v>0</v>
      </c>
      <c r="Z335" s="8"/>
      <c r="AA335">
        <f t="shared" si="12"/>
        <v>0</v>
      </c>
      <c r="AB335">
        <f t="shared" si="13"/>
        <v>0</v>
      </c>
      <c r="AC335">
        <f t="shared" si="14"/>
        <v>0</v>
      </c>
    </row>
    <row r="336">
      <c r="O336" s="8"/>
      <c r="P336">
        <f t="shared" ref="P336:R336" si="590">B336+P337</f>
        <v>0</v>
      </c>
      <c r="Q336">
        <f t="shared" si="590"/>
        <v>0</v>
      </c>
      <c r="R336">
        <f t="shared" si="590"/>
        <v>0</v>
      </c>
      <c r="S336">
        <f t="shared" si="265"/>
        <v>0</v>
      </c>
      <c r="U336" s="8"/>
      <c r="V336">
        <f t="shared" si="9"/>
        <v>0</v>
      </c>
      <c r="W336">
        <f t="shared" si="10"/>
        <v>0</v>
      </c>
      <c r="X336">
        <f t="shared" si="11"/>
        <v>0</v>
      </c>
      <c r="Z336" s="8"/>
      <c r="AA336">
        <f t="shared" si="12"/>
        <v>0</v>
      </c>
      <c r="AB336">
        <f t="shared" si="13"/>
        <v>0</v>
      </c>
      <c r="AC336">
        <f t="shared" si="14"/>
        <v>0</v>
      </c>
    </row>
    <row r="337">
      <c r="O337" s="8"/>
      <c r="P337">
        <f t="shared" ref="P337:R337" si="591">B337+P338</f>
        <v>0</v>
      </c>
      <c r="Q337">
        <f t="shared" si="591"/>
        <v>0</v>
      </c>
      <c r="R337">
        <f t="shared" si="591"/>
        <v>0</v>
      </c>
      <c r="S337">
        <f t="shared" si="265"/>
        <v>0</v>
      </c>
      <c r="U337" s="8"/>
      <c r="V337">
        <f t="shared" si="9"/>
        <v>0</v>
      </c>
      <c r="W337">
        <f t="shared" si="10"/>
        <v>0</v>
      </c>
      <c r="X337">
        <f t="shared" si="11"/>
        <v>0</v>
      </c>
      <c r="Z337" s="8"/>
      <c r="AA337">
        <f t="shared" si="12"/>
        <v>0</v>
      </c>
      <c r="AB337">
        <f t="shared" si="13"/>
        <v>0</v>
      </c>
      <c r="AC337">
        <f t="shared" si="14"/>
        <v>0</v>
      </c>
    </row>
    <row r="338">
      <c r="O338" s="8"/>
      <c r="P338">
        <f t="shared" ref="P338:R338" si="592">B338+P339</f>
        <v>0</v>
      </c>
      <c r="Q338">
        <f t="shared" si="592"/>
        <v>0</v>
      </c>
      <c r="R338">
        <f t="shared" si="592"/>
        <v>0</v>
      </c>
      <c r="S338">
        <f t="shared" si="265"/>
        <v>0</v>
      </c>
      <c r="U338" s="8"/>
      <c r="V338">
        <f t="shared" si="9"/>
        <v>0</v>
      </c>
      <c r="W338">
        <f t="shared" si="10"/>
        <v>0</v>
      </c>
      <c r="X338">
        <f t="shared" si="11"/>
        <v>0</v>
      </c>
      <c r="Z338" s="8"/>
      <c r="AA338">
        <f t="shared" si="12"/>
        <v>0</v>
      </c>
      <c r="AB338">
        <f t="shared" si="13"/>
        <v>0</v>
      </c>
      <c r="AC338">
        <f t="shared" si="14"/>
        <v>0</v>
      </c>
    </row>
    <row r="339">
      <c r="O339" s="8"/>
      <c r="P339">
        <f t="shared" ref="P339:R339" si="593">B339+P340</f>
        <v>0</v>
      </c>
      <c r="Q339">
        <f t="shared" si="593"/>
        <v>0</v>
      </c>
      <c r="R339">
        <f t="shared" si="593"/>
        <v>0</v>
      </c>
      <c r="S339">
        <f t="shared" si="265"/>
        <v>0</v>
      </c>
      <c r="U339" s="8"/>
      <c r="V339">
        <f t="shared" si="9"/>
        <v>0</v>
      </c>
      <c r="W339">
        <f t="shared" si="10"/>
        <v>0</v>
      </c>
      <c r="X339">
        <f t="shared" si="11"/>
        <v>0</v>
      </c>
      <c r="Z339" s="8"/>
      <c r="AA339">
        <f t="shared" si="12"/>
        <v>0</v>
      </c>
      <c r="AB339">
        <f t="shared" si="13"/>
        <v>0</v>
      </c>
      <c r="AC339">
        <f t="shared" si="14"/>
        <v>0</v>
      </c>
    </row>
    <row r="340">
      <c r="O340" s="8"/>
      <c r="P340">
        <f t="shared" ref="P340:R340" si="594">B340+P341</f>
        <v>0</v>
      </c>
      <c r="Q340">
        <f t="shared" si="594"/>
        <v>0</v>
      </c>
      <c r="R340">
        <f t="shared" si="594"/>
        <v>0</v>
      </c>
      <c r="S340">
        <f t="shared" si="265"/>
        <v>0</v>
      </c>
      <c r="U340" s="8"/>
      <c r="V340">
        <f t="shared" si="9"/>
        <v>0</v>
      </c>
      <c r="W340">
        <f t="shared" si="10"/>
        <v>0</v>
      </c>
      <c r="X340">
        <f t="shared" si="11"/>
        <v>0</v>
      </c>
      <c r="Z340" s="8"/>
      <c r="AA340">
        <f t="shared" si="12"/>
        <v>0</v>
      </c>
      <c r="AB340">
        <f t="shared" si="13"/>
        <v>0</v>
      </c>
      <c r="AC340">
        <f t="shared" si="14"/>
        <v>0</v>
      </c>
    </row>
    <row r="341">
      <c r="O341" s="8"/>
      <c r="P341">
        <f t="shared" ref="P341:R341" si="595">B341+P342</f>
        <v>0</v>
      </c>
      <c r="Q341">
        <f t="shared" si="595"/>
        <v>0</v>
      </c>
      <c r="R341">
        <f t="shared" si="595"/>
        <v>0</v>
      </c>
      <c r="S341">
        <f t="shared" si="265"/>
        <v>0</v>
      </c>
      <c r="U341" s="8"/>
      <c r="V341">
        <f t="shared" si="9"/>
        <v>0</v>
      </c>
      <c r="W341">
        <f t="shared" si="10"/>
        <v>0</v>
      </c>
      <c r="X341">
        <f t="shared" si="11"/>
        <v>0</v>
      </c>
      <c r="Z341" s="8"/>
      <c r="AA341">
        <f t="shared" si="12"/>
        <v>0</v>
      </c>
      <c r="AB341">
        <f t="shared" si="13"/>
        <v>0</v>
      </c>
      <c r="AC341">
        <f t="shared" si="14"/>
        <v>0</v>
      </c>
    </row>
    <row r="342">
      <c r="O342" s="8"/>
      <c r="P342">
        <f t="shared" ref="P342:R342" si="596">B342+P343</f>
        <v>0</v>
      </c>
      <c r="Q342">
        <f t="shared" si="596"/>
        <v>0</v>
      </c>
      <c r="R342">
        <f t="shared" si="596"/>
        <v>0</v>
      </c>
      <c r="S342">
        <f t="shared" si="265"/>
        <v>0</v>
      </c>
      <c r="U342" s="8"/>
      <c r="V342">
        <f t="shared" si="9"/>
        <v>0</v>
      </c>
      <c r="W342">
        <f t="shared" si="10"/>
        <v>0</v>
      </c>
      <c r="X342">
        <f t="shared" si="11"/>
        <v>0</v>
      </c>
      <c r="Z342" s="8"/>
      <c r="AA342">
        <f t="shared" si="12"/>
        <v>0</v>
      </c>
      <c r="AB342">
        <f t="shared" si="13"/>
        <v>0</v>
      </c>
      <c r="AC342">
        <f t="shared" si="14"/>
        <v>0</v>
      </c>
    </row>
    <row r="343">
      <c r="O343" s="8"/>
      <c r="P343">
        <f t="shared" ref="P343:R343" si="597">B343+P344</f>
        <v>0</v>
      </c>
      <c r="Q343">
        <f t="shared" si="597"/>
        <v>0</v>
      </c>
      <c r="R343">
        <f t="shared" si="597"/>
        <v>0</v>
      </c>
      <c r="S343">
        <f t="shared" si="265"/>
        <v>0</v>
      </c>
      <c r="U343" s="8"/>
      <c r="V343">
        <f t="shared" si="9"/>
        <v>0</v>
      </c>
      <c r="W343">
        <f t="shared" si="10"/>
        <v>0</v>
      </c>
      <c r="X343">
        <f t="shared" si="11"/>
        <v>0</v>
      </c>
      <c r="Z343" s="8"/>
      <c r="AA343">
        <f t="shared" si="12"/>
        <v>0</v>
      </c>
      <c r="AB343">
        <f t="shared" si="13"/>
        <v>0</v>
      </c>
      <c r="AC343">
        <f t="shared" si="14"/>
        <v>0</v>
      </c>
    </row>
    <row r="344">
      <c r="O344" s="8"/>
      <c r="P344">
        <f t="shared" ref="P344:R344" si="598">B344+P345</f>
        <v>0</v>
      </c>
      <c r="Q344">
        <f t="shared" si="598"/>
        <v>0</v>
      </c>
      <c r="R344">
        <f t="shared" si="598"/>
        <v>0</v>
      </c>
      <c r="S344">
        <f t="shared" si="265"/>
        <v>0</v>
      </c>
      <c r="U344" s="8"/>
      <c r="V344">
        <f t="shared" si="9"/>
        <v>0</v>
      </c>
      <c r="W344">
        <f t="shared" si="10"/>
        <v>0</v>
      </c>
      <c r="X344">
        <f t="shared" si="11"/>
        <v>0</v>
      </c>
      <c r="Z344" s="8"/>
      <c r="AA344">
        <f t="shared" si="12"/>
        <v>0</v>
      </c>
      <c r="AB344">
        <f t="shared" si="13"/>
        <v>0</v>
      </c>
      <c r="AC344">
        <f t="shared" si="14"/>
        <v>0</v>
      </c>
    </row>
    <row r="345">
      <c r="O345" s="8"/>
      <c r="P345">
        <f t="shared" ref="P345:R345" si="599">B345+P346</f>
        <v>0</v>
      </c>
      <c r="Q345">
        <f t="shared" si="599"/>
        <v>0</v>
      </c>
      <c r="R345">
        <f t="shared" si="599"/>
        <v>0</v>
      </c>
      <c r="S345">
        <f t="shared" si="265"/>
        <v>0</v>
      </c>
      <c r="U345" s="8"/>
      <c r="V345">
        <f t="shared" si="9"/>
        <v>0</v>
      </c>
      <c r="W345">
        <f t="shared" si="10"/>
        <v>0</v>
      </c>
      <c r="X345">
        <f t="shared" si="11"/>
        <v>0</v>
      </c>
      <c r="Z345" s="8"/>
      <c r="AA345">
        <f t="shared" si="12"/>
        <v>0</v>
      </c>
      <c r="AB345">
        <f t="shared" si="13"/>
        <v>0</v>
      </c>
      <c r="AC345">
        <f t="shared" si="14"/>
        <v>0</v>
      </c>
    </row>
    <row r="346">
      <c r="O346" s="8"/>
      <c r="P346">
        <f t="shared" ref="P346:R346" si="600">B346+P347</f>
        <v>0</v>
      </c>
      <c r="Q346">
        <f t="shared" si="600"/>
        <v>0</v>
      </c>
      <c r="R346">
        <f t="shared" si="600"/>
        <v>0</v>
      </c>
      <c r="S346">
        <f t="shared" si="265"/>
        <v>0</v>
      </c>
      <c r="U346" s="8"/>
      <c r="V346">
        <f t="shared" si="9"/>
        <v>0</v>
      </c>
      <c r="W346">
        <f t="shared" si="10"/>
        <v>0</v>
      </c>
      <c r="X346">
        <f t="shared" si="11"/>
        <v>0</v>
      </c>
      <c r="Z346" s="8"/>
      <c r="AA346">
        <f t="shared" si="12"/>
        <v>0</v>
      </c>
      <c r="AB346">
        <f t="shared" si="13"/>
        <v>0</v>
      </c>
      <c r="AC346">
        <f t="shared" si="14"/>
        <v>0</v>
      </c>
    </row>
    <row r="347">
      <c r="O347" s="8"/>
      <c r="P347">
        <f t="shared" ref="P347:R347" si="601">B347+P348</f>
        <v>0</v>
      </c>
      <c r="Q347">
        <f t="shared" si="601"/>
        <v>0</v>
      </c>
      <c r="R347">
        <f t="shared" si="601"/>
        <v>0</v>
      </c>
      <c r="S347">
        <f t="shared" si="265"/>
        <v>0</v>
      </c>
      <c r="U347" s="8"/>
      <c r="V347">
        <f t="shared" si="9"/>
        <v>0</v>
      </c>
      <c r="W347">
        <f t="shared" si="10"/>
        <v>0</v>
      </c>
      <c r="X347">
        <f t="shared" si="11"/>
        <v>0</v>
      </c>
      <c r="Z347" s="8"/>
      <c r="AA347">
        <f t="shared" si="12"/>
        <v>0</v>
      </c>
      <c r="AB347">
        <f t="shared" si="13"/>
        <v>0</v>
      </c>
      <c r="AC347">
        <f t="shared" si="14"/>
        <v>0</v>
      </c>
    </row>
    <row r="348">
      <c r="O348" s="8"/>
      <c r="P348">
        <f t="shared" ref="P348:R348" si="602">B348+P349</f>
        <v>0</v>
      </c>
      <c r="Q348">
        <f t="shared" si="602"/>
        <v>0</v>
      </c>
      <c r="R348">
        <f t="shared" si="602"/>
        <v>0</v>
      </c>
      <c r="S348">
        <f t="shared" si="265"/>
        <v>0</v>
      </c>
      <c r="U348" s="8"/>
      <c r="V348">
        <f t="shared" si="9"/>
        <v>0</v>
      </c>
      <c r="W348">
        <f t="shared" si="10"/>
        <v>0</v>
      </c>
      <c r="X348">
        <f t="shared" si="11"/>
        <v>0</v>
      </c>
      <c r="Z348" s="8"/>
      <c r="AA348">
        <f t="shared" si="12"/>
        <v>0</v>
      </c>
      <c r="AB348">
        <f t="shared" si="13"/>
        <v>0</v>
      </c>
      <c r="AC348">
        <f t="shared" si="14"/>
        <v>0</v>
      </c>
    </row>
    <row r="349">
      <c r="O349" s="8"/>
      <c r="P349">
        <f t="shared" ref="P349:R349" si="603">B349+P350</f>
        <v>0</v>
      </c>
      <c r="Q349">
        <f t="shared" si="603"/>
        <v>0</v>
      </c>
      <c r="R349">
        <f t="shared" si="603"/>
        <v>0</v>
      </c>
      <c r="S349">
        <f t="shared" si="265"/>
        <v>0</v>
      </c>
      <c r="U349" s="8"/>
      <c r="V349">
        <f t="shared" si="9"/>
        <v>0</v>
      </c>
      <c r="W349">
        <f t="shared" si="10"/>
        <v>0</v>
      </c>
      <c r="X349">
        <f t="shared" si="11"/>
        <v>0</v>
      </c>
      <c r="Z349" s="8"/>
      <c r="AA349">
        <f t="shared" si="12"/>
        <v>0</v>
      </c>
      <c r="AB349">
        <f t="shared" si="13"/>
        <v>0</v>
      </c>
      <c r="AC349">
        <f t="shared" si="14"/>
        <v>0</v>
      </c>
    </row>
    <row r="350">
      <c r="O350" s="8"/>
      <c r="P350">
        <f t="shared" ref="P350:R350" si="604">B350+P351</f>
        <v>0</v>
      </c>
      <c r="Q350">
        <f t="shared" si="604"/>
        <v>0</v>
      </c>
      <c r="R350">
        <f t="shared" si="604"/>
        <v>0</v>
      </c>
      <c r="S350">
        <f t="shared" si="265"/>
        <v>0</v>
      </c>
      <c r="U350" s="8"/>
      <c r="V350">
        <f t="shared" si="9"/>
        <v>0</v>
      </c>
      <c r="W350">
        <f t="shared" si="10"/>
        <v>0</v>
      </c>
      <c r="X350">
        <f t="shared" si="11"/>
        <v>0</v>
      </c>
      <c r="Z350" s="8"/>
      <c r="AA350">
        <f t="shared" si="12"/>
        <v>0</v>
      </c>
      <c r="AB350">
        <f t="shared" si="13"/>
        <v>0</v>
      </c>
      <c r="AC350">
        <f t="shared" si="14"/>
        <v>0</v>
      </c>
    </row>
    <row r="351">
      <c r="O351" s="8"/>
      <c r="P351">
        <f t="shared" ref="P351:R351" si="605">B351+P352</f>
        <v>0</v>
      </c>
      <c r="Q351">
        <f t="shared" si="605"/>
        <v>0</v>
      </c>
      <c r="R351">
        <f t="shared" si="605"/>
        <v>0</v>
      </c>
      <c r="S351">
        <f t="shared" si="265"/>
        <v>0</v>
      </c>
      <c r="U351" s="8"/>
      <c r="V351">
        <f t="shared" si="9"/>
        <v>0</v>
      </c>
      <c r="W351">
        <f t="shared" si="10"/>
        <v>0</v>
      </c>
      <c r="X351">
        <f t="shared" si="11"/>
        <v>0</v>
      </c>
      <c r="Z351" s="8"/>
      <c r="AA351">
        <f t="shared" si="12"/>
        <v>0</v>
      </c>
      <c r="AB351">
        <f t="shared" si="13"/>
        <v>0</v>
      </c>
      <c r="AC351">
        <f t="shared" si="14"/>
        <v>0</v>
      </c>
    </row>
    <row r="352">
      <c r="O352" s="8"/>
      <c r="P352">
        <f t="shared" ref="P352:R352" si="606">B352+P353</f>
        <v>0</v>
      </c>
      <c r="Q352">
        <f t="shared" si="606"/>
        <v>0</v>
      </c>
      <c r="R352">
        <f t="shared" si="606"/>
        <v>0</v>
      </c>
      <c r="S352">
        <f t="shared" si="265"/>
        <v>0</v>
      </c>
      <c r="U352" s="8"/>
      <c r="V352">
        <f t="shared" si="9"/>
        <v>0</v>
      </c>
      <c r="W352">
        <f t="shared" si="10"/>
        <v>0</v>
      </c>
      <c r="X352">
        <f t="shared" si="11"/>
        <v>0</v>
      </c>
      <c r="Z352" s="8"/>
      <c r="AA352">
        <f t="shared" si="12"/>
        <v>0</v>
      </c>
      <c r="AB352">
        <f t="shared" si="13"/>
        <v>0</v>
      </c>
      <c r="AC352">
        <f t="shared" si="14"/>
        <v>0</v>
      </c>
    </row>
    <row r="353">
      <c r="O353" s="8"/>
      <c r="P353">
        <f t="shared" ref="P353:R353" si="607">B353+P354</f>
        <v>0</v>
      </c>
      <c r="Q353">
        <f t="shared" si="607"/>
        <v>0</v>
      </c>
      <c r="R353">
        <f t="shared" si="607"/>
        <v>0</v>
      </c>
      <c r="S353">
        <f t="shared" si="265"/>
        <v>0</v>
      </c>
      <c r="U353" s="8"/>
      <c r="V353">
        <f t="shared" si="9"/>
        <v>0</v>
      </c>
      <c r="W353">
        <f t="shared" si="10"/>
        <v>0</v>
      </c>
      <c r="X353">
        <f t="shared" si="11"/>
        <v>0</v>
      </c>
      <c r="Z353" s="8"/>
      <c r="AA353">
        <f t="shared" si="12"/>
        <v>0</v>
      </c>
      <c r="AB353">
        <f t="shared" si="13"/>
        <v>0</v>
      </c>
      <c r="AC353">
        <f t="shared" si="14"/>
        <v>0</v>
      </c>
    </row>
    <row r="354">
      <c r="O354" s="8"/>
      <c r="P354">
        <f t="shared" ref="P354:R354" si="608">B354+P355</f>
        <v>0</v>
      </c>
      <c r="Q354">
        <f t="shared" si="608"/>
        <v>0</v>
      </c>
      <c r="R354">
        <f t="shared" si="608"/>
        <v>0</v>
      </c>
      <c r="S354">
        <f t="shared" si="265"/>
        <v>0</v>
      </c>
      <c r="U354" s="8"/>
      <c r="V354">
        <f t="shared" si="9"/>
        <v>0</v>
      </c>
      <c r="W354">
        <f t="shared" si="10"/>
        <v>0</v>
      </c>
      <c r="X354">
        <f t="shared" si="11"/>
        <v>0</v>
      </c>
      <c r="Z354" s="8"/>
      <c r="AA354">
        <f t="shared" si="12"/>
        <v>0</v>
      </c>
      <c r="AB354">
        <f t="shared" si="13"/>
        <v>0</v>
      </c>
      <c r="AC354">
        <f t="shared" si="14"/>
        <v>0</v>
      </c>
    </row>
    <row r="355">
      <c r="O355" s="8"/>
      <c r="P355">
        <f t="shared" ref="P355:R355" si="609">B355+P356</f>
        <v>0</v>
      </c>
      <c r="Q355">
        <f t="shared" si="609"/>
        <v>0</v>
      </c>
      <c r="R355">
        <f t="shared" si="609"/>
        <v>0</v>
      </c>
      <c r="S355">
        <f t="shared" si="265"/>
        <v>0</v>
      </c>
      <c r="U355" s="8"/>
      <c r="V355">
        <f t="shared" si="9"/>
        <v>0</v>
      </c>
      <c r="W355">
        <f t="shared" si="10"/>
        <v>0</v>
      </c>
      <c r="X355">
        <f t="shared" si="11"/>
        <v>0</v>
      </c>
      <c r="Z355" s="8"/>
      <c r="AA355">
        <f t="shared" si="12"/>
        <v>0</v>
      </c>
      <c r="AB355">
        <f t="shared" si="13"/>
        <v>0</v>
      </c>
      <c r="AC355">
        <f t="shared" si="14"/>
        <v>0</v>
      </c>
    </row>
    <row r="356">
      <c r="O356" s="8"/>
      <c r="P356">
        <f t="shared" ref="P356:R356" si="610">B356+P357</f>
        <v>0</v>
      </c>
      <c r="Q356">
        <f t="shared" si="610"/>
        <v>0</v>
      </c>
      <c r="R356">
        <f t="shared" si="610"/>
        <v>0</v>
      </c>
      <c r="S356">
        <f t="shared" si="265"/>
        <v>0</v>
      </c>
      <c r="U356" s="8"/>
      <c r="V356">
        <f t="shared" si="9"/>
        <v>0</v>
      </c>
      <c r="W356">
        <f t="shared" si="10"/>
        <v>0</v>
      </c>
      <c r="X356">
        <f t="shared" si="11"/>
        <v>0</v>
      </c>
      <c r="Z356" s="8"/>
      <c r="AA356">
        <f t="shared" si="12"/>
        <v>0</v>
      </c>
      <c r="AB356">
        <f t="shared" si="13"/>
        <v>0</v>
      </c>
      <c r="AC356">
        <f t="shared" si="14"/>
        <v>0</v>
      </c>
    </row>
    <row r="357">
      <c r="O357" s="8"/>
      <c r="P357">
        <f t="shared" ref="P357:R357" si="611">B357+P358</f>
        <v>0</v>
      </c>
      <c r="Q357">
        <f t="shared" si="611"/>
        <v>0</v>
      </c>
      <c r="R357">
        <f t="shared" si="611"/>
        <v>0</v>
      </c>
      <c r="S357">
        <f t="shared" si="265"/>
        <v>0</v>
      </c>
      <c r="U357" s="8"/>
      <c r="V357">
        <f t="shared" si="9"/>
        <v>0</v>
      </c>
      <c r="W357">
        <f t="shared" si="10"/>
        <v>0</v>
      </c>
      <c r="X357">
        <f t="shared" si="11"/>
        <v>0</v>
      </c>
      <c r="Z357" s="8"/>
      <c r="AA357">
        <f t="shared" si="12"/>
        <v>0</v>
      </c>
      <c r="AB357">
        <f t="shared" si="13"/>
        <v>0</v>
      </c>
      <c r="AC357">
        <f t="shared" si="14"/>
        <v>0</v>
      </c>
    </row>
    <row r="358">
      <c r="O358" s="8"/>
      <c r="P358">
        <f t="shared" ref="P358:R358" si="612">B358+P359</f>
        <v>0</v>
      </c>
      <c r="Q358">
        <f t="shared" si="612"/>
        <v>0</v>
      </c>
      <c r="R358">
        <f t="shared" si="612"/>
        <v>0</v>
      </c>
      <c r="S358">
        <f t="shared" si="265"/>
        <v>0</v>
      </c>
      <c r="U358" s="8"/>
      <c r="V358">
        <f t="shared" si="9"/>
        <v>0</v>
      </c>
      <c r="W358">
        <f t="shared" si="10"/>
        <v>0</v>
      </c>
      <c r="X358">
        <f t="shared" si="11"/>
        <v>0</v>
      </c>
      <c r="Z358" s="8"/>
      <c r="AA358">
        <f t="shared" si="12"/>
        <v>0</v>
      </c>
      <c r="AB358">
        <f t="shared" si="13"/>
        <v>0</v>
      </c>
      <c r="AC358">
        <f t="shared" si="14"/>
        <v>0</v>
      </c>
    </row>
    <row r="359">
      <c r="O359" s="8"/>
      <c r="P359">
        <f t="shared" ref="P359:R359" si="613">B359+P360</f>
        <v>0</v>
      </c>
      <c r="Q359">
        <f t="shared" si="613"/>
        <v>0</v>
      </c>
      <c r="R359">
        <f t="shared" si="613"/>
        <v>0</v>
      </c>
      <c r="S359">
        <f t="shared" si="265"/>
        <v>0</v>
      </c>
      <c r="U359" s="8"/>
      <c r="V359">
        <f t="shared" si="9"/>
        <v>0</v>
      </c>
      <c r="W359">
        <f t="shared" si="10"/>
        <v>0</v>
      </c>
      <c r="X359">
        <f t="shared" si="11"/>
        <v>0</v>
      </c>
      <c r="Z359" s="8"/>
      <c r="AA359">
        <f t="shared" si="12"/>
        <v>0</v>
      </c>
      <c r="AB359">
        <f t="shared" si="13"/>
        <v>0</v>
      </c>
      <c r="AC359">
        <f t="shared" si="14"/>
        <v>0</v>
      </c>
    </row>
    <row r="360">
      <c r="O360" s="8"/>
      <c r="P360">
        <f t="shared" ref="P360:R360" si="614">B360+P361</f>
        <v>0</v>
      </c>
      <c r="Q360">
        <f t="shared" si="614"/>
        <v>0</v>
      </c>
      <c r="R360">
        <f t="shared" si="614"/>
        <v>0</v>
      </c>
      <c r="S360">
        <f t="shared" si="265"/>
        <v>0</v>
      </c>
      <c r="U360" s="8"/>
      <c r="V360">
        <f t="shared" si="9"/>
        <v>0</v>
      </c>
      <c r="W360">
        <f t="shared" si="10"/>
        <v>0</v>
      </c>
      <c r="X360">
        <f t="shared" si="11"/>
        <v>0</v>
      </c>
      <c r="Z360" s="8"/>
      <c r="AA360">
        <f t="shared" si="12"/>
        <v>0</v>
      </c>
      <c r="AB360">
        <f t="shared" si="13"/>
        <v>0</v>
      </c>
      <c r="AC360">
        <f t="shared" si="14"/>
        <v>0</v>
      </c>
    </row>
    <row r="361">
      <c r="O361" s="8"/>
      <c r="P361">
        <f t="shared" ref="P361:R361" si="615">B361+P362</f>
        <v>0</v>
      </c>
      <c r="Q361">
        <f t="shared" si="615"/>
        <v>0</v>
      </c>
      <c r="R361">
        <f t="shared" si="615"/>
        <v>0</v>
      </c>
      <c r="S361">
        <f t="shared" si="265"/>
        <v>0</v>
      </c>
      <c r="U361" s="8"/>
      <c r="V361">
        <f t="shared" si="9"/>
        <v>0</v>
      </c>
      <c r="W361">
        <f t="shared" si="10"/>
        <v>0</v>
      </c>
      <c r="X361">
        <f t="shared" si="11"/>
        <v>0</v>
      </c>
      <c r="Z361" s="8"/>
      <c r="AA361">
        <f t="shared" si="12"/>
        <v>0</v>
      </c>
      <c r="AB361">
        <f t="shared" si="13"/>
        <v>0</v>
      </c>
      <c r="AC361">
        <f t="shared" si="14"/>
        <v>0</v>
      </c>
    </row>
    <row r="362">
      <c r="O362" s="8"/>
      <c r="P362">
        <f t="shared" ref="P362:R362" si="616">B362+P363</f>
        <v>0</v>
      </c>
      <c r="Q362">
        <f t="shared" si="616"/>
        <v>0</v>
      </c>
      <c r="R362">
        <f t="shared" si="616"/>
        <v>0</v>
      </c>
      <c r="S362">
        <f t="shared" si="265"/>
        <v>0</v>
      </c>
      <c r="U362" s="8"/>
      <c r="V362">
        <f t="shared" si="9"/>
        <v>0</v>
      </c>
      <c r="W362">
        <f t="shared" si="10"/>
        <v>0</v>
      </c>
      <c r="X362">
        <f t="shared" si="11"/>
        <v>0</v>
      </c>
      <c r="Z362" s="8"/>
      <c r="AA362">
        <f t="shared" si="12"/>
        <v>0</v>
      </c>
      <c r="AB362">
        <f t="shared" si="13"/>
        <v>0</v>
      </c>
      <c r="AC362">
        <f t="shared" si="14"/>
        <v>0</v>
      </c>
    </row>
    <row r="363">
      <c r="O363" s="8"/>
      <c r="P363">
        <f t="shared" ref="P363:R363" si="617">B363+P364</f>
        <v>0</v>
      </c>
      <c r="Q363">
        <f t="shared" si="617"/>
        <v>0</v>
      </c>
      <c r="R363">
        <f t="shared" si="617"/>
        <v>0</v>
      </c>
      <c r="S363">
        <f t="shared" si="265"/>
        <v>0</v>
      </c>
      <c r="U363" s="8"/>
      <c r="V363">
        <f t="shared" si="9"/>
        <v>0</v>
      </c>
      <c r="W363">
        <f t="shared" si="10"/>
        <v>0</v>
      </c>
      <c r="X363">
        <f t="shared" si="11"/>
        <v>0</v>
      </c>
      <c r="Z363" s="8"/>
      <c r="AA363">
        <f t="shared" si="12"/>
        <v>0</v>
      </c>
      <c r="AB363">
        <f t="shared" si="13"/>
        <v>0</v>
      </c>
      <c r="AC363">
        <f t="shared" si="14"/>
        <v>0</v>
      </c>
    </row>
    <row r="364">
      <c r="O364" s="8"/>
      <c r="P364">
        <f t="shared" ref="P364:R364" si="618">B364+P365</f>
        <v>0</v>
      </c>
      <c r="Q364">
        <f t="shared" si="618"/>
        <v>0</v>
      </c>
      <c r="R364">
        <f t="shared" si="618"/>
        <v>0</v>
      </c>
      <c r="S364">
        <f t="shared" si="265"/>
        <v>0</v>
      </c>
      <c r="U364" s="8"/>
      <c r="V364">
        <f t="shared" si="9"/>
        <v>0</v>
      </c>
      <c r="W364">
        <f t="shared" si="10"/>
        <v>0</v>
      </c>
      <c r="X364">
        <f t="shared" si="11"/>
        <v>0</v>
      </c>
      <c r="Z364" s="8"/>
      <c r="AA364">
        <f t="shared" si="12"/>
        <v>0</v>
      </c>
      <c r="AB364">
        <f t="shared" si="13"/>
        <v>0</v>
      </c>
      <c r="AC364">
        <f t="shared" si="14"/>
        <v>0</v>
      </c>
    </row>
    <row r="365">
      <c r="O365" s="8"/>
      <c r="P365">
        <f t="shared" ref="P365:R365" si="619">B365+P366</f>
        <v>0</v>
      </c>
      <c r="Q365">
        <f t="shared" si="619"/>
        <v>0</v>
      </c>
      <c r="R365">
        <f t="shared" si="619"/>
        <v>0</v>
      </c>
      <c r="S365">
        <f t="shared" si="265"/>
        <v>0</v>
      </c>
      <c r="U365" s="8"/>
      <c r="V365">
        <f t="shared" si="9"/>
        <v>0</v>
      </c>
      <c r="W365">
        <f t="shared" si="10"/>
        <v>0</v>
      </c>
      <c r="X365">
        <f t="shared" si="11"/>
        <v>0</v>
      </c>
      <c r="Z365" s="8"/>
      <c r="AA365">
        <f t="shared" si="12"/>
        <v>0</v>
      </c>
      <c r="AB365">
        <f t="shared" si="13"/>
        <v>0</v>
      </c>
      <c r="AC365">
        <f t="shared" si="14"/>
        <v>0</v>
      </c>
    </row>
    <row r="366">
      <c r="O366" s="8"/>
      <c r="P366">
        <f t="shared" ref="P366:R366" si="620">B366+P367</f>
        <v>0</v>
      </c>
      <c r="Q366">
        <f t="shared" si="620"/>
        <v>0</v>
      </c>
      <c r="R366">
        <f t="shared" si="620"/>
        <v>0</v>
      </c>
      <c r="S366">
        <f t="shared" si="265"/>
        <v>0</v>
      </c>
      <c r="U366" s="8"/>
      <c r="V366">
        <f t="shared" si="9"/>
        <v>0</v>
      </c>
      <c r="W366">
        <f t="shared" si="10"/>
        <v>0</v>
      </c>
      <c r="X366">
        <f t="shared" si="11"/>
        <v>0</v>
      </c>
      <c r="Z366" s="8"/>
      <c r="AA366">
        <f t="shared" si="12"/>
        <v>0</v>
      </c>
      <c r="AB366">
        <f t="shared" si="13"/>
        <v>0</v>
      </c>
      <c r="AC366">
        <f t="shared" si="14"/>
        <v>0</v>
      </c>
    </row>
    <row r="367">
      <c r="O367" s="8"/>
      <c r="P367">
        <f t="shared" ref="P367:R367" si="621">B367+P368</f>
        <v>0</v>
      </c>
      <c r="Q367">
        <f t="shared" si="621"/>
        <v>0</v>
      </c>
      <c r="R367">
        <f t="shared" si="621"/>
        <v>0</v>
      </c>
      <c r="S367">
        <f t="shared" si="265"/>
        <v>0</v>
      </c>
      <c r="U367" s="8"/>
      <c r="V367">
        <f t="shared" si="9"/>
        <v>0</v>
      </c>
      <c r="W367">
        <f t="shared" si="10"/>
        <v>0</v>
      </c>
      <c r="X367">
        <f t="shared" si="11"/>
        <v>0</v>
      </c>
      <c r="Z367" s="8"/>
      <c r="AA367">
        <f t="shared" si="12"/>
        <v>0</v>
      </c>
      <c r="AB367">
        <f t="shared" si="13"/>
        <v>0</v>
      </c>
      <c r="AC367">
        <f t="shared" si="14"/>
        <v>0</v>
      </c>
    </row>
    <row r="368">
      <c r="O368" s="8"/>
      <c r="P368">
        <f t="shared" ref="P368:R368" si="622">B368+P369</f>
        <v>0</v>
      </c>
      <c r="Q368">
        <f t="shared" si="622"/>
        <v>0</v>
      </c>
      <c r="R368">
        <f t="shared" si="622"/>
        <v>0</v>
      </c>
      <c r="S368">
        <f t="shared" si="265"/>
        <v>0</v>
      </c>
      <c r="U368" s="8"/>
      <c r="V368">
        <f t="shared" si="9"/>
        <v>0</v>
      </c>
      <c r="W368">
        <f t="shared" si="10"/>
        <v>0</v>
      </c>
      <c r="X368">
        <f t="shared" si="11"/>
        <v>0</v>
      </c>
      <c r="Z368" s="8"/>
      <c r="AA368">
        <f t="shared" si="12"/>
        <v>0</v>
      </c>
      <c r="AB368">
        <f t="shared" si="13"/>
        <v>0</v>
      </c>
      <c r="AC368">
        <f t="shared" si="14"/>
        <v>0</v>
      </c>
    </row>
    <row r="369">
      <c r="O369" s="8"/>
      <c r="P369">
        <f t="shared" ref="P369:R369" si="623">B369+P370</f>
        <v>0</v>
      </c>
      <c r="Q369">
        <f t="shared" si="623"/>
        <v>0</v>
      </c>
      <c r="R369">
        <f t="shared" si="623"/>
        <v>0</v>
      </c>
      <c r="S369">
        <f t="shared" si="265"/>
        <v>0</v>
      </c>
      <c r="U369" s="8"/>
      <c r="V369">
        <f t="shared" si="9"/>
        <v>0</v>
      </c>
      <c r="W369">
        <f t="shared" si="10"/>
        <v>0</v>
      </c>
      <c r="X369">
        <f t="shared" si="11"/>
        <v>0</v>
      </c>
      <c r="Z369" s="8"/>
      <c r="AA369">
        <f t="shared" si="12"/>
        <v>0</v>
      </c>
      <c r="AB369">
        <f t="shared" si="13"/>
        <v>0</v>
      </c>
      <c r="AC369">
        <f t="shared" si="14"/>
        <v>0</v>
      </c>
    </row>
    <row r="370">
      <c r="O370" s="8"/>
      <c r="P370">
        <f t="shared" ref="P370:R370" si="624">B370+P371</f>
        <v>0</v>
      </c>
      <c r="Q370">
        <f t="shared" si="624"/>
        <v>0</v>
      </c>
      <c r="R370">
        <f t="shared" si="624"/>
        <v>0</v>
      </c>
      <c r="S370">
        <f t="shared" si="265"/>
        <v>0</v>
      </c>
      <c r="U370" s="8"/>
      <c r="V370">
        <f t="shared" si="9"/>
        <v>0</v>
      </c>
      <c r="W370">
        <f t="shared" si="10"/>
        <v>0</v>
      </c>
      <c r="X370">
        <f t="shared" si="11"/>
        <v>0</v>
      </c>
      <c r="Z370" s="8"/>
      <c r="AA370">
        <f t="shared" si="12"/>
        <v>0</v>
      </c>
      <c r="AB370">
        <f t="shared" si="13"/>
        <v>0</v>
      </c>
      <c r="AC370">
        <f t="shared" si="14"/>
        <v>0</v>
      </c>
    </row>
    <row r="371">
      <c r="O371" s="8"/>
      <c r="P371">
        <f t="shared" ref="P371:R371" si="625">B371+P372</f>
        <v>0</v>
      </c>
      <c r="Q371">
        <f t="shared" si="625"/>
        <v>0</v>
      </c>
      <c r="R371">
        <f t="shared" si="625"/>
        <v>0</v>
      </c>
      <c r="S371">
        <f t="shared" si="265"/>
        <v>0</v>
      </c>
      <c r="U371" s="8"/>
      <c r="V371">
        <f t="shared" si="9"/>
        <v>0</v>
      </c>
      <c r="W371">
        <f t="shared" si="10"/>
        <v>0</v>
      </c>
      <c r="X371">
        <f t="shared" si="11"/>
        <v>0</v>
      </c>
      <c r="Z371" s="8"/>
      <c r="AA371">
        <f t="shared" si="12"/>
        <v>0</v>
      </c>
      <c r="AB371">
        <f t="shared" si="13"/>
        <v>0</v>
      </c>
      <c r="AC371">
        <f t="shared" si="14"/>
        <v>0</v>
      </c>
    </row>
    <row r="372">
      <c r="O372" s="8"/>
      <c r="P372">
        <f t="shared" ref="P372:R372" si="626">B372+P373</f>
        <v>0</v>
      </c>
      <c r="Q372">
        <f t="shared" si="626"/>
        <v>0</v>
      </c>
      <c r="R372">
        <f t="shared" si="626"/>
        <v>0</v>
      </c>
      <c r="S372">
        <f t="shared" si="265"/>
        <v>0</v>
      </c>
      <c r="U372" s="8"/>
      <c r="V372">
        <f t="shared" si="9"/>
        <v>0</v>
      </c>
      <c r="W372">
        <f t="shared" si="10"/>
        <v>0</v>
      </c>
      <c r="X372">
        <f t="shared" si="11"/>
        <v>0</v>
      </c>
      <c r="Z372" s="8"/>
      <c r="AA372">
        <f t="shared" si="12"/>
        <v>0</v>
      </c>
      <c r="AB372">
        <f t="shared" si="13"/>
        <v>0</v>
      </c>
      <c r="AC372">
        <f t="shared" si="14"/>
        <v>0</v>
      </c>
    </row>
    <row r="373">
      <c r="O373" s="8"/>
      <c r="P373">
        <f t="shared" ref="P373:R373" si="627">B373+P374</f>
        <v>0</v>
      </c>
      <c r="Q373">
        <f t="shared" si="627"/>
        <v>0</v>
      </c>
      <c r="R373">
        <f t="shared" si="627"/>
        <v>0</v>
      </c>
      <c r="S373">
        <f t="shared" si="265"/>
        <v>0</v>
      </c>
      <c r="U373" s="8"/>
      <c r="V373">
        <f t="shared" si="9"/>
        <v>0</v>
      </c>
      <c r="W373">
        <f t="shared" si="10"/>
        <v>0</v>
      </c>
      <c r="X373">
        <f t="shared" si="11"/>
        <v>0</v>
      </c>
      <c r="Z373" s="8"/>
      <c r="AA373">
        <f t="shared" si="12"/>
        <v>0</v>
      </c>
      <c r="AB373">
        <f t="shared" si="13"/>
        <v>0</v>
      </c>
      <c r="AC373">
        <f t="shared" si="14"/>
        <v>0</v>
      </c>
    </row>
    <row r="374">
      <c r="O374" s="8"/>
      <c r="P374">
        <f t="shared" ref="P374:R374" si="628">B374+P375</f>
        <v>0</v>
      </c>
      <c r="Q374">
        <f t="shared" si="628"/>
        <v>0</v>
      </c>
      <c r="R374">
        <f t="shared" si="628"/>
        <v>0</v>
      </c>
      <c r="S374">
        <f t="shared" si="265"/>
        <v>0</v>
      </c>
      <c r="U374" s="8"/>
      <c r="V374">
        <f t="shared" si="9"/>
        <v>0</v>
      </c>
      <c r="W374">
        <f t="shared" si="10"/>
        <v>0</v>
      </c>
      <c r="X374">
        <f t="shared" si="11"/>
        <v>0</v>
      </c>
      <c r="Z374" s="8"/>
      <c r="AA374">
        <f t="shared" si="12"/>
        <v>0</v>
      </c>
      <c r="AB374">
        <f t="shared" si="13"/>
        <v>0</v>
      </c>
      <c r="AC374">
        <f t="shared" si="14"/>
        <v>0</v>
      </c>
    </row>
    <row r="375">
      <c r="O375" s="8"/>
      <c r="P375">
        <f t="shared" ref="P375:R375" si="629">B375+P376</f>
        <v>0</v>
      </c>
      <c r="Q375">
        <f t="shared" si="629"/>
        <v>0</v>
      </c>
      <c r="R375">
        <f t="shared" si="629"/>
        <v>0</v>
      </c>
      <c r="S375">
        <f t="shared" si="265"/>
        <v>0</v>
      </c>
      <c r="U375" s="8"/>
      <c r="V375">
        <f t="shared" si="9"/>
        <v>0</v>
      </c>
      <c r="W375">
        <f t="shared" si="10"/>
        <v>0</v>
      </c>
      <c r="X375">
        <f t="shared" si="11"/>
        <v>0</v>
      </c>
      <c r="Z375" s="8"/>
      <c r="AA375">
        <f t="shared" si="12"/>
        <v>0</v>
      </c>
      <c r="AB375">
        <f t="shared" si="13"/>
        <v>0</v>
      </c>
      <c r="AC375">
        <f t="shared" si="14"/>
        <v>0</v>
      </c>
    </row>
    <row r="376">
      <c r="O376" s="8"/>
      <c r="P376">
        <f t="shared" ref="P376:R376" si="630">B376+P377</f>
        <v>0</v>
      </c>
      <c r="Q376">
        <f t="shared" si="630"/>
        <v>0</v>
      </c>
      <c r="R376">
        <f t="shared" si="630"/>
        <v>0</v>
      </c>
      <c r="S376">
        <f t="shared" si="265"/>
        <v>0</v>
      </c>
      <c r="U376" s="8"/>
      <c r="V376">
        <f t="shared" si="9"/>
        <v>0</v>
      </c>
      <c r="W376">
        <f t="shared" si="10"/>
        <v>0</v>
      </c>
      <c r="X376">
        <f t="shared" si="11"/>
        <v>0</v>
      </c>
      <c r="Z376" s="8"/>
      <c r="AA376">
        <f t="shared" si="12"/>
        <v>0</v>
      </c>
      <c r="AB376">
        <f t="shared" si="13"/>
        <v>0</v>
      </c>
      <c r="AC376">
        <f t="shared" si="14"/>
        <v>0</v>
      </c>
    </row>
    <row r="377">
      <c r="O377" s="8"/>
      <c r="P377">
        <f t="shared" ref="P377:R377" si="631">B377+P378</f>
        <v>0</v>
      </c>
      <c r="Q377">
        <f t="shared" si="631"/>
        <v>0</v>
      </c>
      <c r="R377">
        <f t="shared" si="631"/>
        <v>0</v>
      </c>
      <c r="S377">
        <f t="shared" si="265"/>
        <v>0</v>
      </c>
      <c r="U377" s="8"/>
      <c r="V377">
        <f t="shared" si="9"/>
        <v>0</v>
      </c>
      <c r="W377">
        <f t="shared" si="10"/>
        <v>0</v>
      </c>
      <c r="X377">
        <f t="shared" si="11"/>
        <v>0</v>
      </c>
      <c r="Z377" s="8"/>
      <c r="AA377">
        <f t="shared" si="12"/>
        <v>0</v>
      </c>
      <c r="AB377">
        <f t="shared" si="13"/>
        <v>0</v>
      </c>
      <c r="AC377">
        <f t="shared" si="14"/>
        <v>0</v>
      </c>
    </row>
    <row r="378">
      <c r="O378" s="8"/>
      <c r="P378">
        <f t="shared" ref="P378:R378" si="632">B378+P379</f>
        <v>0</v>
      </c>
      <c r="Q378">
        <f t="shared" si="632"/>
        <v>0</v>
      </c>
      <c r="R378">
        <f t="shared" si="632"/>
        <v>0</v>
      </c>
      <c r="S378">
        <f t="shared" si="265"/>
        <v>0</v>
      </c>
      <c r="U378" s="8"/>
      <c r="V378">
        <f t="shared" si="9"/>
        <v>0</v>
      </c>
      <c r="W378">
        <f t="shared" si="10"/>
        <v>0</v>
      </c>
      <c r="X378">
        <f t="shared" si="11"/>
        <v>0</v>
      </c>
      <c r="Z378" s="8"/>
      <c r="AA378">
        <f t="shared" si="12"/>
        <v>0</v>
      </c>
      <c r="AB378">
        <f t="shared" si="13"/>
        <v>0</v>
      </c>
      <c r="AC378">
        <f t="shared" si="14"/>
        <v>0</v>
      </c>
    </row>
    <row r="379">
      <c r="O379" s="8"/>
      <c r="P379">
        <f t="shared" ref="P379:R379" si="633">B379+P380</f>
        <v>0</v>
      </c>
      <c r="Q379">
        <f t="shared" si="633"/>
        <v>0</v>
      </c>
      <c r="R379">
        <f t="shared" si="633"/>
        <v>0</v>
      </c>
      <c r="S379">
        <f t="shared" si="265"/>
        <v>0</v>
      </c>
      <c r="U379" s="8"/>
      <c r="V379">
        <f t="shared" si="9"/>
        <v>0</v>
      </c>
      <c r="W379">
        <f t="shared" si="10"/>
        <v>0</v>
      </c>
      <c r="X379">
        <f t="shared" si="11"/>
        <v>0</v>
      </c>
      <c r="Z379" s="8"/>
      <c r="AA379">
        <f t="shared" si="12"/>
        <v>0</v>
      </c>
      <c r="AB379">
        <f t="shared" si="13"/>
        <v>0</v>
      </c>
      <c r="AC379">
        <f t="shared" si="14"/>
        <v>0</v>
      </c>
    </row>
    <row r="380">
      <c r="O380" s="8"/>
      <c r="P380">
        <f t="shared" ref="P380:R380" si="634">B380+P381</f>
        <v>0</v>
      </c>
      <c r="Q380">
        <f t="shared" si="634"/>
        <v>0</v>
      </c>
      <c r="R380">
        <f t="shared" si="634"/>
        <v>0</v>
      </c>
      <c r="S380">
        <f t="shared" si="265"/>
        <v>0</v>
      </c>
      <c r="U380" s="8"/>
      <c r="V380">
        <f t="shared" si="9"/>
        <v>0</v>
      </c>
      <c r="W380">
        <f t="shared" si="10"/>
        <v>0</v>
      </c>
      <c r="X380">
        <f t="shared" si="11"/>
        <v>0</v>
      </c>
      <c r="Z380" s="8"/>
      <c r="AA380">
        <f t="shared" si="12"/>
        <v>0</v>
      </c>
      <c r="AB380">
        <f t="shared" si="13"/>
        <v>0</v>
      </c>
      <c r="AC380">
        <f t="shared" si="14"/>
        <v>0</v>
      </c>
    </row>
    <row r="381">
      <c r="O381" s="8"/>
      <c r="P381">
        <f t="shared" ref="P381:R381" si="635">B381+P382</f>
        <v>0</v>
      </c>
      <c r="Q381">
        <f t="shared" si="635"/>
        <v>0</v>
      </c>
      <c r="R381">
        <f t="shared" si="635"/>
        <v>0</v>
      </c>
      <c r="S381">
        <f t="shared" si="265"/>
        <v>0</v>
      </c>
      <c r="U381" s="8"/>
      <c r="V381">
        <f t="shared" si="9"/>
        <v>0</v>
      </c>
      <c r="W381">
        <f t="shared" si="10"/>
        <v>0</v>
      </c>
      <c r="X381">
        <f t="shared" si="11"/>
        <v>0</v>
      </c>
      <c r="Z381" s="8"/>
      <c r="AA381">
        <f t="shared" si="12"/>
        <v>0</v>
      </c>
      <c r="AB381">
        <f t="shared" si="13"/>
        <v>0</v>
      </c>
      <c r="AC381">
        <f t="shared" si="14"/>
        <v>0</v>
      </c>
    </row>
    <row r="382">
      <c r="O382" s="8"/>
      <c r="P382">
        <f t="shared" ref="P382:R382" si="636">B382+P383</f>
        <v>0</v>
      </c>
      <c r="Q382">
        <f t="shared" si="636"/>
        <v>0</v>
      </c>
      <c r="R382">
        <f t="shared" si="636"/>
        <v>0</v>
      </c>
      <c r="S382">
        <f t="shared" si="265"/>
        <v>0</v>
      </c>
      <c r="U382" s="8"/>
      <c r="V382">
        <f t="shared" si="9"/>
        <v>0</v>
      </c>
      <c r="W382">
        <f t="shared" si="10"/>
        <v>0</v>
      </c>
      <c r="X382">
        <f t="shared" si="11"/>
        <v>0</v>
      </c>
      <c r="Z382" s="8"/>
      <c r="AA382">
        <f t="shared" si="12"/>
        <v>0</v>
      </c>
      <c r="AB382">
        <f t="shared" si="13"/>
        <v>0</v>
      </c>
      <c r="AC382">
        <f t="shared" si="14"/>
        <v>0</v>
      </c>
    </row>
    <row r="383">
      <c r="O383" s="8"/>
      <c r="P383">
        <f t="shared" ref="P383:R383" si="637">B383+P384</f>
        <v>0</v>
      </c>
      <c r="Q383">
        <f t="shared" si="637"/>
        <v>0</v>
      </c>
      <c r="R383">
        <f t="shared" si="637"/>
        <v>0</v>
      </c>
      <c r="S383">
        <f t="shared" si="265"/>
        <v>0</v>
      </c>
      <c r="U383" s="8"/>
      <c r="V383">
        <f t="shared" si="9"/>
        <v>0</v>
      </c>
      <c r="W383">
        <f t="shared" si="10"/>
        <v>0</v>
      </c>
      <c r="X383">
        <f t="shared" si="11"/>
        <v>0</v>
      </c>
      <c r="Z383" s="8"/>
      <c r="AA383">
        <f t="shared" si="12"/>
        <v>0</v>
      </c>
      <c r="AB383">
        <f t="shared" si="13"/>
        <v>0</v>
      </c>
      <c r="AC383">
        <f t="shared" si="14"/>
        <v>0</v>
      </c>
    </row>
    <row r="384">
      <c r="O384" s="8"/>
      <c r="P384">
        <f t="shared" ref="P384:R384" si="638">B384+P385</f>
        <v>0</v>
      </c>
      <c r="Q384">
        <f t="shared" si="638"/>
        <v>0</v>
      </c>
      <c r="R384">
        <f t="shared" si="638"/>
        <v>0</v>
      </c>
      <c r="S384">
        <f t="shared" si="265"/>
        <v>0</v>
      </c>
      <c r="U384" s="8"/>
      <c r="V384">
        <f t="shared" si="9"/>
        <v>0</v>
      </c>
      <c r="W384">
        <f t="shared" si="10"/>
        <v>0</v>
      </c>
      <c r="X384">
        <f t="shared" si="11"/>
        <v>0</v>
      </c>
      <c r="Z384" s="8"/>
      <c r="AA384">
        <f t="shared" si="12"/>
        <v>0</v>
      </c>
      <c r="AB384">
        <f t="shared" si="13"/>
        <v>0</v>
      </c>
      <c r="AC384">
        <f t="shared" si="14"/>
        <v>0</v>
      </c>
    </row>
    <row r="385">
      <c r="O385" s="8"/>
      <c r="P385">
        <f t="shared" ref="P385:R385" si="639">B385+P386</f>
        <v>0</v>
      </c>
      <c r="Q385">
        <f t="shared" si="639"/>
        <v>0</v>
      </c>
      <c r="R385">
        <f t="shared" si="639"/>
        <v>0</v>
      </c>
      <c r="S385">
        <f t="shared" si="265"/>
        <v>0</v>
      </c>
      <c r="U385" s="8"/>
      <c r="V385">
        <f t="shared" si="9"/>
        <v>0</v>
      </c>
      <c r="W385">
        <f t="shared" si="10"/>
        <v>0</v>
      </c>
      <c r="X385">
        <f t="shared" si="11"/>
        <v>0</v>
      </c>
      <c r="Z385" s="8"/>
      <c r="AA385">
        <f t="shared" si="12"/>
        <v>0</v>
      </c>
      <c r="AB385">
        <f t="shared" si="13"/>
        <v>0</v>
      </c>
      <c r="AC385">
        <f t="shared" si="14"/>
        <v>0</v>
      </c>
    </row>
    <row r="386">
      <c r="O386" s="8"/>
      <c r="P386">
        <f t="shared" ref="P386:R386" si="640">B386+P387</f>
        <v>0</v>
      </c>
      <c r="Q386">
        <f t="shared" si="640"/>
        <v>0</v>
      </c>
      <c r="R386">
        <f t="shared" si="640"/>
        <v>0</v>
      </c>
      <c r="S386">
        <f t="shared" si="265"/>
        <v>0</v>
      </c>
      <c r="U386" s="8"/>
      <c r="V386">
        <f t="shared" si="9"/>
        <v>0</v>
      </c>
      <c r="W386">
        <f t="shared" si="10"/>
        <v>0</v>
      </c>
      <c r="X386">
        <f t="shared" si="11"/>
        <v>0</v>
      </c>
      <c r="Z386" s="8"/>
      <c r="AA386">
        <f t="shared" si="12"/>
        <v>0</v>
      </c>
      <c r="AB386">
        <f t="shared" si="13"/>
        <v>0</v>
      </c>
      <c r="AC386">
        <f t="shared" si="14"/>
        <v>0</v>
      </c>
    </row>
    <row r="387">
      <c r="O387" s="8"/>
      <c r="P387">
        <f t="shared" ref="P387:R387" si="641">B387+P388</f>
        <v>0</v>
      </c>
      <c r="Q387">
        <f t="shared" si="641"/>
        <v>0</v>
      </c>
      <c r="R387">
        <f t="shared" si="641"/>
        <v>0</v>
      </c>
      <c r="S387">
        <f t="shared" si="265"/>
        <v>0</v>
      </c>
      <c r="U387" s="8"/>
      <c r="V387">
        <f t="shared" si="9"/>
        <v>0</v>
      </c>
      <c r="W387">
        <f t="shared" si="10"/>
        <v>0</v>
      </c>
      <c r="X387">
        <f t="shared" si="11"/>
        <v>0</v>
      </c>
      <c r="Z387" s="8"/>
      <c r="AA387">
        <f t="shared" si="12"/>
        <v>0</v>
      </c>
      <c r="AB387">
        <f t="shared" si="13"/>
        <v>0</v>
      </c>
      <c r="AC387">
        <f t="shared" si="14"/>
        <v>0</v>
      </c>
    </row>
    <row r="388">
      <c r="O388" s="8"/>
      <c r="P388">
        <f t="shared" ref="P388:R388" si="642">B388+P389</f>
        <v>0</v>
      </c>
      <c r="Q388">
        <f t="shared" si="642"/>
        <v>0</v>
      </c>
      <c r="R388">
        <f t="shared" si="642"/>
        <v>0</v>
      </c>
      <c r="S388">
        <f t="shared" si="265"/>
        <v>0</v>
      </c>
      <c r="U388" s="8"/>
      <c r="V388">
        <f t="shared" si="9"/>
        <v>0</v>
      </c>
      <c r="W388">
        <f t="shared" si="10"/>
        <v>0</v>
      </c>
      <c r="X388">
        <f t="shared" si="11"/>
        <v>0</v>
      </c>
      <c r="Z388" s="8"/>
      <c r="AA388">
        <f t="shared" si="12"/>
        <v>0</v>
      </c>
      <c r="AB388">
        <f t="shared" si="13"/>
        <v>0</v>
      </c>
      <c r="AC388">
        <f t="shared" si="14"/>
        <v>0</v>
      </c>
    </row>
    <row r="389">
      <c r="O389" s="8"/>
      <c r="P389">
        <f t="shared" ref="P389:R389" si="643">B389+P390</f>
        <v>0</v>
      </c>
      <c r="Q389">
        <f t="shared" si="643"/>
        <v>0</v>
      </c>
      <c r="R389">
        <f t="shared" si="643"/>
        <v>0</v>
      </c>
      <c r="S389">
        <f t="shared" si="265"/>
        <v>0</v>
      </c>
      <c r="U389" s="8"/>
      <c r="V389">
        <f t="shared" si="9"/>
        <v>0</v>
      </c>
      <c r="W389">
        <f t="shared" si="10"/>
        <v>0</v>
      </c>
      <c r="X389">
        <f t="shared" si="11"/>
        <v>0</v>
      </c>
      <c r="Z389" s="8"/>
      <c r="AA389">
        <f t="shared" si="12"/>
        <v>0</v>
      </c>
      <c r="AB389">
        <f t="shared" si="13"/>
        <v>0</v>
      </c>
      <c r="AC389">
        <f t="shared" si="14"/>
        <v>0</v>
      </c>
    </row>
    <row r="390">
      <c r="O390" s="8"/>
      <c r="P390">
        <f t="shared" ref="P390:R390" si="644">B390+P391</f>
        <v>0</v>
      </c>
      <c r="Q390">
        <f t="shared" si="644"/>
        <v>0</v>
      </c>
      <c r="R390">
        <f t="shared" si="644"/>
        <v>0</v>
      </c>
      <c r="S390">
        <f t="shared" si="265"/>
        <v>0</v>
      </c>
      <c r="U390" s="8"/>
      <c r="V390">
        <f t="shared" si="9"/>
        <v>0</v>
      </c>
      <c r="W390">
        <f t="shared" si="10"/>
        <v>0</v>
      </c>
      <c r="X390">
        <f t="shared" si="11"/>
        <v>0</v>
      </c>
      <c r="Z390" s="8"/>
      <c r="AA390">
        <f t="shared" si="12"/>
        <v>0</v>
      </c>
      <c r="AB390">
        <f t="shared" si="13"/>
        <v>0</v>
      </c>
      <c r="AC390">
        <f t="shared" si="14"/>
        <v>0</v>
      </c>
    </row>
    <row r="391">
      <c r="O391" s="8"/>
      <c r="P391">
        <f t="shared" ref="P391:R391" si="645">B391+P392</f>
        <v>0</v>
      </c>
      <c r="Q391">
        <f t="shared" si="645"/>
        <v>0</v>
      </c>
      <c r="R391">
        <f t="shared" si="645"/>
        <v>0</v>
      </c>
      <c r="S391">
        <f t="shared" si="265"/>
        <v>0</v>
      </c>
      <c r="U391" s="8"/>
      <c r="V391">
        <f t="shared" si="9"/>
        <v>0</v>
      </c>
      <c r="W391">
        <f t="shared" si="10"/>
        <v>0</v>
      </c>
      <c r="X391">
        <f t="shared" si="11"/>
        <v>0</v>
      </c>
      <c r="Z391" s="8"/>
      <c r="AA391">
        <f t="shared" si="12"/>
        <v>0</v>
      </c>
      <c r="AB391">
        <f t="shared" si="13"/>
        <v>0</v>
      </c>
      <c r="AC391">
        <f t="shared" si="14"/>
        <v>0</v>
      </c>
    </row>
    <row r="392">
      <c r="O392" s="8"/>
      <c r="P392">
        <f t="shared" ref="P392:R392" si="646">B392+P393</f>
        <v>0</v>
      </c>
      <c r="Q392">
        <f t="shared" si="646"/>
        <v>0</v>
      </c>
      <c r="R392">
        <f t="shared" si="646"/>
        <v>0</v>
      </c>
      <c r="S392">
        <f t="shared" si="265"/>
        <v>0</v>
      </c>
      <c r="U392" s="8"/>
      <c r="V392">
        <f t="shared" si="9"/>
        <v>0</v>
      </c>
      <c r="W392">
        <f t="shared" si="10"/>
        <v>0</v>
      </c>
      <c r="X392">
        <f t="shared" si="11"/>
        <v>0</v>
      </c>
      <c r="Z392" s="8"/>
      <c r="AA392">
        <f t="shared" si="12"/>
        <v>0</v>
      </c>
      <c r="AB392">
        <f t="shared" si="13"/>
        <v>0</v>
      </c>
      <c r="AC392">
        <f t="shared" si="14"/>
        <v>0</v>
      </c>
    </row>
    <row r="393">
      <c r="O393" s="8"/>
      <c r="P393">
        <f t="shared" ref="P393:R393" si="647">B393+P394</f>
        <v>0</v>
      </c>
      <c r="Q393">
        <f t="shared" si="647"/>
        <v>0</v>
      </c>
      <c r="R393">
        <f t="shared" si="647"/>
        <v>0</v>
      </c>
      <c r="S393">
        <f t="shared" si="265"/>
        <v>0</v>
      </c>
      <c r="U393" s="8"/>
      <c r="V393">
        <f t="shared" si="9"/>
        <v>0</v>
      </c>
      <c r="W393">
        <f t="shared" si="10"/>
        <v>0</v>
      </c>
      <c r="X393">
        <f t="shared" si="11"/>
        <v>0</v>
      </c>
      <c r="Z393" s="8"/>
      <c r="AA393">
        <f t="shared" si="12"/>
        <v>0</v>
      </c>
      <c r="AB393">
        <f t="shared" si="13"/>
        <v>0</v>
      </c>
      <c r="AC393">
        <f t="shared" si="14"/>
        <v>0</v>
      </c>
    </row>
    <row r="394">
      <c r="O394" s="8"/>
      <c r="P394">
        <f t="shared" ref="P394:R394" si="648">B394+P395</f>
        <v>0</v>
      </c>
      <c r="Q394">
        <f t="shared" si="648"/>
        <v>0</v>
      </c>
      <c r="R394">
        <f t="shared" si="648"/>
        <v>0</v>
      </c>
      <c r="S394">
        <f t="shared" si="265"/>
        <v>0</v>
      </c>
      <c r="U394" s="8"/>
      <c r="V394">
        <f t="shared" si="9"/>
        <v>0</v>
      </c>
      <c r="W394">
        <f t="shared" si="10"/>
        <v>0</v>
      </c>
      <c r="X394">
        <f t="shared" si="11"/>
        <v>0</v>
      </c>
      <c r="Z394" s="8"/>
      <c r="AA394">
        <f t="shared" si="12"/>
        <v>0</v>
      </c>
      <c r="AB394">
        <f t="shared" si="13"/>
        <v>0</v>
      </c>
      <c r="AC394">
        <f t="shared" si="14"/>
        <v>0</v>
      </c>
    </row>
    <row r="395">
      <c r="O395" s="8"/>
      <c r="P395">
        <f t="shared" ref="P395:R395" si="649">B395+P396</f>
        <v>0</v>
      </c>
      <c r="Q395">
        <f t="shared" si="649"/>
        <v>0</v>
      </c>
      <c r="R395">
        <f t="shared" si="649"/>
        <v>0</v>
      </c>
      <c r="S395">
        <f t="shared" si="265"/>
        <v>0</v>
      </c>
      <c r="U395" s="8"/>
      <c r="V395">
        <f t="shared" si="9"/>
        <v>0</v>
      </c>
      <c r="W395">
        <f t="shared" si="10"/>
        <v>0</v>
      </c>
      <c r="X395">
        <f t="shared" si="11"/>
        <v>0</v>
      </c>
      <c r="Z395" s="8"/>
      <c r="AA395">
        <f t="shared" si="12"/>
        <v>0</v>
      </c>
      <c r="AB395">
        <f t="shared" si="13"/>
        <v>0</v>
      </c>
      <c r="AC395">
        <f t="shared" si="14"/>
        <v>0</v>
      </c>
    </row>
    <row r="396">
      <c r="O396" s="8"/>
      <c r="P396">
        <f t="shared" ref="P396:R396" si="650">B396+P397</f>
        <v>0</v>
      </c>
      <c r="Q396">
        <f t="shared" si="650"/>
        <v>0</v>
      </c>
      <c r="R396">
        <f t="shared" si="650"/>
        <v>0</v>
      </c>
      <c r="S396">
        <f t="shared" si="265"/>
        <v>0</v>
      </c>
      <c r="U396" s="8"/>
      <c r="V396">
        <f t="shared" si="9"/>
        <v>0</v>
      </c>
      <c r="W396">
        <f t="shared" si="10"/>
        <v>0</v>
      </c>
      <c r="X396">
        <f t="shared" si="11"/>
        <v>0</v>
      </c>
      <c r="Z396" s="8"/>
      <c r="AA396">
        <f t="shared" si="12"/>
        <v>0</v>
      </c>
      <c r="AB396">
        <f t="shared" si="13"/>
        <v>0</v>
      </c>
      <c r="AC396">
        <f t="shared" si="14"/>
        <v>0</v>
      </c>
    </row>
    <row r="397">
      <c r="O397" s="8"/>
      <c r="P397">
        <f t="shared" ref="P397:R397" si="651">B397+P398</f>
        <v>0</v>
      </c>
      <c r="Q397">
        <f t="shared" si="651"/>
        <v>0</v>
      </c>
      <c r="R397">
        <f t="shared" si="651"/>
        <v>0</v>
      </c>
      <c r="S397">
        <f t="shared" si="265"/>
        <v>0</v>
      </c>
      <c r="U397" s="8"/>
      <c r="V397">
        <f t="shared" si="9"/>
        <v>0</v>
      </c>
      <c r="W397">
        <f t="shared" si="10"/>
        <v>0</v>
      </c>
      <c r="X397">
        <f t="shared" si="11"/>
        <v>0</v>
      </c>
      <c r="Z397" s="8"/>
      <c r="AA397">
        <f t="shared" si="12"/>
        <v>0</v>
      </c>
      <c r="AB397">
        <f t="shared" si="13"/>
        <v>0</v>
      </c>
      <c r="AC397">
        <f t="shared" si="14"/>
        <v>0</v>
      </c>
    </row>
    <row r="398">
      <c r="O398" s="8"/>
      <c r="P398">
        <f t="shared" ref="P398:R398" si="652">B398+P399</f>
        <v>0</v>
      </c>
      <c r="Q398">
        <f t="shared" si="652"/>
        <v>0</v>
      </c>
      <c r="R398">
        <f t="shared" si="652"/>
        <v>0</v>
      </c>
      <c r="S398">
        <f t="shared" si="265"/>
        <v>0</v>
      </c>
      <c r="U398" s="8"/>
      <c r="V398">
        <f t="shared" si="9"/>
        <v>0</v>
      </c>
      <c r="W398">
        <f t="shared" si="10"/>
        <v>0</v>
      </c>
      <c r="X398">
        <f t="shared" si="11"/>
        <v>0</v>
      </c>
      <c r="Z398" s="8"/>
      <c r="AA398">
        <f t="shared" si="12"/>
        <v>0</v>
      </c>
      <c r="AB398">
        <f t="shared" si="13"/>
        <v>0</v>
      </c>
      <c r="AC398">
        <f t="shared" si="14"/>
        <v>0</v>
      </c>
    </row>
    <row r="399">
      <c r="O399" s="8"/>
      <c r="P399">
        <f t="shared" ref="P399:R399" si="653">B399+P400</f>
        <v>0</v>
      </c>
      <c r="Q399">
        <f t="shared" si="653"/>
        <v>0</v>
      </c>
      <c r="R399">
        <f t="shared" si="653"/>
        <v>0</v>
      </c>
      <c r="S399">
        <f t="shared" si="265"/>
        <v>0</v>
      </c>
      <c r="U399" s="8"/>
      <c r="V399">
        <f t="shared" si="9"/>
        <v>0</v>
      </c>
      <c r="W399">
        <f t="shared" si="10"/>
        <v>0</v>
      </c>
      <c r="X399">
        <f t="shared" si="11"/>
        <v>0</v>
      </c>
      <c r="Z399" s="8"/>
      <c r="AA399">
        <f t="shared" si="12"/>
        <v>0</v>
      </c>
      <c r="AB399">
        <f t="shared" si="13"/>
        <v>0</v>
      </c>
      <c r="AC399">
        <f t="shared" si="14"/>
        <v>0</v>
      </c>
    </row>
    <row r="400">
      <c r="O400" s="8"/>
      <c r="P400">
        <f t="shared" ref="P400:R400" si="654">B400+P401</f>
        <v>0</v>
      </c>
      <c r="Q400">
        <f t="shared" si="654"/>
        <v>0</v>
      </c>
      <c r="R400">
        <f t="shared" si="654"/>
        <v>0</v>
      </c>
      <c r="S400">
        <f t="shared" si="265"/>
        <v>0</v>
      </c>
      <c r="U400" s="8"/>
      <c r="V400">
        <f t="shared" si="9"/>
        <v>0</v>
      </c>
      <c r="W400">
        <f t="shared" si="10"/>
        <v>0</v>
      </c>
      <c r="X400">
        <f t="shared" si="11"/>
        <v>0</v>
      </c>
      <c r="Z400" s="8"/>
      <c r="AA400">
        <f t="shared" si="12"/>
        <v>0</v>
      </c>
      <c r="AB400">
        <f t="shared" si="13"/>
        <v>0</v>
      </c>
      <c r="AC400">
        <f t="shared" si="14"/>
        <v>0</v>
      </c>
    </row>
    <row r="401">
      <c r="O401" s="8"/>
      <c r="P401">
        <f t="shared" ref="P401:R401" si="655">B401+P402</f>
        <v>0</v>
      </c>
      <c r="Q401">
        <f t="shared" si="655"/>
        <v>0</v>
      </c>
      <c r="R401">
        <f t="shared" si="655"/>
        <v>0</v>
      </c>
      <c r="S401">
        <f t="shared" si="265"/>
        <v>0</v>
      </c>
      <c r="U401" s="8"/>
      <c r="V401">
        <f t="shared" si="9"/>
        <v>0</v>
      </c>
      <c r="W401">
        <f t="shared" si="10"/>
        <v>0</v>
      </c>
      <c r="X401">
        <f t="shared" si="11"/>
        <v>0</v>
      </c>
      <c r="Z401" s="8"/>
      <c r="AA401">
        <f t="shared" si="12"/>
        <v>0</v>
      </c>
      <c r="AB401">
        <f t="shared" si="13"/>
        <v>0</v>
      </c>
      <c r="AC401">
        <f t="shared" si="14"/>
        <v>0</v>
      </c>
    </row>
    <row r="402">
      <c r="O402" s="8"/>
      <c r="P402">
        <f t="shared" ref="P402:R402" si="656">B402+P403</f>
        <v>0</v>
      </c>
      <c r="Q402">
        <f t="shared" si="656"/>
        <v>0</v>
      </c>
      <c r="R402">
        <f t="shared" si="656"/>
        <v>0</v>
      </c>
      <c r="S402">
        <f t="shared" si="265"/>
        <v>0</v>
      </c>
      <c r="U402" s="8"/>
      <c r="V402">
        <f t="shared" si="9"/>
        <v>0</v>
      </c>
      <c r="W402">
        <f t="shared" si="10"/>
        <v>0</v>
      </c>
      <c r="X402">
        <f t="shared" si="11"/>
        <v>0</v>
      </c>
      <c r="Z402" s="8"/>
      <c r="AA402">
        <f t="shared" si="12"/>
        <v>0</v>
      </c>
      <c r="AB402">
        <f t="shared" si="13"/>
        <v>0</v>
      </c>
      <c r="AC402">
        <f t="shared" si="14"/>
        <v>0</v>
      </c>
    </row>
    <row r="403">
      <c r="O403" s="8"/>
      <c r="P403">
        <f t="shared" ref="P403:R403" si="657">B403+P404</f>
        <v>0</v>
      </c>
      <c r="Q403">
        <f t="shared" si="657"/>
        <v>0</v>
      </c>
      <c r="R403">
        <f t="shared" si="657"/>
        <v>0</v>
      </c>
      <c r="S403">
        <f t="shared" si="265"/>
        <v>0</v>
      </c>
      <c r="U403" s="8"/>
      <c r="V403">
        <f t="shared" si="9"/>
        <v>0</v>
      </c>
      <c r="W403">
        <f t="shared" si="10"/>
        <v>0</v>
      </c>
      <c r="X403">
        <f t="shared" si="11"/>
        <v>0</v>
      </c>
      <c r="Z403" s="8"/>
      <c r="AA403">
        <f t="shared" si="12"/>
        <v>0</v>
      </c>
      <c r="AB403">
        <f t="shared" si="13"/>
        <v>0</v>
      </c>
      <c r="AC403">
        <f t="shared" si="14"/>
        <v>0</v>
      </c>
    </row>
    <row r="404">
      <c r="O404" s="8"/>
      <c r="P404">
        <f t="shared" ref="P404:R404" si="658">B404+P405</f>
        <v>0</v>
      </c>
      <c r="Q404">
        <f t="shared" si="658"/>
        <v>0</v>
      </c>
      <c r="R404">
        <f t="shared" si="658"/>
        <v>0</v>
      </c>
      <c r="S404">
        <f t="shared" si="265"/>
        <v>0</v>
      </c>
      <c r="U404" s="8"/>
      <c r="V404">
        <f t="shared" si="9"/>
        <v>0</v>
      </c>
      <c r="W404">
        <f t="shared" si="10"/>
        <v>0</v>
      </c>
      <c r="X404">
        <f t="shared" si="11"/>
        <v>0</v>
      </c>
      <c r="Z404" s="8"/>
      <c r="AA404">
        <f t="shared" si="12"/>
        <v>0</v>
      </c>
      <c r="AB404">
        <f t="shared" si="13"/>
        <v>0</v>
      </c>
      <c r="AC404">
        <f t="shared" si="14"/>
        <v>0</v>
      </c>
    </row>
    <row r="405">
      <c r="O405" s="8"/>
      <c r="P405">
        <f t="shared" ref="P405:R405" si="659">B405+P406</f>
        <v>0</v>
      </c>
      <c r="Q405">
        <f t="shared" si="659"/>
        <v>0</v>
      </c>
      <c r="R405">
        <f t="shared" si="659"/>
        <v>0</v>
      </c>
      <c r="S405">
        <f t="shared" si="265"/>
        <v>0</v>
      </c>
      <c r="U405" s="8"/>
      <c r="V405">
        <f t="shared" si="9"/>
        <v>0</v>
      </c>
      <c r="W405">
        <f t="shared" si="10"/>
        <v>0</v>
      </c>
      <c r="X405">
        <f t="shared" si="11"/>
        <v>0</v>
      </c>
      <c r="Z405" s="8"/>
      <c r="AA405">
        <f t="shared" si="12"/>
        <v>0</v>
      </c>
      <c r="AB405">
        <f t="shared" si="13"/>
        <v>0</v>
      </c>
      <c r="AC405">
        <f t="shared" si="14"/>
        <v>0</v>
      </c>
    </row>
    <row r="406">
      <c r="O406" s="8"/>
      <c r="P406">
        <f t="shared" ref="P406:R406" si="660">B406+P407</f>
        <v>0</v>
      </c>
      <c r="Q406">
        <f t="shared" si="660"/>
        <v>0</v>
      </c>
      <c r="R406">
        <f t="shared" si="660"/>
        <v>0</v>
      </c>
      <c r="S406">
        <f t="shared" si="265"/>
        <v>0</v>
      </c>
      <c r="U406" s="8"/>
      <c r="V406">
        <f t="shared" si="9"/>
        <v>0</v>
      </c>
      <c r="W406">
        <f t="shared" si="10"/>
        <v>0</v>
      </c>
      <c r="X406">
        <f t="shared" si="11"/>
        <v>0</v>
      </c>
      <c r="Z406" s="8"/>
      <c r="AA406">
        <f t="shared" si="12"/>
        <v>0</v>
      </c>
      <c r="AB406">
        <f t="shared" si="13"/>
        <v>0</v>
      </c>
      <c r="AC406">
        <f t="shared" si="14"/>
        <v>0</v>
      </c>
    </row>
    <row r="407">
      <c r="O407" s="8"/>
      <c r="P407">
        <f t="shared" ref="P407:R407" si="661">B407+P408</f>
        <v>0</v>
      </c>
      <c r="Q407">
        <f t="shared" si="661"/>
        <v>0</v>
      </c>
      <c r="R407">
        <f t="shared" si="661"/>
        <v>0</v>
      </c>
      <c r="S407">
        <f t="shared" si="265"/>
        <v>0</v>
      </c>
      <c r="U407" s="8"/>
      <c r="V407">
        <f t="shared" si="9"/>
        <v>0</v>
      </c>
      <c r="W407">
        <f t="shared" si="10"/>
        <v>0</v>
      </c>
      <c r="X407">
        <f t="shared" si="11"/>
        <v>0</v>
      </c>
      <c r="Z407" s="8"/>
      <c r="AA407">
        <f t="shared" si="12"/>
        <v>0</v>
      </c>
      <c r="AB407">
        <f t="shared" si="13"/>
        <v>0</v>
      </c>
      <c r="AC407">
        <f t="shared" si="14"/>
        <v>0</v>
      </c>
    </row>
    <row r="408">
      <c r="O408" s="8"/>
      <c r="P408">
        <f t="shared" ref="P408:R408" si="662">B408+P409</f>
        <v>0</v>
      </c>
      <c r="Q408">
        <f t="shared" si="662"/>
        <v>0</v>
      </c>
      <c r="R408">
        <f t="shared" si="662"/>
        <v>0</v>
      </c>
      <c r="S408">
        <f t="shared" si="265"/>
        <v>0</v>
      </c>
      <c r="U408" s="8"/>
      <c r="V408">
        <f t="shared" si="9"/>
        <v>0</v>
      </c>
      <c r="W408">
        <f t="shared" si="10"/>
        <v>0</v>
      </c>
      <c r="X408">
        <f t="shared" si="11"/>
        <v>0</v>
      </c>
      <c r="Z408" s="8"/>
      <c r="AA408">
        <f t="shared" si="12"/>
        <v>0</v>
      </c>
      <c r="AB408">
        <f t="shared" si="13"/>
        <v>0</v>
      </c>
      <c r="AC408">
        <f t="shared" si="14"/>
        <v>0</v>
      </c>
    </row>
    <row r="409">
      <c r="O409" s="8"/>
      <c r="P409">
        <f t="shared" ref="P409:R409" si="663">B409+P410</f>
        <v>0</v>
      </c>
      <c r="Q409">
        <f t="shared" si="663"/>
        <v>0</v>
      </c>
      <c r="R409">
        <f t="shared" si="663"/>
        <v>0</v>
      </c>
      <c r="S409">
        <f t="shared" si="265"/>
        <v>0</v>
      </c>
      <c r="U409" s="8"/>
      <c r="V409">
        <f t="shared" si="9"/>
        <v>0</v>
      </c>
      <c r="W409">
        <f t="shared" si="10"/>
        <v>0</v>
      </c>
      <c r="X409">
        <f t="shared" si="11"/>
        <v>0</v>
      </c>
      <c r="Z409" s="8"/>
      <c r="AA409">
        <f t="shared" si="12"/>
        <v>0</v>
      </c>
      <c r="AB409">
        <f t="shared" si="13"/>
        <v>0</v>
      </c>
      <c r="AC409">
        <f t="shared" si="14"/>
        <v>0</v>
      </c>
    </row>
    <row r="410">
      <c r="O410" s="8"/>
      <c r="P410">
        <f t="shared" ref="P410:R410" si="664">B410+P411</f>
        <v>0</v>
      </c>
      <c r="Q410">
        <f t="shared" si="664"/>
        <v>0</v>
      </c>
      <c r="R410">
        <f t="shared" si="664"/>
        <v>0</v>
      </c>
      <c r="S410">
        <f t="shared" si="265"/>
        <v>0</v>
      </c>
      <c r="U410" s="8"/>
      <c r="V410">
        <f t="shared" si="9"/>
        <v>0</v>
      </c>
      <c r="W410">
        <f t="shared" si="10"/>
        <v>0</v>
      </c>
      <c r="X410">
        <f t="shared" si="11"/>
        <v>0</v>
      </c>
      <c r="Z410" s="8"/>
      <c r="AA410">
        <f t="shared" si="12"/>
        <v>0</v>
      </c>
      <c r="AB410">
        <f t="shared" si="13"/>
        <v>0</v>
      </c>
      <c r="AC410">
        <f t="shared" si="14"/>
        <v>0</v>
      </c>
    </row>
    <row r="411">
      <c r="O411" s="8"/>
      <c r="P411">
        <f t="shared" ref="P411:R411" si="665">B411+P412</f>
        <v>0</v>
      </c>
      <c r="Q411">
        <f t="shared" si="665"/>
        <v>0</v>
      </c>
      <c r="R411">
        <f t="shared" si="665"/>
        <v>0</v>
      </c>
      <c r="S411">
        <f t="shared" si="265"/>
        <v>0</v>
      </c>
      <c r="U411" s="8"/>
      <c r="V411">
        <f t="shared" si="9"/>
        <v>0</v>
      </c>
      <c r="W411">
        <f t="shared" si="10"/>
        <v>0</v>
      </c>
      <c r="X411">
        <f t="shared" si="11"/>
        <v>0</v>
      </c>
      <c r="Z411" s="8"/>
      <c r="AA411">
        <f t="shared" si="12"/>
        <v>0</v>
      </c>
      <c r="AB411">
        <f t="shared" si="13"/>
        <v>0</v>
      </c>
      <c r="AC411">
        <f t="shared" si="14"/>
        <v>0</v>
      </c>
    </row>
    <row r="412">
      <c r="O412" s="8"/>
      <c r="P412">
        <f t="shared" ref="P412:R412" si="666">B412+P413</f>
        <v>0</v>
      </c>
      <c r="Q412">
        <f t="shared" si="666"/>
        <v>0</v>
      </c>
      <c r="R412">
        <f t="shared" si="666"/>
        <v>0</v>
      </c>
      <c r="S412">
        <f t="shared" si="265"/>
        <v>0</v>
      </c>
      <c r="U412" s="8"/>
      <c r="V412">
        <f t="shared" si="9"/>
        <v>0</v>
      </c>
      <c r="W412">
        <f t="shared" si="10"/>
        <v>0</v>
      </c>
      <c r="X412">
        <f t="shared" si="11"/>
        <v>0</v>
      </c>
      <c r="Z412" s="8"/>
      <c r="AA412">
        <f t="shared" si="12"/>
        <v>0</v>
      </c>
      <c r="AB412">
        <f t="shared" si="13"/>
        <v>0</v>
      </c>
      <c r="AC412">
        <f t="shared" si="14"/>
        <v>0</v>
      </c>
    </row>
    <row r="413">
      <c r="O413" s="8"/>
      <c r="P413">
        <f t="shared" ref="P413:R413" si="667">B413+P414</f>
        <v>0</v>
      </c>
      <c r="Q413">
        <f t="shared" si="667"/>
        <v>0</v>
      </c>
      <c r="R413">
        <f t="shared" si="667"/>
        <v>0</v>
      </c>
      <c r="S413">
        <f t="shared" si="265"/>
        <v>0</v>
      </c>
      <c r="U413" s="8"/>
      <c r="V413">
        <f t="shared" si="9"/>
        <v>0</v>
      </c>
      <c r="W413">
        <f t="shared" si="10"/>
        <v>0</v>
      </c>
      <c r="X413">
        <f t="shared" si="11"/>
        <v>0</v>
      </c>
      <c r="Z413" s="8"/>
      <c r="AA413">
        <f t="shared" si="12"/>
        <v>0</v>
      </c>
      <c r="AB413">
        <f t="shared" si="13"/>
        <v>0</v>
      </c>
      <c r="AC413">
        <f t="shared" si="14"/>
        <v>0</v>
      </c>
    </row>
    <row r="414">
      <c r="O414" s="8"/>
      <c r="P414">
        <f t="shared" ref="P414:R414" si="668">B414+P415</f>
        <v>0</v>
      </c>
      <c r="Q414">
        <f t="shared" si="668"/>
        <v>0</v>
      </c>
      <c r="R414">
        <f t="shared" si="668"/>
        <v>0</v>
      </c>
      <c r="S414">
        <f t="shared" si="265"/>
        <v>0</v>
      </c>
      <c r="U414" s="8"/>
      <c r="V414">
        <f t="shared" si="9"/>
        <v>0</v>
      </c>
      <c r="W414">
        <f t="shared" si="10"/>
        <v>0</v>
      </c>
      <c r="X414">
        <f t="shared" si="11"/>
        <v>0</v>
      </c>
      <c r="Z414" s="8"/>
      <c r="AA414">
        <f t="shared" si="12"/>
        <v>0</v>
      </c>
      <c r="AB414">
        <f t="shared" si="13"/>
        <v>0</v>
      </c>
      <c r="AC414">
        <f t="shared" si="14"/>
        <v>0</v>
      </c>
    </row>
    <row r="415">
      <c r="O415" s="8"/>
      <c r="P415">
        <f t="shared" ref="P415:R415" si="669">B415+P416</f>
        <v>0</v>
      </c>
      <c r="Q415">
        <f t="shared" si="669"/>
        <v>0</v>
      </c>
      <c r="R415">
        <f t="shared" si="669"/>
        <v>0</v>
      </c>
      <c r="S415">
        <f t="shared" si="265"/>
        <v>0</v>
      </c>
      <c r="U415" s="8"/>
      <c r="V415">
        <f t="shared" si="9"/>
        <v>0</v>
      </c>
      <c r="W415">
        <f t="shared" si="10"/>
        <v>0</v>
      </c>
      <c r="X415">
        <f t="shared" si="11"/>
        <v>0</v>
      </c>
      <c r="Z415" s="8"/>
      <c r="AA415">
        <f t="shared" si="12"/>
        <v>0</v>
      </c>
      <c r="AB415">
        <f t="shared" si="13"/>
        <v>0</v>
      </c>
      <c r="AC415">
        <f t="shared" si="14"/>
        <v>0</v>
      </c>
    </row>
    <row r="416">
      <c r="O416" s="8"/>
      <c r="P416">
        <f t="shared" ref="P416:R416" si="670">B416+P417</f>
        <v>0</v>
      </c>
      <c r="Q416">
        <f t="shared" si="670"/>
        <v>0</v>
      </c>
      <c r="R416">
        <f t="shared" si="670"/>
        <v>0</v>
      </c>
      <c r="S416">
        <f t="shared" si="265"/>
        <v>0</v>
      </c>
      <c r="U416" s="8"/>
      <c r="V416">
        <f t="shared" si="9"/>
        <v>0</v>
      </c>
      <c r="W416">
        <f t="shared" si="10"/>
        <v>0</v>
      </c>
      <c r="X416">
        <f t="shared" si="11"/>
        <v>0</v>
      </c>
      <c r="Z416" s="8"/>
      <c r="AA416">
        <f t="shared" si="12"/>
        <v>0</v>
      </c>
      <c r="AB416">
        <f t="shared" si="13"/>
        <v>0</v>
      </c>
      <c r="AC416">
        <f t="shared" si="14"/>
        <v>0</v>
      </c>
    </row>
    <row r="417">
      <c r="O417" s="8"/>
      <c r="P417">
        <f t="shared" ref="P417:R417" si="671">B417+P418</f>
        <v>0</v>
      </c>
      <c r="Q417">
        <f t="shared" si="671"/>
        <v>0</v>
      </c>
      <c r="R417">
        <f t="shared" si="671"/>
        <v>0</v>
      </c>
      <c r="S417">
        <f t="shared" si="265"/>
        <v>0</v>
      </c>
      <c r="U417" s="8"/>
      <c r="V417">
        <f t="shared" si="9"/>
        <v>0</v>
      </c>
      <c r="W417">
        <f t="shared" si="10"/>
        <v>0</v>
      </c>
      <c r="X417">
        <f t="shared" si="11"/>
        <v>0</v>
      </c>
      <c r="Z417" s="8"/>
      <c r="AA417">
        <f t="shared" si="12"/>
        <v>0</v>
      </c>
      <c r="AB417">
        <f t="shared" si="13"/>
        <v>0</v>
      </c>
      <c r="AC417">
        <f t="shared" si="14"/>
        <v>0</v>
      </c>
    </row>
    <row r="418">
      <c r="O418" s="8"/>
      <c r="P418">
        <f t="shared" ref="P418:R418" si="672">B418+P419</f>
        <v>0</v>
      </c>
      <c r="Q418">
        <f t="shared" si="672"/>
        <v>0</v>
      </c>
      <c r="R418">
        <f t="shared" si="672"/>
        <v>0</v>
      </c>
      <c r="S418">
        <f t="shared" si="265"/>
        <v>0</v>
      </c>
      <c r="U418" s="8"/>
      <c r="V418">
        <f t="shared" si="9"/>
        <v>0</v>
      </c>
      <c r="W418">
        <f t="shared" si="10"/>
        <v>0</v>
      </c>
      <c r="X418">
        <f t="shared" si="11"/>
        <v>0</v>
      </c>
      <c r="Z418" s="8"/>
      <c r="AA418">
        <f t="shared" si="12"/>
        <v>0</v>
      </c>
      <c r="AB418">
        <f t="shared" si="13"/>
        <v>0</v>
      </c>
      <c r="AC418">
        <f t="shared" si="14"/>
        <v>0</v>
      </c>
    </row>
    <row r="419">
      <c r="O419" s="8"/>
      <c r="P419">
        <f t="shared" ref="P419:R419" si="673">B419+P420</f>
        <v>0</v>
      </c>
      <c r="Q419">
        <f t="shared" si="673"/>
        <v>0</v>
      </c>
      <c r="R419">
        <f t="shared" si="673"/>
        <v>0</v>
      </c>
      <c r="S419">
        <f t="shared" si="265"/>
        <v>0</v>
      </c>
      <c r="U419" s="8"/>
      <c r="V419">
        <f t="shared" si="9"/>
        <v>0</v>
      </c>
      <c r="W419">
        <f t="shared" si="10"/>
        <v>0</v>
      </c>
      <c r="X419">
        <f t="shared" si="11"/>
        <v>0</v>
      </c>
      <c r="Z419" s="8"/>
      <c r="AA419">
        <f t="shared" si="12"/>
        <v>0</v>
      </c>
      <c r="AB419">
        <f t="shared" si="13"/>
        <v>0</v>
      </c>
      <c r="AC419">
        <f t="shared" si="14"/>
        <v>0</v>
      </c>
    </row>
    <row r="420">
      <c r="O420" s="8"/>
      <c r="P420">
        <f t="shared" ref="P420:R420" si="674">B420+P421</f>
        <v>0</v>
      </c>
      <c r="Q420">
        <f t="shared" si="674"/>
        <v>0</v>
      </c>
      <c r="R420">
        <f t="shared" si="674"/>
        <v>0</v>
      </c>
      <c r="S420">
        <f t="shared" si="265"/>
        <v>0</v>
      </c>
      <c r="U420" s="8"/>
      <c r="V420">
        <f t="shared" si="9"/>
        <v>0</v>
      </c>
      <c r="W420">
        <f t="shared" si="10"/>
        <v>0</v>
      </c>
      <c r="X420">
        <f t="shared" si="11"/>
        <v>0</v>
      </c>
      <c r="Z420" s="8"/>
      <c r="AA420">
        <f t="shared" si="12"/>
        <v>0</v>
      </c>
      <c r="AB420">
        <f t="shared" si="13"/>
        <v>0</v>
      </c>
      <c r="AC420">
        <f t="shared" si="14"/>
        <v>0</v>
      </c>
    </row>
    <row r="421">
      <c r="O421" s="8"/>
      <c r="P421">
        <f t="shared" ref="P421:R421" si="675">B421+P422</f>
        <v>0</v>
      </c>
      <c r="Q421">
        <f t="shared" si="675"/>
        <v>0</v>
      </c>
      <c r="R421">
        <f t="shared" si="675"/>
        <v>0</v>
      </c>
      <c r="S421">
        <f t="shared" si="265"/>
        <v>0</v>
      </c>
      <c r="U421" s="8"/>
      <c r="V421">
        <f t="shared" si="9"/>
        <v>0</v>
      </c>
      <c r="W421">
        <f t="shared" si="10"/>
        <v>0</v>
      </c>
      <c r="X421">
        <f t="shared" si="11"/>
        <v>0</v>
      </c>
      <c r="Z421" s="8"/>
      <c r="AA421">
        <f t="shared" si="12"/>
        <v>0</v>
      </c>
      <c r="AB421">
        <f t="shared" si="13"/>
        <v>0</v>
      </c>
      <c r="AC421">
        <f t="shared" si="14"/>
        <v>0</v>
      </c>
    </row>
    <row r="422">
      <c r="O422" s="8"/>
      <c r="P422">
        <f t="shared" ref="P422:R422" si="676">B422+P423</f>
        <v>0</v>
      </c>
      <c r="Q422">
        <f t="shared" si="676"/>
        <v>0</v>
      </c>
      <c r="R422">
        <f t="shared" si="676"/>
        <v>0</v>
      </c>
      <c r="S422">
        <f t="shared" si="265"/>
        <v>0</v>
      </c>
      <c r="U422" s="8"/>
      <c r="V422">
        <f t="shared" si="9"/>
        <v>0</v>
      </c>
      <c r="W422">
        <f t="shared" si="10"/>
        <v>0</v>
      </c>
      <c r="X422">
        <f t="shared" si="11"/>
        <v>0</v>
      </c>
      <c r="Z422" s="8"/>
      <c r="AA422">
        <f t="shared" si="12"/>
        <v>0</v>
      </c>
      <c r="AB422">
        <f t="shared" si="13"/>
        <v>0</v>
      </c>
      <c r="AC422">
        <f t="shared" si="14"/>
        <v>0</v>
      </c>
    </row>
    <row r="423">
      <c r="O423" s="8"/>
      <c r="P423">
        <f t="shared" ref="P423:R423" si="677">B423+P424</f>
        <v>0</v>
      </c>
      <c r="Q423">
        <f t="shared" si="677"/>
        <v>0</v>
      </c>
      <c r="R423">
        <f t="shared" si="677"/>
        <v>0</v>
      </c>
      <c r="S423">
        <f t="shared" si="265"/>
        <v>0</v>
      </c>
      <c r="U423" s="8"/>
      <c r="V423">
        <f t="shared" si="9"/>
        <v>0</v>
      </c>
      <c r="W423">
        <f t="shared" si="10"/>
        <v>0</v>
      </c>
      <c r="X423">
        <f t="shared" si="11"/>
        <v>0</v>
      </c>
      <c r="Z423" s="8"/>
      <c r="AA423">
        <f t="shared" si="12"/>
        <v>0</v>
      </c>
      <c r="AB423">
        <f t="shared" si="13"/>
        <v>0</v>
      </c>
      <c r="AC423">
        <f t="shared" si="14"/>
        <v>0</v>
      </c>
    </row>
    <row r="424">
      <c r="O424" s="8"/>
      <c r="P424">
        <f t="shared" ref="P424:R424" si="678">B424+P425</f>
        <v>0</v>
      </c>
      <c r="Q424">
        <f t="shared" si="678"/>
        <v>0</v>
      </c>
      <c r="R424">
        <f t="shared" si="678"/>
        <v>0</v>
      </c>
      <c r="S424">
        <f t="shared" si="265"/>
        <v>0</v>
      </c>
      <c r="U424" s="8"/>
      <c r="V424">
        <f t="shared" si="9"/>
        <v>0</v>
      </c>
      <c r="W424">
        <f t="shared" si="10"/>
        <v>0</v>
      </c>
      <c r="X424">
        <f t="shared" si="11"/>
        <v>0</v>
      </c>
      <c r="Z424" s="8"/>
      <c r="AA424">
        <f t="shared" si="12"/>
        <v>0</v>
      </c>
      <c r="AB424">
        <f t="shared" si="13"/>
        <v>0</v>
      </c>
      <c r="AC424">
        <f t="shared" si="14"/>
        <v>0</v>
      </c>
    </row>
    <row r="425">
      <c r="O425" s="8"/>
      <c r="P425">
        <f t="shared" ref="P425:R425" si="679">B425+P426</f>
        <v>0</v>
      </c>
      <c r="Q425">
        <f t="shared" si="679"/>
        <v>0</v>
      </c>
      <c r="R425">
        <f t="shared" si="679"/>
        <v>0</v>
      </c>
      <c r="S425">
        <f t="shared" si="265"/>
        <v>0</v>
      </c>
      <c r="U425" s="8"/>
      <c r="V425">
        <f t="shared" si="9"/>
        <v>0</v>
      </c>
      <c r="W425">
        <f t="shared" si="10"/>
        <v>0</v>
      </c>
      <c r="X425">
        <f t="shared" si="11"/>
        <v>0</v>
      </c>
      <c r="Z425" s="8"/>
      <c r="AA425">
        <f t="shared" si="12"/>
        <v>0</v>
      </c>
      <c r="AB425">
        <f t="shared" si="13"/>
        <v>0</v>
      </c>
      <c r="AC425">
        <f t="shared" si="14"/>
        <v>0</v>
      </c>
    </row>
    <row r="426">
      <c r="O426" s="8"/>
      <c r="P426">
        <f t="shared" ref="P426:R426" si="680">B426+P427</f>
        <v>0</v>
      </c>
      <c r="Q426">
        <f t="shared" si="680"/>
        <v>0</v>
      </c>
      <c r="R426">
        <f t="shared" si="680"/>
        <v>0</v>
      </c>
      <c r="S426">
        <f t="shared" si="265"/>
        <v>0</v>
      </c>
      <c r="U426" s="8"/>
      <c r="V426">
        <f t="shared" si="9"/>
        <v>0</v>
      </c>
      <c r="W426">
        <f t="shared" si="10"/>
        <v>0</v>
      </c>
      <c r="X426">
        <f t="shared" si="11"/>
        <v>0</v>
      </c>
      <c r="Z426" s="8"/>
      <c r="AA426">
        <f t="shared" si="12"/>
        <v>0</v>
      </c>
      <c r="AB426">
        <f t="shared" si="13"/>
        <v>0</v>
      </c>
      <c r="AC426">
        <f t="shared" si="14"/>
        <v>0</v>
      </c>
    </row>
    <row r="427">
      <c r="O427" s="8"/>
      <c r="P427">
        <f t="shared" ref="P427:R427" si="681">B427+P428</f>
        <v>0</v>
      </c>
      <c r="Q427">
        <f t="shared" si="681"/>
        <v>0</v>
      </c>
      <c r="R427">
        <f t="shared" si="681"/>
        <v>0</v>
      </c>
      <c r="S427">
        <f t="shared" si="265"/>
        <v>0</v>
      </c>
      <c r="U427" s="8"/>
      <c r="V427">
        <f t="shared" si="9"/>
        <v>0</v>
      </c>
      <c r="W427">
        <f t="shared" si="10"/>
        <v>0</v>
      </c>
      <c r="X427">
        <f t="shared" si="11"/>
        <v>0</v>
      </c>
      <c r="Z427" s="8"/>
      <c r="AA427">
        <f t="shared" si="12"/>
        <v>0</v>
      </c>
      <c r="AB427">
        <f t="shared" si="13"/>
        <v>0</v>
      </c>
      <c r="AC427">
        <f t="shared" si="14"/>
        <v>0</v>
      </c>
    </row>
    <row r="428">
      <c r="O428" s="8"/>
      <c r="P428">
        <f t="shared" ref="P428:R428" si="682">B428+P429</f>
        <v>0</v>
      </c>
      <c r="Q428">
        <f t="shared" si="682"/>
        <v>0</v>
      </c>
      <c r="R428">
        <f t="shared" si="682"/>
        <v>0</v>
      </c>
      <c r="S428">
        <f t="shared" si="265"/>
        <v>0</v>
      </c>
      <c r="U428" s="8"/>
      <c r="V428">
        <f t="shared" si="9"/>
        <v>0</v>
      </c>
      <c r="W428">
        <f t="shared" si="10"/>
        <v>0</v>
      </c>
      <c r="X428">
        <f t="shared" si="11"/>
        <v>0</v>
      </c>
      <c r="Z428" s="8"/>
      <c r="AA428">
        <f t="shared" si="12"/>
        <v>0</v>
      </c>
      <c r="AB428">
        <f t="shared" si="13"/>
        <v>0</v>
      </c>
      <c r="AC428">
        <f t="shared" si="14"/>
        <v>0</v>
      </c>
    </row>
    <row r="429">
      <c r="O429" s="8"/>
      <c r="P429">
        <f t="shared" ref="P429:R429" si="683">B429+P430</f>
        <v>0</v>
      </c>
      <c r="Q429">
        <f t="shared" si="683"/>
        <v>0</v>
      </c>
      <c r="R429">
        <f t="shared" si="683"/>
        <v>0</v>
      </c>
      <c r="S429">
        <f t="shared" si="265"/>
        <v>0</v>
      </c>
      <c r="U429" s="8"/>
      <c r="V429">
        <f t="shared" si="9"/>
        <v>0</v>
      </c>
      <c r="W429">
        <f t="shared" si="10"/>
        <v>0</v>
      </c>
      <c r="X429">
        <f t="shared" si="11"/>
        <v>0</v>
      </c>
      <c r="Z429" s="8"/>
      <c r="AA429">
        <f t="shared" si="12"/>
        <v>0</v>
      </c>
      <c r="AB429">
        <f t="shared" si="13"/>
        <v>0</v>
      </c>
      <c r="AC429">
        <f t="shared" si="14"/>
        <v>0</v>
      </c>
    </row>
    <row r="430">
      <c r="O430" s="8"/>
      <c r="P430">
        <f t="shared" ref="P430:R430" si="684">B430+P431</f>
        <v>0</v>
      </c>
      <c r="Q430">
        <f t="shared" si="684"/>
        <v>0</v>
      </c>
      <c r="R430">
        <f t="shared" si="684"/>
        <v>0</v>
      </c>
      <c r="S430">
        <f t="shared" si="265"/>
        <v>0</v>
      </c>
      <c r="U430" s="8"/>
      <c r="V430">
        <f t="shared" si="9"/>
        <v>0</v>
      </c>
      <c r="W430">
        <f t="shared" si="10"/>
        <v>0</v>
      </c>
      <c r="X430">
        <f t="shared" si="11"/>
        <v>0</v>
      </c>
      <c r="Z430" s="8"/>
      <c r="AA430">
        <f t="shared" si="12"/>
        <v>0</v>
      </c>
      <c r="AB430">
        <f t="shared" si="13"/>
        <v>0</v>
      </c>
      <c r="AC430">
        <f t="shared" si="14"/>
        <v>0</v>
      </c>
    </row>
    <row r="431">
      <c r="O431" s="8"/>
      <c r="P431">
        <f t="shared" ref="P431:R431" si="685">B431+P432</f>
        <v>0</v>
      </c>
      <c r="Q431">
        <f t="shared" si="685"/>
        <v>0</v>
      </c>
      <c r="R431">
        <f t="shared" si="685"/>
        <v>0</v>
      </c>
      <c r="S431">
        <f t="shared" si="265"/>
        <v>0</v>
      </c>
      <c r="U431" s="8"/>
      <c r="V431">
        <f t="shared" si="9"/>
        <v>0</v>
      </c>
      <c r="W431">
        <f t="shared" si="10"/>
        <v>0</v>
      </c>
      <c r="X431">
        <f t="shared" si="11"/>
        <v>0</v>
      </c>
      <c r="Z431" s="8"/>
      <c r="AA431">
        <f t="shared" si="12"/>
        <v>0</v>
      </c>
      <c r="AB431">
        <f t="shared" si="13"/>
        <v>0</v>
      </c>
      <c r="AC431">
        <f t="shared" si="14"/>
        <v>0</v>
      </c>
    </row>
    <row r="432">
      <c r="O432" s="8"/>
      <c r="P432">
        <f t="shared" ref="P432:R432" si="686">B432+P433</f>
        <v>0</v>
      </c>
      <c r="Q432">
        <f t="shared" si="686"/>
        <v>0</v>
      </c>
      <c r="R432">
        <f t="shared" si="686"/>
        <v>0</v>
      </c>
      <c r="S432">
        <f t="shared" si="265"/>
        <v>0</v>
      </c>
      <c r="U432" s="8"/>
      <c r="V432">
        <f t="shared" si="9"/>
        <v>0</v>
      </c>
      <c r="W432">
        <f t="shared" si="10"/>
        <v>0</v>
      </c>
      <c r="X432">
        <f t="shared" si="11"/>
        <v>0</v>
      </c>
      <c r="Z432" s="8"/>
      <c r="AA432">
        <f t="shared" si="12"/>
        <v>0</v>
      </c>
      <c r="AB432">
        <f t="shared" si="13"/>
        <v>0</v>
      </c>
      <c r="AC432">
        <f t="shared" si="14"/>
        <v>0</v>
      </c>
    </row>
    <row r="433">
      <c r="O433" s="8"/>
      <c r="P433">
        <f t="shared" ref="P433:R433" si="687">B433+P434</f>
        <v>0</v>
      </c>
      <c r="Q433">
        <f t="shared" si="687"/>
        <v>0</v>
      </c>
      <c r="R433">
        <f t="shared" si="687"/>
        <v>0</v>
      </c>
      <c r="S433">
        <f t="shared" si="265"/>
        <v>0</v>
      </c>
      <c r="U433" s="8"/>
      <c r="V433">
        <f t="shared" si="9"/>
        <v>0</v>
      </c>
      <c r="W433">
        <f t="shared" si="10"/>
        <v>0</v>
      </c>
      <c r="X433">
        <f t="shared" si="11"/>
        <v>0</v>
      </c>
      <c r="Z433" s="8"/>
      <c r="AA433">
        <f t="shared" si="12"/>
        <v>0</v>
      </c>
      <c r="AB433">
        <f t="shared" si="13"/>
        <v>0</v>
      </c>
      <c r="AC433">
        <f t="shared" si="14"/>
        <v>0</v>
      </c>
    </row>
    <row r="434">
      <c r="O434" s="8"/>
      <c r="P434">
        <f t="shared" ref="P434:R434" si="688">B434+P435</f>
        <v>0</v>
      </c>
      <c r="Q434">
        <f t="shared" si="688"/>
        <v>0</v>
      </c>
      <c r="R434">
        <f t="shared" si="688"/>
        <v>0</v>
      </c>
      <c r="S434">
        <f t="shared" si="265"/>
        <v>0</v>
      </c>
      <c r="U434" s="8"/>
      <c r="V434">
        <f t="shared" si="9"/>
        <v>0</v>
      </c>
      <c r="W434">
        <f t="shared" si="10"/>
        <v>0</v>
      </c>
      <c r="X434">
        <f t="shared" si="11"/>
        <v>0</v>
      </c>
      <c r="Z434" s="8"/>
      <c r="AA434">
        <f t="shared" si="12"/>
        <v>0</v>
      </c>
      <c r="AB434">
        <f t="shared" si="13"/>
        <v>0</v>
      </c>
      <c r="AC434">
        <f t="shared" si="14"/>
        <v>0</v>
      </c>
    </row>
    <row r="435">
      <c r="O435" s="8"/>
      <c r="P435">
        <f t="shared" ref="P435:R435" si="689">B435+P436</f>
        <v>0</v>
      </c>
      <c r="Q435">
        <f t="shared" si="689"/>
        <v>0</v>
      </c>
      <c r="R435">
        <f t="shared" si="689"/>
        <v>0</v>
      </c>
      <c r="S435">
        <f t="shared" si="265"/>
        <v>0</v>
      </c>
      <c r="U435" s="8"/>
      <c r="V435">
        <f t="shared" si="9"/>
        <v>0</v>
      </c>
      <c r="W435">
        <f t="shared" si="10"/>
        <v>0</v>
      </c>
      <c r="X435">
        <f t="shared" si="11"/>
        <v>0</v>
      </c>
      <c r="Z435" s="8"/>
      <c r="AA435">
        <f t="shared" si="12"/>
        <v>0</v>
      </c>
      <c r="AB435">
        <f t="shared" si="13"/>
        <v>0</v>
      </c>
      <c r="AC435">
        <f t="shared" si="14"/>
        <v>0</v>
      </c>
    </row>
    <row r="436">
      <c r="O436" s="8"/>
      <c r="P436">
        <f t="shared" ref="P436:R436" si="690">B436+P437</f>
        <v>0</v>
      </c>
      <c r="Q436">
        <f t="shared" si="690"/>
        <v>0</v>
      </c>
      <c r="R436">
        <f t="shared" si="690"/>
        <v>0</v>
      </c>
      <c r="S436">
        <f t="shared" si="265"/>
        <v>0</v>
      </c>
      <c r="U436" s="8"/>
      <c r="V436">
        <f t="shared" si="9"/>
        <v>0</v>
      </c>
      <c r="W436">
        <f t="shared" si="10"/>
        <v>0</v>
      </c>
      <c r="X436">
        <f t="shared" si="11"/>
        <v>0</v>
      </c>
      <c r="Z436" s="8"/>
      <c r="AA436">
        <f t="shared" si="12"/>
        <v>0</v>
      </c>
      <c r="AB436">
        <f t="shared" si="13"/>
        <v>0</v>
      </c>
      <c r="AC436">
        <f t="shared" si="14"/>
        <v>0</v>
      </c>
    </row>
    <row r="437">
      <c r="O437" s="8"/>
      <c r="P437">
        <f t="shared" ref="P437:R437" si="691">B437+P438</f>
        <v>0</v>
      </c>
      <c r="Q437">
        <f t="shared" si="691"/>
        <v>0</v>
      </c>
      <c r="R437">
        <f t="shared" si="691"/>
        <v>0</v>
      </c>
      <c r="S437">
        <f t="shared" si="265"/>
        <v>0</v>
      </c>
      <c r="U437" s="8"/>
      <c r="V437">
        <f t="shared" si="9"/>
        <v>0</v>
      </c>
      <c r="W437">
        <f t="shared" si="10"/>
        <v>0</v>
      </c>
      <c r="X437">
        <f t="shared" si="11"/>
        <v>0</v>
      </c>
      <c r="Z437" s="8"/>
      <c r="AA437">
        <f t="shared" si="12"/>
        <v>0</v>
      </c>
      <c r="AB437">
        <f t="shared" si="13"/>
        <v>0</v>
      </c>
      <c r="AC437">
        <f t="shared" si="14"/>
        <v>0</v>
      </c>
    </row>
    <row r="438">
      <c r="O438" s="8"/>
      <c r="P438">
        <f t="shared" ref="P438:R438" si="692">B438+P439</f>
        <v>0</v>
      </c>
      <c r="Q438">
        <f t="shared" si="692"/>
        <v>0</v>
      </c>
      <c r="R438">
        <f t="shared" si="692"/>
        <v>0</v>
      </c>
      <c r="S438">
        <f t="shared" si="265"/>
        <v>0</v>
      </c>
      <c r="U438" s="8"/>
      <c r="V438">
        <f t="shared" si="9"/>
        <v>0</v>
      </c>
      <c r="W438">
        <f t="shared" si="10"/>
        <v>0</v>
      </c>
      <c r="X438">
        <f t="shared" si="11"/>
        <v>0</v>
      </c>
      <c r="Z438" s="8"/>
      <c r="AA438">
        <f t="shared" si="12"/>
        <v>0</v>
      </c>
      <c r="AB438">
        <f t="shared" si="13"/>
        <v>0</v>
      </c>
      <c r="AC438">
        <f t="shared" si="14"/>
        <v>0</v>
      </c>
    </row>
    <row r="439">
      <c r="O439" s="8"/>
      <c r="P439">
        <f t="shared" ref="P439:R439" si="693">B439+P440</f>
        <v>0</v>
      </c>
      <c r="Q439">
        <f t="shared" si="693"/>
        <v>0</v>
      </c>
      <c r="R439">
        <f t="shared" si="693"/>
        <v>0</v>
      </c>
      <c r="S439">
        <f t="shared" si="265"/>
        <v>0</v>
      </c>
      <c r="U439" s="8"/>
      <c r="V439">
        <f t="shared" si="9"/>
        <v>0</v>
      </c>
      <c r="W439">
        <f t="shared" si="10"/>
        <v>0</v>
      </c>
      <c r="X439">
        <f t="shared" si="11"/>
        <v>0</v>
      </c>
      <c r="Z439" s="8"/>
      <c r="AA439">
        <f t="shared" si="12"/>
        <v>0</v>
      </c>
      <c r="AB439">
        <f t="shared" si="13"/>
        <v>0</v>
      </c>
      <c r="AC439">
        <f t="shared" si="14"/>
        <v>0</v>
      </c>
    </row>
    <row r="440">
      <c r="O440" s="8"/>
      <c r="P440">
        <f t="shared" ref="P440:R440" si="694">B440+P441</f>
        <v>0</v>
      </c>
      <c r="Q440">
        <f t="shared" si="694"/>
        <v>0</v>
      </c>
      <c r="R440">
        <f t="shared" si="694"/>
        <v>0</v>
      </c>
      <c r="S440">
        <f t="shared" si="265"/>
        <v>0</v>
      </c>
      <c r="U440" s="8"/>
      <c r="V440">
        <f t="shared" si="9"/>
        <v>0</v>
      </c>
      <c r="W440">
        <f t="shared" si="10"/>
        <v>0</v>
      </c>
      <c r="X440">
        <f t="shared" si="11"/>
        <v>0</v>
      </c>
      <c r="Z440" s="8"/>
      <c r="AA440">
        <f t="shared" si="12"/>
        <v>0</v>
      </c>
      <c r="AB440">
        <f t="shared" si="13"/>
        <v>0</v>
      </c>
      <c r="AC440">
        <f t="shared" si="14"/>
        <v>0</v>
      </c>
    </row>
    <row r="441">
      <c r="O441" s="8"/>
      <c r="P441">
        <f t="shared" ref="P441:R441" si="695">B441+P442</f>
        <v>0</v>
      </c>
      <c r="Q441">
        <f t="shared" si="695"/>
        <v>0</v>
      </c>
      <c r="R441">
        <f t="shared" si="695"/>
        <v>0</v>
      </c>
      <c r="S441">
        <f t="shared" si="265"/>
        <v>0</v>
      </c>
      <c r="U441" s="8"/>
      <c r="V441">
        <f t="shared" si="9"/>
        <v>0</v>
      </c>
      <c r="W441">
        <f t="shared" si="10"/>
        <v>0</v>
      </c>
      <c r="X441">
        <f t="shared" si="11"/>
        <v>0</v>
      </c>
      <c r="Z441" s="8"/>
      <c r="AA441">
        <f t="shared" si="12"/>
        <v>0</v>
      </c>
      <c r="AB441">
        <f t="shared" si="13"/>
        <v>0</v>
      </c>
      <c r="AC441">
        <f t="shared" si="14"/>
        <v>0</v>
      </c>
    </row>
    <row r="442">
      <c r="O442" s="8"/>
      <c r="P442">
        <f t="shared" ref="P442:R442" si="696">B442+P443</f>
        <v>0</v>
      </c>
      <c r="Q442">
        <f t="shared" si="696"/>
        <v>0</v>
      </c>
      <c r="R442">
        <f t="shared" si="696"/>
        <v>0</v>
      </c>
      <c r="S442">
        <f t="shared" si="265"/>
        <v>0</v>
      </c>
      <c r="U442" s="8"/>
      <c r="V442">
        <f t="shared" si="9"/>
        <v>0</v>
      </c>
      <c r="W442">
        <f t="shared" si="10"/>
        <v>0</v>
      </c>
      <c r="X442">
        <f t="shared" si="11"/>
        <v>0</v>
      </c>
      <c r="Z442" s="8"/>
      <c r="AA442">
        <f t="shared" si="12"/>
        <v>0</v>
      </c>
      <c r="AB442">
        <f t="shared" si="13"/>
        <v>0</v>
      </c>
      <c r="AC442">
        <f t="shared" si="14"/>
        <v>0</v>
      </c>
    </row>
    <row r="443">
      <c r="O443" s="8"/>
      <c r="P443">
        <f t="shared" ref="P443:R443" si="697">B443+P444</f>
        <v>0</v>
      </c>
      <c r="Q443">
        <f t="shared" si="697"/>
        <v>0</v>
      </c>
      <c r="R443">
        <f t="shared" si="697"/>
        <v>0</v>
      </c>
      <c r="S443">
        <f t="shared" si="265"/>
        <v>0</v>
      </c>
      <c r="U443" s="8"/>
      <c r="V443">
        <f t="shared" si="9"/>
        <v>0</v>
      </c>
      <c r="W443">
        <f t="shared" si="10"/>
        <v>0</v>
      </c>
      <c r="X443">
        <f t="shared" si="11"/>
        <v>0</v>
      </c>
      <c r="Z443" s="8"/>
      <c r="AA443">
        <f t="shared" si="12"/>
        <v>0</v>
      </c>
      <c r="AB443">
        <f t="shared" si="13"/>
        <v>0</v>
      </c>
      <c r="AC443">
        <f t="shared" si="14"/>
        <v>0</v>
      </c>
    </row>
    <row r="444">
      <c r="O444" s="8"/>
      <c r="P444">
        <f t="shared" ref="P444:R444" si="698">B444+P445</f>
        <v>0</v>
      </c>
      <c r="Q444">
        <f t="shared" si="698"/>
        <v>0</v>
      </c>
      <c r="R444">
        <f t="shared" si="698"/>
        <v>0</v>
      </c>
      <c r="S444">
        <f t="shared" si="265"/>
        <v>0</v>
      </c>
      <c r="U444" s="8"/>
      <c r="V444">
        <f t="shared" si="9"/>
        <v>0</v>
      </c>
      <c r="W444">
        <f t="shared" si="10"/>
        <v>0</v>
      </c>
      <c r="X444">
        <f t="shared" si="11"/>
        <v>0</v>
      </c>
      <c r="Z444" s="8"/>
      <c r="AA444">
        <f t="shared" si="12"/>
        <v>0</v>
      </c>
      <c r="AB444">
        <f t="shared" si="13"/>
        <v>0</v>
      </c>
      <c r="AC444">
        <f t="shared" si="14"/>
        <v>0</v>
      </c>
    </row>
    <row r="445">
      <c r="O445" s="8"/>
      <c r="P445">
        <f t="shared" ref="P445:R445" si="699">B445+P446</f>
        <v>0</v>
      </c>
      <c r="Q445">
        <f t="shared" si="699"/>
        <v>0</v>
      </c>
      <c r="R445">
        <f t="shared" si="699"/>
        <v>0</v>
      </c>
      <c r="S445">
        <f t="shared" si="265"/>
        <v>0</v>
      </c>
      <c r="U445" s="8"/>
      <c r="V445">
        <f t="shared" si="9"/>
        <v>0</v>
      </c>
      <c r="W445">
        <f t="shared" si="10"/>
        <v>0</v>
      </c>
      <c r="X445">
        <f t="shared" si="11"/>
        <v>0</v>
      </c>
      <c r="Z445" s="8"/>
      <c r="AA445">
        <f t="shared" si="12"/>
        <v>0</v>
      </c>
      <c r="AB445">
        <f t="shared" si="13"/>
        <v>0</v>
      </c>
      <c r="AC445">
        <f t="shared" si="14"/>
        <v>0</v>
      </c>
    </row>
    <row r="446">
      <c r="O446" s="8"/>
      <c r="P446">
        <f t="shared" ref="P446:R446" si="700">B446+P447</f>
        <v>0</v>
      </c>
      <c r="Q446">
        <f t="shared" si="700"/>
        <v>0</v>
      </c>
      <c r="R446">
        <f t="shared" si="700"/>
        <v>0</v>
      </c>
      <c r="S446">
        <f t="shared" si="265"/>
        <v>0</v>
      </c>
      <c r="U446" s="8"/>
      <c r="V446">
        <f t="shared" si="9"/>
        <v>0</v>
      </c>
      <c r="W446">
        <f t="shared" si="10"/>
        <v>0</v>
      </c>
      <c r="X446">
        <f t="shared" si="11"/>
        <v>0</v>
      </c>
      <c r="Z446" s="8"/>
      <c r="AA446">
        <f t="shared" si="12"/>
        <v>0</v>
      </c>
      <c r="AB446">
        <f t="shared" si="13"/>
        <v>0</v>
      </c>
      <c r="AC446">
        <f t="shared" si="14"/>
        <v>0</v>
      </c>
    </row>
    <row r="447">
      <c r="O447" s="8"/>
      <c r="P447">
        <f t="shared" ref="P447:R447" si="701">B447+P448</f>
        <v>0</v>
      </c>
      <c r="Q447">
        <f t="shared" si="701"/>
        <v>0</v>
      </c>
      <c r="R447">
        <f t="shared" si="701"/>
        <v>0</v>
      </c>
      <c r="S447">
        <f t="shared" si="265"/>
        <v>0</v>
      </c>
      <c r="U447" s="8"/>
      <c r="V447">
        <f t="shared" si="9"/>
        <v>0</v>
      </c>
      <c r="W447">
        <f t="shared" si="10"/>
        <v>0</v>
      </c>
      <c r="X447">
        <f t="shared" si="11"/>
        <v>0</v>
      </c>
      <c r="Z447" s="8"/>
      <c r="AA447">
        <f t="shared" si="12"/>
        <v>0</v>
      </c>
      <c r="AB447">
        <f t="shared" si="13"/>
        <v>0</v>
      </c>
      <c r="AC447">
        <f t="shared" si="14"/>
        <v>0</v>
      </c>
    </row>
    <row r="448">
      <c r="O448" s="8"/>
      <c r="P448">
        <f t="shared" ref="P448:R448" si="702">B448+P449</f>
        <v>0</v>
      </c>
      <c r="Q448">
        <f t="shared" si="702"/>
        <v>0</v>
      </c>
      <c r="R448">
        <f t="shared" si="702"/>
        <v>0</v>
      </c>
      <c r="S448">
        <f t="shared" si="265"/>
        <v>0</v>
      </c>
      <c r="U448" s="8"/>
      <c r="V448">
        <f t="shared" si="9"/>
        <v>0</v>
      </c>
      <c r="W448">
        <f t="shared" si="10"/>
        <v>0</v>
      </c>
      <c r="X448">
        <f t="shared" si="11"/>
        <v>0</v>
      </c>
      <c r="Z448" s="8"/>
      <c r="AA448">
        <f t="shared" si="12"/>
        <v>0</v>
      </c>
      <c r="AB448">
        <f t="shared" si="13"/>
        <v>0</v>
      </c>
      <c r="AC448">
        <f t="shared" si="14"/>
        <v>0</v>
      </c>
    </row>
    <row r="449">
      <c r="O449" s="8"/>
      <c r="P449">
        <f t="shared" ref="P449:R449" si="703">B449+P450</f>
        <v>0</v>
      </c>
      <c r="Q449">
        <f t="shared" si="703"/>
        <v>0</v>
      </c>
      <c r="R449">
        <f t="shared" si="703"/>
        <v>0</v>
      </c>
      <c r="S449">
        <f t="shared" si="265"/>
        <v>0</v>
      </c>
      <c r="U449" s="8"/>
      <c r="V449">
        <f t="shared" si="9"/>
        <v>0</v>
      </c>
      <c r="W449">
        <f t="shared" si="10"/>
        <v>0</v>
      </c>
      <c r="X449">
        <f t="shared" si="11"/>
        <v>0</v>
      </c>
      <c r="Z449" s="8"/>
      <c r="AA449">
        <f t="shared" si="12"/>
        <v>0</v>
      </c>
      <c r="AB449">
        <f t="shared" si="13"/>
        <v>0</v>
      </c>
      <c r="AC449">
        <f t="shared" si="14"/>
        <v>0</v>
      </c>
    </row>
    <row r="450">
      <c r="O450" s="8"/>
      <c r="P450">
        <f t="shared" ref="P450:R450" si="704">B450+P451</f>
        <v>0</v>
      </c>
      <c r="Q450">
        <f t="shared" si="704"/>
        <v>0</v>
      </c>
      <c r="R450">
        <f t="shared" si="704"/>
        <v>0</v>
      </c>
      <c r="S450">
        <f t="shared" si="265"/>
        <v>0</v>
      </c>
      <c r="U450" s="8"/>
      <c r="V450">
        <f t="shared" si="9"/>
        <v>0</v>
      </c>
      <c r="W450">
        <f t="shared" si="10"/>
        <v>0</v>
      </c>
      <c r="X450">
        <f t="shared" si="11"/>
        <v>0</v>
      </c>
      <c r="Z450" s="8"/>
      <c r="AA450">
        <f t="shared" si="12"/>
        <v>0</v>
      </c>
      <c r="AB450">
        <f t="shared" si="13"/>
        <v>0</v>
      </c>
      <c r="AC450">
        <f t="shared" si="14"/>
        <v>0</v>
      </c>
    </row>
    <row r="451">
      <c r="O451" s="8"/>
      <c r="P451">
        <f t="shared" ref="P451:R451" si="705">B451+P452</f>
        <v>0</v>
      </c>
      <c r="Q451">
        <f t="shared" si="705"/>
        <v>0</v>
      </c>
      <c r="R451">
        <f t="shared" si="705"/>
        <v>0</v>
      </c>
      <c r="S451">
        <f t="shared" si="265"/>
        <v>0</v>
      </c>
      <c r="U451" s="8"/>
      <c r="V451">
        <f t="shared" si="9"/>
        <v>0</v>
      </c>
      <c r="W451">
        <f t="shared" si="10"/>
        <v>0</v>
      </c>
      <c r="X451">
        <f t="shared" si="11"/>
        <v>0</v>
      </c>
      <c r="Z451" s="8"/>
      <c r="AA451">
        <f t="shared" si="12"/>
        <v>0</v>
      </c>
      <c r="AB451">
        <f t="shared" si="13"/>
        <v>0</v>
      </c>
      <c r="AC451">
        <f t="shared" si="14"/>
        <v>0</v>
      </c>
    </row>
    <row r="452">
      <c r="O452" s="8"/>
      <c r="P452">
        <f t="shared" ref="P452:R452" si="706">B452+P453</f>
        <v>0</v>
      </c>
      <c r="Q452">
        <f t="shared" si="706"/>
        <v>0</v>
      </c>
      <c r="R452">
        <f t="shared" si="706"/>
        <v>0</v>
      </c>
      <c r="S452">
        <f t="shared" si="265"/>
        <v>0</v>
      </c>
      <c r="U452" s="8"/>
      <c r="V452">
        <f t="shared" si="9"/>
        <v>0</v>
      </c>
      <c r="W452">
        <f t="shared" si="10"/>
        <v>0</v>
      </c>
      <c r="X452">
        <f t="shared" si="11"/>
        <v>0</v>
      </c>
      <c r="Z452" s="8"/>
      <c r="AA452">
        <f t="shared" si="12"/>
        <v>0</v>
      </c>
      <c r="AB452">
        <f t="shared" si="13"/>
        <v>0</v>
      </c>
      <c r="AC452">
        <f t="shared" si="14"/>
        <v>0</v>
      </c>
    </row>
    <row r="453">
      <c r="O453" s="8"/>
      <c r="P453">
        <f t="shared" ref="P453:R453" si="707">B453+P454</f>
        <v>0</v>
      </c>
      <c r="Q453">
        <f t="shared" si="707"/>
        <v>0</v>
      </c>
      <c r="R453">
        <f t="shared" si="707"/>
        <v>0</v>
      </c>
      <c r="S453">
        <f t="shared" si="265"/>
        <v>0</v>
      </c>
      <c r="U453" s="8"/>
      <c r="V453">
        <f t="shared" si="9"/>
        <v>0</v>
      </c>
      <c r="W453">
        <f t="shared" si="10"/>
        <v>0</v>
      </c>
      <c r="X453">
        <f t="shared" si="11"/>
        <v>0</v>
      </c>
      <c r="Z453" s="8"/>
      <c r="AA453">
        <f t="shared" si="12"/>
        <v>0</v>
      </c>
      <c r="AB453">
        <f t="shared" si="13"/>
        <v>0</v>
      </c>
      <c r="AC453">
        <f t="shared" si="14"/>
        <v>0</v>
      </c>
    </row>
    <row r="454">
      <c r="O454" s="8"/>
      <c r="P454">
        <f t="shared" ref="P454:R454" si="708">B454+P455</f>
        <v>0</v>
      </c>
      <c r="Q454">
        <f t="shared" si="708"/>
        <v>0</v>
      </c>
      <c r="R454">
        <f t="shared" si="708"/>
        <v>0</v>
      </c>
      <c r="S454">
        <f t="shared" si="265"/>
        <v>0</v>
      </c>
      <c r="U454" s="8"/>
      <c r="V454">
        <f t="shared" si="9"/>
        <v>0</v>
      </c>
      <c r="W454">
        <f t="shared" si="10"/>
        <v>0</v>
      </c>
      <c r="X454">
        <f t="shared" si="11"/>
        <v>0</v>
      </c>
      <c r="Z454" s="8"/>
      <c r="AA454">
        <f t="shared" si="12"/>
        <v>0</v>
      </c>
      <c r="AB454">
        <f t="shared" si="13"/>
        <v>0</v>
      </c>
      <c r="AC454">
        <f t="shared" si="14"/>
        <v>0</v>
      </c>
    </row>
    <row r="455">
      <c r="O455" s="8"/>
      <c r="P455">
        <f t="shared" ref="P455:R455" si="709">B455+P456</f>
        <v>0</v>
      </c>
      <c r="Q455">
        <f t="shared" si="709"/>
        <v>0</v>
      </c>
      <c r="R455">
        <f t="shared" si="709"/>
        <v>0</v>
      </c>
      <c r="S455">
        <f t="shared" si="265"/>
        <v>0</v>
      </c>
      <c r="U455" s="8"/>
      <c r="V455">
        <f t="shared" si="9"/>
        <v>0</v>
      </c>
      <c r="W455">
        <f t="shared" si="10"/>
        <v>0</v>
      </c>
      <c r="X455">
        <f t="shared" si="11"/>
        <v>0</v>
      </c>
      <c r="Z455" s="8"/>
      <c r="AA455">
        <f t="shared" si="12"/>
        <v>0</v>
      </c>
      <c r="AB455">
        <f t="shared" si="13"/>
        <v>0</v>
      </c>
      <c r="AC455">
        <f t="shared" si="14"/>
        <v>0</v>
      </c>
    </row>
    <row r="456">
      <c r="O456" s="8"/>
      <c r="P456">
        <f t="shared" ref="P456:R456" si="710">B456+P457</f>
        <v>0</v>
      </c>
      <c r="Q456">
        <f t="shared" si="710"/>
        <v>0</v>
      </c>
      <c r="R456">
        <f t="shared" si="710"/>
        <v>0</v>
      </c>
      <c r="S456">
        <f t="shared" si="265"/>
        <v>0</v>
      </c>
      <c r="U456" s="8"/>
      <c r="V456">
        <f t="shared" si="9"/>
        <v>0</v>
      </c>
      <c r="W456">
        <f t="shared" si="10"/>
        <v>0</v>
      </c>
      <c r="X456">
        <f t="shared" si="11"/>
        <v>0</v>
      </c>
      <c r="Z456" s="8"/>
      <c r="AA456">
        <f t="shared" si="12"/>
        <v>0</v>
      </c>
      <c r="AB456">
        <f t="shared" si="13"/>
        <v>0</v>
      </c>
      <c r="AC456">
        <f t="shared" si="14"/>
        <v>0</v>
      </c>
    </row>
    <row r="457">
      <c r="O457" s="8"/>
      <c r="P457">
        <f t="shared" ref="P457:R457" si="711">B457+P458</f>
        <v>0</v>
      </c>
      <c r="Q457">
        <f t="shared" si="711"/>
        <v>0</v>
      </c>
      <c r="R457">
        <f t="shared" si="711"/>
        <v>0</v>
      </c>
      <c r="S457">
        <f t="shared" si="265"/>
        <v>0</v>
      </c>
      <c r="U457" s="8"/>
      <c r="V457">
        <f t="shared" si="9"/>
        <v>0</v>
      </c>
      <c r="W457">
        <f t="shared" si="10"/>
        <v>0</v>
      </c>
      <c r="X457">
        <f t="shared" si="11"/>
        <v>0</v>
      </c>
      <c r="Z457" s="8"/>
      <c r="AA457">
        <f t="shared" si="12"/>
        <v>0</v>
      </c>
      <c r="AB457">
        <f t="shared" si="13"/>
        <v>0</v>
      </c>
      <c r="AC457">
        <f t="shared" si="14"/>
        <v>0</v>
      </c>
    </row>
    <row r="458">
      <c r="O458" s="8"/>
      <c r="P458">
        <f t="shared" ref="P458:R458" si="712">B458+P459</f>
        <v>0</v>
      </c>
      <c r="Q458">
        <f t="shared" si="712"/>
        <v>0</v>
      </c>
      <c r="R458">
        <f t="shared" si="712"/>
        <v>0</v>
      </c>
      <c r="S458">
        <f t="shared" si="265"/>
        <v>0</v>
      </c>
      <c r="U458" s="8"/>
      <c r="V458">
        <f t="shared" si="9"/>
        <v>0</v>
      </c>
      <c r="W458">
        <f t="shared" si="10"/>
        <v>0</v>
      </c>
      <c r="X458">
        <f t="shared" si="11"/>
        <v>0</v>
      </c>
      <c r="Z458" s="8"/>
      <c r="AA458">
        <f t="shared" si="12"/>
        <v>0</v>
      </c>
      <c r="AB458">
        <f t="shared" si="13"/>
        <v>0</v>
      </c>
      <c r="AC458">
        <f t="shared" si="14"/>
        <v>0</v>
      </c>
    </row>
    <row r="459">
      <c r="O459" s="8"/>
      <c r="P459">
        <f t="shared" ref="P459:R459" si="713">B459+P460</f>
        <v>0</v>
      </c>
      <c r="Q459">
        <f t="shared" si="713"/>
        <v>0</v>
      </c>
      <c r="R459">
        <f t="shared" si="713"/>
        <v>0</v>
      </c>
      <c r="S459">
        <f t="shared" si="265"/>
        <v>0</v>
      </c>
      <c r="U459" s="8"/>
      <c r="V459">
        <f t="shared" si="9"/>
        <v>0</v>
      </c>
      <c r="W459">
        <f t="shared" si="10"/>
        <v>0</v>
      </c>
      <c r="X459">
        <f t="shared" si="11"/>
        <v>0</v>
      </c>
      <c r="Z459" s="8"/>
      <c r="AA459">
        <f t="shared" si="12"/>
        <v>0</v>
      </c>
      <c r="AB459">
        <f t="shared" si="13"/>
        <v>0</v>
      </c>
      <c r="AC459">
        <f t="shared" si="14"/>
        <v>0</v>
      </c>
    </row>
    <row r="460">
      <c r="O460" s="8"/>
      <c r="P460">
        <f t="shared" ref="P460:R460" si="714">B460+P461</f>
        <v>0</v>
      </c>
      <c r="Q460">
        <f t="shared" si="714"/>
        <v>0</v>
      </c>
      <c r="R460">
        <f t="shared" si="714"/>
        <v>0</v>
      </c>
      <c r="S460">
        <f t="shared" si="265"/>
        <v>0</v>
      </c>
      <c r="U460" s="8"/>
      <c r="V460">
        <f t="shared" si="9"/>
        <v>0</v>
      </c>
      <c r="W460">
        <f t="shared" si="10"/>
        <v>0</v>
      </c>
      <c r="X460">
        <f t="shared" si="11"/>
        <v>0</v>
      </c>
      <c r="Z460" s="8"/>
      <c r="AA460">
        <f t="shared" si="12"/>
        <v>0</v>
      </c>
      <c r="AB460">
        <f t="shared" si="13"/>
        <v>0</v>
      </c>
      <c r="AC460">
        <f t="shared" si="14"/>
        <v>0</v>
      </c>
    </row>
    <row r="461">
      <c r="O461" s="8"/>
      <c r="P461">
        <f t="shared" ref="P461:R461" si="715">B461+P462</f>
        <v>0</v>
      </c>
      <c r="Q461">
        <f t="shared" si="715"/>
        <v>0</v>
      </c>
      <c r="R461">
        <f t="shared" si="715"/>
        <v>0</v>
      </c>
      <c r="S461">
        <f t="shared" si="265"/>
        <v>0</v>
      </c>
      <c r="U461" s="8"/>
      <c r="V461">
        <f t="shared" si="9"/>
        <v>0</v>
      </c>
      <c r="W461">
        <f t="shared" si="10"/>
        <v>0</v>
      </c>
      <c r="X461">
        <f t="shared" si="11"/>
        <v>0</v>
      </c>
      <c r="Z461" s="8"/>
      <c r="AA461">
        <f t="shared" si="12"/>
        <v>0</v>
      </c>
      <c r="AB461">
        <f t="shared" si="13"/>
        <v>0</v>
      </c>
      <c r="AC461">
        <f t="shared" si="14"/>
        <v>0</v>
      </c>
    </row>
    <row r="462">
      <c r="O462" s="8"/>
      <c r="P462">
        <f t="shared" ref="P462:R462" si="716">B462+P463</f>
        <v>0</v>
      </c>
      <c r="Q462">
        <f t="shared" si="716"/>
        <v>0</v>
      </c>
      <c r="R462">
        <f t="shared" si="716"/>
        <v>0</v>
      </c>
      <c r="S462">
        <f t="shared" si="265"/>
        <v>0</v>
      </c>
      <c r="U462" s="8"/>
      <c r="V462">
        <f t="shared" si="9"/>
        <v>0</v>
      </c>
      <c r="W462">
        <f t="shared" si="10"/>
        <v>0</v>
      </c>
      <c r="X462">
        <f t="shared" si="11"/>
        <v>0</v>
      </c>
      <c r="Z462" s="8"/>
      <c r="AA462">
        <f t="shared" si="12"/>
        <v>0</v>
      </c>
      <c r="AB462">
        <f t="shared" si="13"/>
        <v>0</v>
      </c>
      <c r="AC462">
        <f t="shared" si="14"/>
        <v>0</v>
      </c>
    </row>
    <row r="463">
      <c r="O463" s="8"/>
      <c r="P463">
        <f t="shared" ref="P463:R463" si="717">B463+P464</f>
        <v>0</v>
      </c>
      <c r="Q463">
        <f t="shared" si="717"/>
        <v>0</v>
      </c>
      <c r="R463">
        <f t="shared" si="717"/>
        <v>0</v>
      </c>
      <c r="S463">
        <f t="shared" si="265"/>
        <v>0</v>
      </c>
      <c r="U463" s="8"/>
      <c r="V463">
        <f t="shared" si="9"/>
        <v>0</v>
      </c>
      <c r="W463">
        <f t="shared" si="10"/>
        <v>0</v>
      </c>
      <c r="X463">
        <f t="shared" si="11"/>
        <v>0</v>
      </c>
      <c r="Z463" s="8"/>
      <c r="AA463">
        <f t="shared" si="12"/>
        <v>0</v>
      </c>
      <c r="AB463">
        <f t="shared" si="13"/>
        <v>0</v>
      </c>
      <c r="AC463">
        <f t="shared" si="14"/>
        <v>0</v>
      </c>
    </row>
    <row r="464">
      <c r="O464" s="8"/>
      <c r="P464">
        <f t="shared" ref="P464:R464" si="718">B464+P465</f>
        <v>0</v>
      </c>
      <c r="Q464">
        <f t="shared" si="718"/>
        <v>0</v>
      </c>
      <c r="R464">
        <f t="shared" si="718"/>
        <v>0</v>
      </c>
      <c r="S464">
        <f t="shared" si="265"/>
        <v>0</v>
      </c>
      <c r="U464" s="8"/>
      <c r="V464">
        <f t="shared" si="9"/>
        <v>0</v>
      </c>
      <c r="W464">
        <f t="shared" si="10"/>
        <v>0</v>
      </c>
      <c r="X464">
        <f t="shared" si="11"/>
        <v>0</v>
      </c>
      <c r="Z464" s="8"/>
      <c r="AA464">
        <f t="shared" si="12"/>
        <v>0</v>
      </c>
      <c r="AB464">
        <f t="shared" si="13"/>
        <v>0</v>
      </c>
      <c r="AC464">
        <f t="shared" si="14"/>
        <v>0</v>
      </c>
    </row>
    <row r="465">
      <c r="O465" s="8"/>
      <c r="P465">
        <f t="shared" ref="P465:R465" si="719">B465+P466</f>
        <v>0</v>
      </c>
      <c r="Q465">
        <f t="shared" si="719"/>
        <v>0</v>
      </c>
      <c r="R465">
        <f t="shared" si="719"/>
        <v>0</v>
      </c>
      <c r="S465">
        <f t="shared" si="265"/>
        <v>0</v>
      </c>
      <c r="U465" s="8"/>
      <c r="V465">
        <f t="shared" si="9"/>
        <v>0</v>
      </c>
      <c r="W465">
        <f t="shared" si="10"/>
        <v>0</v>
      </c>
      <c r="X465">
        <f t="shared" si="11"/>
        <v>0</v>
      </c>
      <c r="Z465" s="8"/>
      <c r="AA465">
        <f t="shared" si="12"/>
        <v>0</v>
      </c>
      <c r="AB465">
        <f t="shared" si="13"/>
        <v>0</v>
      </c>
      <c r="AC465">
        <f t="shared" si="14"/>
        <v>0</v>
      </c>
    </row>
    <row r="466">
      <c r="O466" s="8"/>
      <c r="P466">
        <f t="shared" ref="P466:R466" si="720">B466+P467</f>
        <v>0</v>
      </c>
      <c r="Q466">
        <f t="shared" si="720"/>
        <v>0</v>
      </c>
      <c r="R466">
        <f t="shared" si="720"/>
        <v>0</v>
      </c>
      <c r="S466">
        <f t="shared" si="265"/>
        <v>0</v>
      </c>
      <c r="U466" s="8"/>
      <c r="V466">
        <f t="shared" si="9"/>
        <v>0</v>
      </c>
      <c r="W466">
        <f t="shared" si="10"/>
        <v>0</v>
      </c>
      <c r="X466">
        <f t="shared" si="11"/>
        <v>0</v>
      </c>
      <c r="Z466" s="8"/>
      <c r="AA466">
        <f t="shared" si="12"/>
        <v>0</v>
      </c>
      <c r="AB466">
        <f t="shared" si="13"/>
        <v>0</v>
      </c>
      <c r="AC466">
        <f t="shared" si="14"/>
        <v>0</v>
      </c>
    </row>
    <row r="467">
      <c r="O467" s="8"/>
      <c r="P467">
        <f t="shared" ref="P467:R467" si="721">B467+P468</f>
        <v>0</v>
      </c>
      <c r="Q467">
        <f t="shared" si="721"/>
        <v>0</v>
      </c>
      <c r="R467">
        <f t="shared" si="721"/>
        <v>0</v>
      </c>
      <c r="S467">
        <f t="shared" si="265"/>
        <v>0</v>
      </c>
      <c r="U467" s="8"/>
      <c r="V467">
        <f t="shared" si="9"/>
        <v>0</v>
      </c>
      <c r="W467">
        <f t="shared" si="10"/>
        <v>0</v>
      </c>
      <c r="X467">
        <f t="shared" si="11"/>
        <v>0</v>
      </c>
      <c r="Z467" s="8"/>
      <c r="AA467">
        <f t="shared" si="12"/>
        <v>0</v>
      </c>
      <c r="AB467">
        <f t="shared" si="13"/>
        <v>0</v>
      </c>
      <c r="AC467">
        <f t="shared" si="14"/>
        <v>0</v>
      </c>
    </row>
    <row r="468">
      <c r="O468" s="8"/>
      <c r="P468">
        <f t="shared" ref="P468:R468" si="722">B468+P469</f>
        <v>0</v>
      </c>
      <c r="Q468">
        <f t="shared" si="722"/>
        <v>0</v>
      </c>
      <c r="R468">
        <f t="shared" si="722"/>
        <v>0</v>
      </c>
      <c r="S468">
        <f t="shared" si="265"/>
        <v>0</v>
      </c>
      <c r="U468" s="8"/>
      <c r="V468">
        <f t="shared" si="9"/>
        <v>0</v>
      </c>
      <c r="W468">
        <f t="shared" si="10"/>
        <v>0</v>
      </c>
      <c r="X468">
        <f t="shared" si="11"/>
        <v>0</v>
      </c>
      <c r="Z468" s="8"/>
      <c r="AA468">
        <f t="shared" si="12"/>
        <v>0</v>
      </c>
      <c r="AB468">
        <f t="shared" si="13"/>
        <v>0</v>
      </c>
      <c r="AC468">
        <f t="shared" si="14"/>
        <v>0</v>
      </c>
    </row>
    <row r="469">
      <c r="O469" s="8"/>
      <c r="P469">
        <f t="shared" ref="P469:R469" si="723">B469+P470</f>
        <v>0</v>
      </c>
      <c r="Q469">
        <f t="shared" si="723"/>
        <v>0</v>
      </c>
      <c r="R469">
        <f t="shared" si="723"/>
        <v>0</v>
      </c>
      <c r="S469">
        <f t="shared" si="265"/>
        <v>0</v>
      </c>
      <c r="U469" s="8"/>
      <c r="V469">
        <f t="shared" si="9"/>
        <v>0</v>
      </c>
      <c r="W469">
        <f t="shared" si="10"/>
        <v>0</v>
      </c>
      <c r="X469">
        <f t="shared" si="11"/>
        <v>0</v>
      </c>
      <c r="Z469" s="8"/>
      <c r="AA469">
        <f t="shared" si="12"/>
        <v>0</v>
      </c>
      <c r="AB469">
        <f t="shared" si="13"/>
        <v>0</v>
      </c>
      <c r="AC469">
        <f t="shared" si="14"/>
        <v>0</v>
      </c>
    </row>
    <row r="470">
      <c r="O470" s="8"/>
      <c r="P470">
        <f t="shared" ref="P470:R470" si="724">B470+P471</f>
        <v>0</v>
      </c>
      <c r="Q470">
        <f t="shared" si="724"/>
        <v>0</v>
      </c>
      <c r="R470">
        <f t="shared" si="724"/>
        <v>0</v>
      </c>
      <c r="S470">
        <f t="shared" si="265"/>
        <v>0</v>
      </c>
      <c r="U470" s="8"/>
      <c r="V470">
        <f t="shared" si="9"/>
        <v>0</v>
      </c>
      <c r="W470">
        <f t="shared" si="10"/>
        <v>0</v>
      </c>
      <c r="X470">
        <f t="shared" si="11"/>
        <v>0</v>
      </c>
      <c r="Z470" s="8"/>
      <c r="AA470">
        <f t="shared" si="12"/>
        <v>0</v>
      </c>
      <c r="AB470">
        <f t="shared" si="13"/>
        <v>0</v>
      </c>
      <c r="AC470">
        <f t="shared" si="14"/>
        <v>0</v>
      </c>
    </row>
    <row r="471">
      <c r="O471" s="8"/>
      <c r="P471">
        <f t="shared" ref="P471:R471" si="725">B471+P472</f>
        <v>0</v>
      </c>
      <c r="Q471">
        <f t="shared" si="725"/>
        <v>0</v>
      </c>
      <c r="R471">
        <f t="shared" si="725"/>
        <v>0</v>
      </c>
      <c r="S471">
        <f t="shared" si="265"/>
        <v>0</v>
      </c>
      <c r="U471" s="8"/>
      <c r="V471">
        <f t="shared" si="9"/>
        <v>0</v>
      </c>
      <c r="W471">
        <f t="shared" si="10"/>
        <v>0</v>
      </c>
      <c r="X471">
        <f t="shared" si="11"/>
        <v>0</v>
      </c>
      <c r="Z471" s="8"/>
      <c r="AA471">
        <f t="shared" si="12"/>
        <v>0</v>
      </c>
      <c r="AB471">
        <f t="shared" si="13"/>
        <v>0</v>
      </c>
      <c r="AC471">
        <f t="shared" si="14"/>
        <v>0</v>
      </c>
    </row>
    <row r="472">
      <c r="O472" s="8"/>
      <c r="P472">
        <f t="shared" ref="P472:R472" si="726">B472+P473</f>
        <v>0</v>
      </c>
      <c r="Q472">
        <f t="shared" si="726"/>
        <v>0</v>
      </c>
      <c r="R472">
        <f t="shared" si="726"/>
        <v>0</v>
      </c>
      <c r="S472">
        <f t="shared" si="265"/>
        <v>0</v>
      </c>
      <c r="U472" s="8"/>
      <c r="V472">
        <f t="shared" si="9"/>
        <v>0</v>
      </c>
      <c r="W472">
        <f t="shared" si="10"/>
        <v>0</v>
      </c>
      <c r="X472">
        <f t="shared" si="11"/>
        <v>0</v>
      </c>
      <c r="Z472" s="8"/>
      <c r="AA472">
        <f t="shared" si="12"/>
        <v>0</v>
      </c>
      <c r="AB472">
        <f t="shared" si="13"/>
        <v>0</v>
      </c>
      <c r="AC472">
        <f t="shared" si="14"/>
        <v>0</v>
      </c>
    </row>
    <row r="473">
      <c r="O473" s="8"/>
      <c r="P473">
        <f t="shared" ref="P473:R473" si="727">B473+P474</f>
        <v>0</v>
      </c>
      <c r="Q473">
        <f t="shared" si="727"/>
        <v>0</v>
      </c>
      <c r="R473">
        <f t="shared" si="727"/>
        <v>0</v>
      </c>
      <c r="S473">
        <f t="shared" si="265"/>
        <v>0</v>
      </c>
      <c r="U473" s="8"/>
      <c r="V473">
        <f t="shared" si="9"/>
        <v>0</v>
      </c>
      <c r="W473">
        <f t="shared" si="10"/>
        <v>0</v>
      </c>
      <c r="X473">
        <f t="shared" si="11"/>
        <v>0</v>
      </c>
      <c r="Z473" s="8"/>
      <c r="AA473">
        <f t="shared" si="12"/>
        <v>0</v>
      </c>
      <c r="AB473">
        <f t="shared" si="13"/>
        <v>0</v>
      </c>
      <c r="AC473">
        <f t="shared" si="14"/>
        <v>0</v>
      </c>
    </row>
    <row r="474">
      <c r="O474" s="8"/>
      <c r="P474">
        <f t="shared" ref="P474:R474" si="728">B474+P475</f>
        <v>0</v>
      </c>
      <c r="Q474">
        <f t="shared" si="728"/>
        <v>0</v>
      </c>
      <c r="R474">
        <f t="shared" si="728"/>
        <v>0</v>
      </c>
      <c r="S474">
        <f t="shared" si="265"/>
        <v>0</v>
      </c>
      <c r="U474" s="8"/>
      <c r="V474">
        <f t="shared" si="9"/>
        <v>0</v>
      </c>
      <c r="W474">
        <f t="shared" si="10"/>
        <v>0</v>
      </c>
      <c r="X474">
        <f t="shared" si="11"/>
        <v>0</v>
      </c>
      <c r="Z474" s="8"/>
      <c r="AA474">
        <f t="shared" si="12"/>
        <v>0</v>
      </c>
      <c r="AB474">
        <f t="shared" si="13"/>
        <v>0</v>
      </c>
      <c r="AC474">
        <f t="shared" si="14"/>
        <v>0</v>
      </c>
    </row>
    <row r="475">
      <c r="O475" s="8"/>
      <c r="P475">
        <f t="shared" ref="P475:R475" si="729">B475+P476</f>
        <v>0</v>
      </c>
      <c r="Q475">
        <f t="shared" si="729"/>
        <v>0</v>
      </c>
      <c r="R475">
        <f t="shared" si="729"/>
        <v>0</v>
      </c>
      <c r="S475">
        <f t="shared" si="265"/>
        <v>0</v>
      </c>
      <c r="U475" s="8"/>
      <c r="V475">
        <f t="shared" si="9"/>
        <v>0</v>
      </c>
      <c r="W475">
        <f t="shared" si="10"/>
        <v>0</v>
      </c>
      <c r="X475">
        <f t="shared" si="11"/>
        <v>0</v>
      </c>
      <c r="Z475" s="8"/>
      <c r="AA475">
        <f t="shared" si="12"/>
        <v>0</v>
      </c>
      <c r="AB475">
        <f t="shared" si="13"/>
        <v>0</v>
      </c>
      <c r="AC475">
        <f t="shared" si="14"/>
        <v>0</v>
      </c>
    </row>
    <row r="476">
      <c r="O476" s="8"/>
      <c r="P476">
        <f t="shared" ref="P476:R476" si="730">B476+P477</f>
        <v>0</v>
      </c>
      <c r="Q476">
        <f t="shared" si="730"/>
        <v>0</v>
      </c>
      <c r="R476">
        <f t="shared" si="730"/>
        <v>0</v>
      </c>
      <c r="S476">
        <f t="shared" si="265"/>
        <v>0</v>
      </c>
      <c r="U476" s="8"/>
      <c r="V476">
        <f t="shared" si="9"/>
        <v>0</v>
      </c>
      <c r="W476">
        <f t="shared" si="10"/>
        <v>0</v>
      </c>
      <c r="X476">
        <f t="shared" si="11"/>
        <v>0</v>
      </c>
      <c r="Z476" s="8"/>
      <c r="AA476">
        <f t="shared" si="12"/>
        <v>0</v>
      </c>
      <c r="AB476">
        <f t="shared" si="13"/>
        <v>0</v>
      </c>
      <c r="AC476">
        <f t="shared" si="14"/>
        <v>0</v>
      </c>
    </row>
    <row r="477">
      <c r="O477" s="8"/>
      <c r="P477">
        <f t="shared" ref="P477:R477" si="731">B477+P478</f>
        <v>0</v>
      </c>
      <c r="Q477">
        <f t="shared" si="731"/>
        <v>0</v>
      </c>
      <c r="R477">
        <f t="shared" si="731"/>
        <v>0</v>
      </c>
      <c r="S477">
        <f t="shared" si="265"/>
        <v>0</v>
      </c>
      <c r="U477" s="8"/>
      <c r="V477">
        <f t="shared" si="9"/>
        <v>0</v>
      </c>
      <c r="W477">
        <f t="shared" si="10"/>
        <v>0</v>
      </c>
      <c r="X477">
        <f t="shared" si="11"/>
        <v>0</v>
      </c>
      <c r="Z477" s="8"/>
      <c r="AA477">
        <f t="shared" si="12"/>
        <v>0</v>
      </c>
      <c r="AB477">
        <f t="shared" si="13"/>
        <v>0</v>
      </c>
      <c r="AC477">
        <f t="shared" si="14"/>
        <v>0</v>
      </c>
    </row>
    <row r="478">
      <c r="O478" s="8"/>
      <c r="P478">
        <f t="shared" ref="P478:R478" si="732">B478+P479</f>
        <v>0</v>
      </c>
      <c r="Q478">
        <f t="shared" si="732"/>
        <v>0</v>
      </c>
      <c r="R478">
        <f t="shared" si="732"/>
        <v>0</v>
      </c>
      <c r="S478">
        <f t="shared" si="265"/>
        <v>0</v>
      </c>
      <c r="U478" s="8"/>
      <c r="V478">
        <f t="shared" si="9"/>
        <v>0</v>
      </c>
      <c r="W478">
        <f t="shared" si="10"/>
        <v>0</v>
      </c>
      <c r="X478">
        <f t="shared" si="11"/>
        <v>0</v>
      </c>
      <c r="Z478" s="8"/>
      <c r="AA478">
        <f t="shared" si="12"/>
        <v>0</v>
      </c>
      <c r="AB478">
        <f t="shared" si="13"/>
        <v>0</v>
      </c>
      <c r="AC478">
        <f t="shared" si="14"/>
        <v>0</v>
      </c>
    </row>
    <row r="479">
      <c r="O479" s="8"/>
      <c r="P479">
        <f t="shared" ref="P479:R479" si="733">B479+P480</f>
        <v>0</v>
      </c>
      <c r="Q479">
        <f t="shared" si="733"/>
        <v>0</v>
      </c>
      <c r="R479">
        <f t="shared" si="733"/>
        <v>0</v>
      </c>
      <c r="S479">
        <f t="shared" si="265"/>
        <v>0</v>
      </c>
      <c r="U479" s="8"/>
      <c r="V479">
        <f t="shared" si="9"/>
        <v>0</v>
      </c>
      <c r="W479">
        <f t="shared" si="10"/>
        <v>0</v>
      </c>
      <c r="X479">
        <f t="shared" si="11"/>
        <v>0</v>
      </c>
      <c r="Z479" s="8"/>
      <c r="AA479">
        <f t="shared" si="12"/>
        <v>0</v>
      </c>
      <c r="AB479">
        <f t="shared" si="13"/>
        <v>0</v>
      </c>
      <c r="AC479">
        <f t="shared" si="14"/>
        <v>0</v>
      </c>
    </row>
    <row r="480">
      <c r="O480" s="8"/>
      <c r="P480">
        <f t="shared" ref="P480:R480" si="734">B480+P481</f>
        <v>0</v>
      </c>
      <c r="Q480">
        <f t="shared" si="734"/>
        <v>0</v>
      </c>
      <c r="R480">
        <f t="shared" si="734"/>
        <v>0</v>
      </c>
      <c r="S480">
        <f t="shared" si="265"/>
        <v>0</v>
      </c>
      <c r="U480" s="8"/>
      <c r="V480">
        <f t="shared" si="9"/>
        <v>0</v>
      </c>
      <c r="W480">
        <f t="shared" si="10"/>
        <v>0</v>
      </c>
      <c r="X480">
        <f t="shared" si="11"/>
        <v>0</v>
      </c>
      <c r="Z480" s="8"/>
      <c r="AA480">
        <f t="shared" si="12"/>
        <v>0</v>
      </c>
      <c r="AB480">
        <f t="shared" si="13"/>
        <v>0</v>
      </c>
      <c r="AC480">
        <f t="shared" si="14"/>
        <v>0</v>
      </c>
    </row>
    <row r="481">
      <c r="O481" s="8"/>
      <c r="P481">
        <f t="shared" ref="P481:R481" si="735">B481+P482</f>
        <v>0</v>
      </c>
      <c r="Q481">
        <f t="shared" si="735"/>
        <v>0</v>
      </c>
      <c r="R481">
        <f t="shared" si="735"/>
        <v>0</v>
      </c>
      <c r="S481">
        <f t="shared" si="265"/>
        <v>0</v>
      </c>
      <c r="U481" s="8"/>
      <c r="V481">
        <f t="shared" si="9"/>
        <v>0</v>
      </c>
      <c r="W481">
        <f t="shared" si="10"/>
        <v>0</v>
      </c>
      <c r="X481">
        <f t="shared" si="11"/>
        <v>0</v>
      </c>
      <c r="Z481" s="8"/>
      <c r="AA481">
        <f t="shared" si="12"/>
        <v>0</v>
      </c>
      <c r="AB481">
        <f t="shared" si="13"/>
        <v>0</v>
      </c>
      <c r="AC481">
        <f t="shared" si="14"/>
        <v>0</v>
      </c>
    </row>
    <row r="482">
      <c r="O482" s="8"/>
      <c r="P482">
        <f t="shared" ref="P482:R482" si="736">B482+P483</f>
        <v>0</v>
      </c>
      <c r="Q482">
        <f t="shared" si="736"/>
        <v>0</v>
      </c>
      <c r="R482">
        <f t="shared" si="736"/>
        <v>0</v>
      </c>
      <c r="S482">
        <f t="shared" si="265"/>
        <v>0</v>
      </c>
      <c r="U482" s="8"/>
      <c r="V482">
        <f t="shared" si="9"/>
        <v>0</v>
      </c>
      <c r="W482">
        <f t="shared" si="10"/>
        <v>0</v>
      </c>
      <c r="X482">
        <f t="shared" si="11"/>
        <v>0</v>
      </c>
      <c r="Z482" s="8"/>
      <c r="AA482">
        <f t="shared" si="12"/>
        <v>0</v>
      </c>
      <c r="AB482">
        <f t="shared" si="13"/>
        <v>0</v>
      </c>
      <c r="AC482">
        <f t="shared" si="14"/>
        <v>0</v>
      </c>
    </row>
    <row r="483">
      <c r="O483" s="8"/>
      <c r="P483">
        <f t="shared" ref="P483:R483" si="737">B483+P484</f>
        <v>0</v>
      </c>
      <c r="Q483">
        <f t="shared" si="737"/>
        <v>0</v>
      </c>
      <c r="R483">
        <f t="shared" si="737"/>
        <v>0</v>
      </c>
      <c r="S483">
        <f t="shared" si="265"/>
        <v>0</v>
      </c>
      <c r="U483" s="8"/>
      <c r="V483">
        <f t="shared" si="9"/>
        <v>0</v>
      </c>
      <c r="W483">
        <f t="shared" si="10"/>
        <v>0</v>
      </c>
      <c r="X483">
        <f t="shared" si="11"/>
        <v>0</v>
      </c>
      <c r="Z483" s="8"/>
      <c r="AA483">
        <f t="shared" si="12"/>
        <v>0</v>
      </c>
      <c r="AB483">
        <f t="shared" si="13"/>
        <v>0</v>
      </c>
      <c r="AC483">
        <f t="shared" si="14"/>
        <v>0</v>
      </c>
    </row>
    <row r="484">
      <c r="O484" s="8"/>
      <c r="P484">
        <f t="shared" ref="P484:R484" si="738">B484+P485</f>
        <v>0</v>
      </c>
      <c r="Q484">
        <f t="shared" si="738"/>
        <v>0</v>
      </c>
      <c r="R484">
        <f t="shared" si="738"/>
        <v>0</v>
      </c>
      <c r="S484">
        <f t="shared" si="265"/>
        <v>0</v>
      </c>
      <c r="U484" s="8"/>
      <c r="V484">
        <f t="shared" si="9"/>
        <v>0</v>
      </c>
      <c r="W484">
        <f t="shared" si="10"/>
        <v>0</v>
      </c>
      <c r="X484">
        <f t="shared" si="11"/>
        <v>0</v>
      </c>
      <c r="Z484" s="8"/>
      <c r="AA484">
        <f t="shared" si="12"/>
        <v>0</v>
      </c>
      <c r="AB484">
        <f t="shared" si="13"/>
        <v>0</v>
      </c>
      <c r="AC484">
        <f t="shared" si="14"/>
        <v>0</v>
      </c>
    </row>
    <row r="485">
      <c r="O485" s="8"/>
      <c r="P485">
        <f t="shared" ref="P485:R485" si="739">B485+P486</f>
        <v>0</v>
      </c>
      <c r="Q485">
        <f t="shared" si="739"/>
        <v>0</v>
      </c>
      <c r="R485">
        <f t="shared" si="739"/>
        <v>0</v>
      </c>
      <c r="S485">
        <f t="shared" si="265"/>
        <v>0</v>
      </c>
      <c r="U485" s="8"/>
      <c r="V485">
        <f t="shared" si="9"/>
        <v>0</v>
      </c>
      <c r="W485">
        <f t="shared" si="10"/>
        <v>0</v>
      </c>
      <c r="X485">
        <f t="shared" si="11"/>
        <v>0</v>
      </c>
      <c r="Z485" s="8"/>
      <c r="AA485">
        <f t="shared" si="12"/>
        <v>0</v>
      </c>
      <c r="AB485">
        <f t="shared" si="13"/>
        <v>0</v>
      </c>
      <c r="AC485">
        <f t="shared" si="14"/>
        <v>0</v>
      </c>
    </row>
    <row r="486">
      <c r="O486" s="8"/>
      <c r="P486">
        <f t="shared" ref="P486:R486" si="740">B486+P487</f>
        <v>0</v>
      </c>
      <c r="Q486">
        <f t="shared" si="740"/>
        <v>0</v>
      </c>
      <c r="R486">
        <f t="shared" si="740"/>
        <v>0</v>
      </c>
      <c r="S486">
        <f t="shared" si="265"/>
        <v>0</v>
      </c>
      <c r="U486" s="8"/>
      <c r="V486">
        <f t="shared" si="9"/>
        <v>0</v>
      </c>
      <c r="W486">
        <f t="shared" si="10"/>
        <v>0</v>
      </c>
      <c r="X486">
        <f t="shared" si="11"/>
        <v>0</v>
      </c>
      <c r="Z486" s="8"/>
      <c r="AA486">
        <f t="shared" si="12"/>
        <v>0</v>
      </c>
      <c r="AB486">
        <f t="shared" si="13"/>
        <v>0</v>
      </c>
      <c r="AC486">
        <f t="shared" si="14"/>
        <v>0</v>
      </c>
    </row>
    <row r="487">
      <c r="O487" s="8"/>
      <c r="P487">
        <f t="shared" ref="P487:R487" si="741">B487+P488</f>
        <v>0</v>
      </c>
      <c r="Q487">
        <f t="shared" si="741"/>
        <v>0</v>
      </c>
      <c r="R487">
        <f t="shared" si="741"/>
        <v>0</v>
      </c>
      <c r="S487">
        <f t="shared" si="265"/>
        <v>0</v>
      </c>
      <c r="U487" s="8"/>
      <c r="V487">
        <f t="shared" si="9"/>
        <v>0</v>
      </c>
      <c r="W487">
        <f t="shared" si="10"/>
        <v>0</v>
      </c>
      <c r="X487">
        <f t="shared" si="11"/>
        <v>0</v>
      </c>
      <c r="Z487" s="8"/>
      <c r="AA487">
        <f t="shared" si="12"/>
        <v>0</v>
      </c>
      <c r="AB487">
        <f t="shared" si="13"/>
        <v>0</v>
      </c>
      <c r="AC487">
        <f t="shared" si="14"/>
        <v>0</v>
      </c>
    </row>
    <row r="488">
      <c r="O488" s="8"/>
      <c r="P488">
        <f t="shared" ref="P488:R488" si="742">B488+P489</f>
        <v>0</v>
      </c>
      <c r="Q488">
        <f t="shared" si="742"/>
        <v>0</v>
      </c>
      <c r="R488">
        <f t="shared" si="742"/>
        <v>0</v>
      </c>
      <c r="S488">
        <f t="shared" si="265"/>
        <v>0</v>
      </c>
      <c r="U488" s="8"/>
      <c r="V488">
        <f t="shared" si="9"/>
        <v>0</v>
      </c>
      <c r="W488">
        <f t="shared" si="10"/>
        <v>0</v>
      </c>
      <c r="X488">
        <f t="shared" si="11"/>
        <v>0</v>
      </c>
      <c r="Z488" s="8"/>
      <c r="AA488">
        <f t="shared" si="12"/>
        <v>0</v>
      </c>
      <c r="AB488">
        <f t="shared" si="13"/>
        <v>0</v>
      </c>
      <c r="AC488">
        <f t="shared" si="14"/>
        <v>0</v>
      </c>
    </row>
    <row r="489">
      <c r="O489" s="8"/>
      <c r="P489">
        <f t="shared" ref="P489:R489" si="743">B489+P490</f>
        <v>0</v>
      </c>
      <c r="Q489">
        <f t="shared" si="743"/>
        <v>0</v>
      </c>
      <c r="R489">
        <f t="shared" si="743"/>
        <v>0</v>
      </c>
      <c r="S489">
        <f t="shared" si="265"/>
        <v>0</v>
      </c>
      <c r="U489" s="8"/>
      <c r="V489">
        <f t="shared" si="9"/>
        <v>0</v>
      </c>
      <c r="W489">
        <f t="shared" si="10"/>
        <v>0</v>
      </c>
      <c r="X489">
        <f t="shared" si="11"/>
        <v>0</v>
      </c>
      <c r="Z489" s="8"/>
      <c r="AA489">
        <f t="shared" si="12"/>
        <v>0</v>
      </c>
      <c r="AB489">
        <f t="shared" si="13"/>
        <v>0</v>
      </c>
      <c r="AC489">
        <f t="shared" si="14"/>
        <v>0</v>
      </c>
    </row>
    <row r="490">
      <c r="O490" s="8"/>
      <c r="P490">
        <f t="shared" ref="P490:R490" si="744">B490+P491</f>
        <v>0</v>
      </c>
      <c r="Q490">
        <f t="shared" si="744"/>
        <v>0</v>
      </c>
      <c r="R490">
        <f t="shared" si="744"/>
        <v>0</v>
      </c>
      <c r="S490">
        <f t="shared" si="265"/>
        <v>0</v>
      </c>
      <c r="U490" s="8"/>
      <c r="V490">
        <f t="shared" si="9"/>
        <v>0</v>
      </c>
      <c r="W490">
        <f t="shared" si="10"/>
        <v>0</v>
      </c>
      <c r="X490">
        <f t="shared" si="11"/>
        <v>0</v>
      </c>
      <c r="Z490" s="8"/>
      <c r="AA490">
        <f t="shared" si="12"/>
        <v>0</v>
      </c>
      <c r="AB490">
        <f t="shared" si="13"/>
        <v>0</v>
      </c>
      <c r="AC490">
        <f t="shared" si="14"/>
        <v>0</v>
      </c>
    </row>
    <row r="491">
      <c r="O491" s="8"/>
      <c r="P491">
        <f t="shared" ref="P491:R491" si="745">B491+P492</f>
        <v>0</v>
      </c>
      <c r="Q491">
        <f t="shared" si="745"/>
        <v>0</v>
      </c>
      <c r="R491">
        <f t="shared" si="745"/>
        <v>0</v>
      </c>
      <c r="S491">
        <f t="shared" si="265"/>
        <v>0</v>
      </c>
      <c r="U491" s="8"/>
      <c r="V491">
        <f t="shared" si="9"/>
        <v>0</v>
      </c>
      <c r="W491">
        <f t="shared" si="10"/>
        <v>0</v>
      </c>
      <c r="X491">
        <f t="shared" si="11"/>
        <v>0</v>
      </c>
      <c r="Z491" s="8"/>
      <c r="AA491">
        <f t="shared" si="12"/>
        <v>0</v>
      </c>
      <c r="AB491">
        <f t="shared" si="13"/>
        <v>0</v>
      </c>
      <c r="AC491">
        <f t="shared" si="14"/>
        <v>0</v>
      </c>
    </row>
    <row r="492">
      <c r="O492" s="8"/>
      <c r="P492">
        <f t="shared" ref="P492:R492" si="746">B492+P493</f>
        <v>0</v>
      </c>
      <c r="Q492">
        <f t="shared" si="746"/>
        <v>0</v>
      </c>
      <c r="R492">
        <f t="shared" si="746"/>
        <v>0</v>
      </c>
      <c r="S492">
        <f t="shared" si="265"/>
        <v>0</v>
      </c>
      <c r="U492" s="8"/>
      <c r="V492">
        <f t="shared" si="9"/>
        <v>0</v>
      </c>
      <c r="W492">
        <f t="shared" si="10"/>
        <v>0</v>
      </c>
      <c r="X492">
        <f t="shared" si="11"/>
        <v>0</v>
      </c>
      <c r="Z492" s="8"/>
      <c r="AA492">
        <f t="shared" si="12"/>
        <v>0</v>
      </c>
      <c r="AB492">
        <f t="shared" si="13"/>
        <v>0</v>
      </c>
      <c r="AC492">
        <f t="shared" si="14"/>
        <v>0</v>
      </c>
    </row>
    <row r="493">
      <c r="O493" s="8"/>
      <c r="P493">
        <f t="shared" ref="P493:R493" si="747">B493+P494</f>
        <v>0</v>
      </c>
      <c r="Q493">
        <f t="shared" si="747"/>
        <v>0</v>
      </c>
      <c r="R493">
        <f t="shared" si="747"/>
        <v>0</v>
      </c>
      <c r="S493">
        <f t="shared" si="265"/>
        <v>0</v>
      </c>
      <c r="U493" s="8"/>
      <c r="V493">
        <f t="shared" si="9"/>
        <v>0</v>
      </c>
      <c r="W493">
        <f t="shared" si="10"/>
        <v>0</v>
      </c>
      <c r="X493">
        <f t="shared" si="11"/>
        <v>0</v>
      </c>
      <c r="Z493" s="8"/>
      <c r="AA493">
        <f t="shared" si="12"/>
        <v>0</v>
      </c>
      <c r="AB493">
        <f t="shared" si="13"/>
        <v>0</v>
      </c>
      <c r="AC493">
        <f t="shared" si="14"/>
        <v>0</v>
      </c>
    </row>
    <row r="494">
      <c r="O494" s="8"/>
      <c r="P494">
        <f t="shared" ref="P494:R494" si="748">B494+P495</f>
        <v>0</v>
      </c>
      <c r="Q494">
        <f t="shared" si="748"/>
        <v>0</v>
      </c>
      <c r="R494">
        <f t="shared" si="748"/>
        <v>0</v>
      </c>
      <c r="S494">
        <f t="shared" si="265"/>
        <v>0</v>
      </c>
      <c r="U494" s="8"/>
      <c r="V494">
        <f t="shared" si="9"/>
        <v>0</v>
      </c>
      <c r="W494">
        <f t="shared" si="10"/>
        <v>0</v>
      </c>
      <c r="X494">
        <f t="shared" si="11"/>
        <v>0</v>
      </c>
      <c r="Z494" s="8"/>
      <c r="AA494">
        <f t="shared" si="12"/>
        <v>0</v>
      </c>
      <c r="AB494">
        <f t="shared" si="13"/>
        <v>0</v>
      </c>
      <c r="AC494">
        <f t="shared" si="14"/>
        <v>0</v>
      </c>
    </row>
    <row r="495">
      <c r="O495" s="8"/>
      <c r="P495">
        <f t="shared" ref="P495:R495" si="749">B495+P496</f>
        <v>0</v>
      </c>
      <c r="Q495">
        <f t="shared" si="749"/>
        <v>0</v>
      </c>
      <c r="R495">
        <f t="shared" si="749"/>
        <v>0</v>
      </c>
      <c r="S495">
        <f t="shared" si="265"/>
        <v>0</v>
      </c>
      <c r="U495" s="8"/>
      <c r="V495">
        <f t="shared" si="9"/>
        <v>0</v>
      </c>
      <c r="W495">
        <f t="shared" si="10"/>
        <v>0</v>
      </c>
      <c r="X495">
        <f t="shared" si="11"/>
        <v>0</v>
      </c>
      <c r="Z495" s="8"/>
      <c r="AA495">
        <f t="shared" si="12"/>
        <v>0</v>
      </c>
      <c r="AB495">
        <f t="shared" si="13"/>
        <v>0</v>
      </c>
      <c r="AC495">
        <f t="shared" si="14"/>
        <v>0</v>
      </c>
    </row>
    <row r="496">
      <c r="O496" s="8"/>
      <c r="P496">
        <f t="shared" ref="P496:R496" si="750">B496+P497</f>
        <v>0</v>
      </c>
      <c r="Q496">
        <f t="shared" si="750"/>
        <v>0</v>
      </c>
      <c r="R496">
        <f t="shared" si="750"/>
        <v>0</v>
      </c>
      <c r="S496">
        <f t="shared" si="265"/>
        <v>0</v>
      </c>
      <c r="U496" s="8"/>
      <c r="V496">
        <f t="shared" si="9"/>
        <v>0</v>
      </c>
      <c r="W496">
        <f t="shared" si="10"/>
        <v>0</v>
      </c>
      <c r="X496">
        <f t="shared" si="11"/>
        <v>0</v>
      </c>
      <c r="Z496" s="8"/>
      <c r="AA496">
        <f t="shared" si="12"/>
        <v>0</v>
      </c>
      <c r="AB496">
        <f t="shared" si="13"/>
        <v>0</v>
      </c>
      <c r="AC496">
        <f t="shared" si="14"/>
        <v>0</v>
      </c>
    </row>
    <row r="497">
      <c r="O497" s="8"/>
      <c r="P497">
        <f t="shared" ref="P497:R497" si="751">B497+P498</f>
        <v>0</v>
      </c>
      <c r="Q497">
        <f t="shared" si="751"/>
        <v>0</v>
      </c>
      <c r="R497">
        <f t="shared" si="751"/>
        <v>0</v>
      </c>
      <c r="S497">
        <f t="shared" si="265"/>
        <v>0</v>
      </c>
      <c r="U497" s="8"/>
      <c r="V497">
        <f t="shared" si="9"/>
        <v>0</v>
      </c>
      <c r="W497">
        <f t="shared" si="10"/>
        <v>0</v>
      </c>
      <c r="X497">
        <f t="shared" si="11"/>
        <v>0</v>
      </c>
      <c r="Z497" s="8"/>
      <c r="AA497">
        <f t="shared" si="12"/>
        <v>0</v>
      </c>
      <c r="AB497">
        <f t="shared" si="13"/>
        <v>0</v>
      </c>
      <c r="AC497">
        <f t="shared" si="14"/>
        <v>0</v>
      </c>
    </row>
    <row r="498">
      <c r="O498" s="8"/>
      <c r="P498">
        <f t="shared" ref="P498:R498" si="752">B498+P499</f>
        <v>0</v>
      </c>
      <c r="Q498">
        <f t="shared" si="752"/>
        <v>0</v>
      </c>
      <c r="R498">
        <f t="shared" si="752"/>
        <v>0</v>
      </c>
      <c r="S498">
        <f t="shared" si="265"/>
        <v>0</v>
      </c>
      <c r="U498" s="8"/>
      <c r="V498">
        <f t="shared" si="9"/>
        <v>0</v>
      </c>
      <c r="W498">
        <f t="shared" si="10"/>
        <v>0</v>
      </c>
      <c r="X498">
        <f t="shared" si="11"/>
        <v>0</v>
      </c>
      <c r="Z498" s="8"/>
      <c r="AA498">
        <f t="shared" si="12"/>
        <v>0</v>
      </c>
      <c r="AB498">
        <f t="shared" si="13"/>
        <v>0</v>
      </c>
      <c r="AC498">
        <f t="shared" si="14"/>
        <v>0</v>
      </c>
    </row>
    <row r="499">
      <c r="O499" s="8"/>
      <c r="P499">
        <f t="shared" ref="P499:R499" si="753">B499+P500</f>
        <v>0</v>
      </c>
      <c r="Q499">
        <f t="shared" si="753"/>
        <v>0</v>
      </c>
      <c r="R499">
        <f t="shared" si="753"/>
        <v>0</v>
      </c>
      <c r="S499">
        <f t="shared" si="265"/>
        <v>0</v>
      </c>
      <c r="U499" s="8"/>
      <c r="V499">
        <f t="shared" si="9"/>
        <v>0</v>
      </c>
      <c r="W499">
        <f t="shared" si="10"/>
        <v>0</v>
      </c>
      <c r="X499">
        <f t="shared" si="11"/>
        <v>0</v>
      </c>
      <c r="Z499" s="8"/>
      <c r="AA499">
        <f t="shared" si="12"/>
        <v>0</v>
      </c>
      <c r="AB499">
        <f t="shared" si="13"/>
        <v>0</v>
      </c>
      <c r="AC499">
        <f t="shared" si="14"/>
        <v>0</v>
      </c>
    </row>
    <row r="500">
      <c r="O500" s="8"/>
      <c r="P500">
        <f t="shared" ref="P500:R500" si="754">B500+P501</f>
        <v>0</v>
      </c>
      <c r="Q500">
        <f t="shared" si="754"/>
        <v>0</v>
      </c>
      <c r="R500">
        <f t="shared" si="754"/>
        <v>0</v>
      </c>
      <c r="S500">
        <f t="shared" si="265"/>
        <v>0</v>
      </c>
      <c r="U500" s="8"/>
      <c r="V500">
        <f t="shared" si="9"/>
        <v>0</v>
      </c>
      <c r="W500">
        <f t="shared" si="10"/>
        <v>0</v>
      </c>
      <c r="X500">
        <f t="shared" si="11"/>
        <v>0</v>
      </c>
      <c r="Z500" s="8"/>
      <c r="AA500">
        <f t="shared" si="12"/>
        <v>0</v>
      </c>
      <c r="AB500">
        <f t="shared" si="13"/>
        <v>0</v>
      </c>
      <c r="AC500">
        <f t="shared" si="14"/>
        <v>0</v>
      </c>
    </row>
    <row r="501">
      <c r="O501" s="8"/>
      <c r="P501">
        <f t="shared" ref="P501:R501" si="755">B501+P502</f>
        <v>0</v>
      </c>
      <c r="Q501">
        <f t="shared" si="755"/>
        <v>0</v>
      </c>
      <c r="R501">
        <f t="shared" si="755"/>
        <v>0</v>
      </c>
      <c r="S501">
        <f t="shared" si="265"/>
        <v>0</v>
      </c>
      <c r="U501" s="8"/>
      <c r="V501">
        <f t="shared" si="9"/>
        <v>0</v>
      </c>
      <c r="W501">
        <f t="shared" si="10"/>
        <v>0</v>
      </c>
      <c r="X501">
        <f t="shared" si="11"/>
        <v>0</v>
      </c>
      <c r="Z501" s="8"/>
      <c r="AA501">
        <f t="shared" si="12"/>
        <v>0</v>
      </c>
      <c r="AB501">
        <f t="shared" si="13"/>
        <v>0</v>
      </c>
      <c r="AC501">
        <f t="shared" si="14"/>
        <v>0</v>
      </c>
    </row>
    <row r="502">
      <c r="O502" s="8"/>
      <c r="P502">
        <f t="shared" ref="P502:R502" si="756">B502+P503</f>
        <v>0</v>
      </c>
      <c r="Q502">
        <f t="shared" si="756"/>
        <v>0</v>
      </c>
      <c r="R502">
        <f t="shared" si="756"/>
        <v>0</v>
      </c>
      <c r="S502">
        <f t="shared" si="265"/>
        <v>0</v>
      </c>
      <c r="U502" s="8"/>
      <c r="V502">
        <f t="shared" si="9"/>
        <v>0</v>
      </c>
      <c r="W502">
        <f t="shared" si="10"/>
        <v>0</v>
      </c>
      <c r="X502">
        <f t="shared" si="11"/>
        <v>0</v>
      </c>
      <c r="Z502" s="8"/>
      <c r="AA502">
        <f t="shared" si="12"/>
        <v>0</v>
      </c>
      <c r="AB502">
        <f t="shared" si="13"/>
        <v>0</v>
      </c>
      <c r="AC502">
        <f t="shared" si="14"/>
        <v>0</v>
      </c>
    </row>
    <row r="503">
      <c r="O503" s="8"/>
      <c r="P503">
        <f t="shared" ref="P503:R503" si="757">B503+P504</f>
        <v>0</v>
      </c>
      <c r="Q503">
        <f t="shared" si="757"/>
        <v>0</v>
      </c>
      <c r="R503">
        <f t="shared" si="757"/>
        <v>0</v>
      </c>
      <c r="S503">
        <f t="shared" si="265"/>
        <v>0</v>
      </c>
      <c r="U503" s="8"/>
      <c r="V503">
        <f t="shared" si="9"/>
        <v>0</v>
      </c>
      <c r="W503">
        <f t="shared" si="10"/>
        <v>0</v>
      </c>
      <c r="X503">
        <f t="shared" si="11"/>
        <v>0</v>
      </c>
      <c r="Z503" s="8"/>
      <c r="AA503">
        <f t="shared" si="12"/>
        <v>0</v>
      </c>
      <c r="AB503">
        <f t="shared" si="13"/>
        <v>0</v>
      </c>
      <c r="AC503">
        <f t="shared" si="14"/>
        <v>0</v>
      </c>
    </row>
    <row r="504">
      <c r="O504" s="8"/>
      <c r="P504">
        <f t="shared" ref="P504:R504" si="758">B504+P505</f>
        <v>0</v>
      </c>
      <c r="Q504">
        <f t="shared" si="758"/>
        <v>0</v>
      </c>
      <c r="R504">
        <f t="shared" si="758"/>
        <v>0</v>
      </c>
      <c r="S504">
        <f t="shared" si="265"/>
        <v>0</v>
      </c>
      <c r="U504" s="8"/>
      <c r="V504">
        <f t="shared" si="9"/>
        <v>0</v>
      </c>
      <c r="W504">
        <f t="shared" si="10"/>
        <v>0</v>
      </c>
      <c r="X504">
        <f t="shared" si="11"/>
        <v>0</v>
      </c>
      <c r="Z504" s="8"/>
      <c r="AA504">
        <f t="shared" si="12"/>
        <v>0</v>
      </c>
      <c r="AB504">
        <f t="shared" si="13"/>
        <v>0</v>
      </c>
      <c r="AC504">
        <f t="shared" si="14"/>
        <v>0</v>
      </c>
    </row>
    <row r="505">
      <c r="O505" s="8"/>
      <c r="P505">
        <f t="shared" ref="P505:R505" si="759">B505+P506</f>
        <v>0</v>
      </c>
      <c r="Q505">
        <f t="shared" si="759"/>
        <v>0</v>
      </c>
      <c r="R505">
        <f t="shared" si="759"/>
        <v>0</v>
      </c>
      <c r="S505">
        <f t="shared" si="265"/>
        <v>0</v>
      </c>
      <c r="U505" s="8"/>
      <c r="V505">
        <f t="shared" si="9"/>
        <v>0</v>
      </c>
      <c r="W505">
        <f t="shared" si="10"/>
        <v>0</v>
      </c>
      <c r="X505">
        <f t="shared" si="11"/>
        <v>0</v>
      </c>
      <c r="Z505" s="8"/>
      <c r="AA505">
        <f t="shared" si="12"/>
        <v>0</v>
      </c>
      <c r="AB505">
        <f t="shared" si="13"/>
        <v>0</v>
      </c>
      <c r="AC505">
        <f t="shared" si="14"/>
        <v>0</v>
      </c>
    </row>
    <row r="506">
      <c r="O506" s="8"/>
      <c r="P506">
        <f t="shared" ref="P506:R506" si="760">B506+P507</f>
        <v>0</v>
      </c>
      <c r="Q506">
        <f t="shared" si="760"/>
        <v>0</v>
      </c>
      <c r="R506">
        <f t="shared" si="760"/>
        <v>0</v>
      </c>
      <c r="S506">
        <f t="shared" si="265"/>
        <v>0</v>
      </c>
      <c r="U506" s="8"/>
      <c r="V506">
        <f t="shared" si="9"/>
        <v>0</v>
      </c>
      <c r="W506">
        <f t="shared" si="10"/>
        <v>0</v>
      </c>
      <c r="X506">
        <f t="shared" si="11"/>
        <v>0</v>
      </c>
      <c r="Z506" s="8"/>
      <c r="AA506">
        <f t="shared" si="12"/>
        <v>0</v>
      </c>
      <c r="AB506">
        <f t="shared" si="13"/>
        <v>0</v>
      </c>
      <c r="AC506">
        <f t="shared" si="14"/>
        <v>0</v>
      </c>
    </row>
    <row r="507">
      <c r="O507" s="8"/>
      <c r="P507">
        <f t="shared" ref="P507:R507" si="761">B507+P508</f>
        <v>0</v>
      </c>
      <c r="Q507">
        <f t="shared" si="761"/>
        <v>0</v>
      </c>
      <c r="R507">
        <f t="shared" si="761"/>
        <v>0</v>
      </c>
      <c r="S507">
        <f t="shared" si="265"/>
        <v>0</v>
      </c>
      <c r="U507" s="8"/>
      <c r="V507">
        <f t="shared" si="9"/>
        <v>0</v>
      </c>
      <c r="W507">
        <f t="shared" si="10"/>
        <v>0</v>
      </c>
      <c r="X507">
        <f t="shared" si="11"/>
        <v>0</v>
      </c>
      <c r="Z507" s="8"/>
      <c r="AA507">
        <f t="shared" si="12"/>
        <v>0</v>
      </c>
      <c r="AB507">
        <f t="shared" si="13"/>
        <v>0</v>
      </c>
      <c r="AC507">
        <f t="shared" si="14"/>
        <v>0</v>
      </c>
    </row>
    <row r="508">
      <c r="O508" s="8"/>
      <c r="P508">
        <f t="shared" ref="P508:R508" si="762">B508+P509</f>
        <v>0</v>
      </c>
      <c r="Q508">
        <f t="shared" si="762"/>
        <v>0</v>
      </c>
      <c r="R508">
        <f t="shared" si="762"/>
        <v>0</v>
      </c>
      <c r="S508">
        <f t="shared" si="265"/>
        <v>0</v>
      </c>
      <c r="U508" s="8"/>
      <c r="V508">
        <f t="shared" si="9"/>
        <v>0</v>
      </c>
      <c r="W508">
        <f t="shared" si="10"/>
        <v>0</v>
      </c>
      <c r="X508">
        <f t="shared" si="11"/>
        <v>0</v>
      </c>
      <c r="Z508" s="8"/>
      <c r="AA508">
        <f t="shared" si="12"/>
        <v>0</v>
      </c>
      <c r="AB508">
        <f t="shared" si="13"/>
        <v>0</v>
      </c>
      <c r="AC508">
        <f t="shared" si="14"/>
        <v>0</v>
      </c>
    </row>
    <row r="509">
      <c r="O509" s="8"/>
      <c r="P509">
        <f t="shared" ref="P509:R509" si="763">B509+P510</f>
        <v>0</v>
      </c>
      <c r="Q509">
        <f t="shared" si="763"/>
        <v>0</v>
      </c>
      <c r="R509">
        <f t="shared" si="763"/>
        <v>0</v>
      </c>
      <c r="S509">
        <f t="shared" si="265"/>
        <v>0</v>
      </c>
      <c r="U509" s="8"/>
      <c r="V509">
        <f t="shared" si="9"/>
        <v>0</v>
      </c>
      <c r="W509">
        <f t="shared" si="10"/>
        <v>0</v>
      </c>
      <c r="X509">
        <f t="shared" si="11"/>
        <v>0</v>
      </c>
      <c r="Z509" s="8"/>
      <c r="AA509">
        <f t="shared" si="12"/>
        <v>0</v>
      </c>
      <c r="AB509">
        <f t="shared" si="13"/>
        <v>0</v>
      </c>
      <c r="AC509">
        <f t="shared" si="14"/>
        <v>0</v>
      </c>
    </row>
    <row r="510">
      <c r="O510" s="8"/>
      <c r="P510">
        <f t="shared" ref="P510:R510" si="764">B510+P511</f>
        <v>0</v>
      </c>
      <c r="Q510">
        <f t="shared" si="764"/>
        <v>0</v>
      </c>
      <c r="R510">
        <f t="shared" si="764"/>
        <v>0</v>
      </c>
      <c r="S510">
        <f t="shared" si="265"/>
        <v>0</v>
      </c>
      <c r="U510" s="8"/>
      <c r="V510">
        <f t="shared" si="9"/>
        <v>0</v>
      </c>
      <c r="W510">
        <f t="shared" si="10"/>
        <v>0</v>
      </c>
      <c r="X510">
        <f t="shared" si="11"/>
        <v>0</v>
      </c>
      <c r="Z510" s="8"/>
      <c r="AA510">
        <f t="shared" si="12"/>
        <v>0</v>
      </c>
      <c r="AB510">
        <f t="shared" si="13"/>
        <v>0</v>
      </c>
      <c r="AC510">
        <f t="shared" si="14"/>
        <v>0</v>
      </c>
    </row>
    <row r="511">
      <c r="O511" s="8"/>
      <c r="P511">
        <f t="shared" ref="P511:R511" si="765">B511+P512</f>
        <v>0</v>
      </c>
      <c r="Q511">
        <f t="shared" si="765"/>
        <v>0</v>
      </c>
      <c r="R511">
        <f t="shared" si="765"/>
        <v>0</v>
      </c>
      <c r="S511">
        <f t="shared" si="265"/>
        <v>0</v>
      </c>
      <c r="U511" s="8"/>
      <c r="V511">
        <f t="shared" si="9"/>
        <v>0</v>
      </c>
      <c r="W511">
        <f t="shared" si="10"/>
        <v>0</v>
      </c>
      <c r="X511">
        <f t="shared" si="11"/>
        <v>0</v>
      </c>
      <c r="Z511" s="8"/>
      <c r="AA511">
        <f t="shared" si="12"/>
        <v>0</v>
      </c>
      <c r="AB511">
        <f t="shared" si="13"/>
        <v>0</v>
      </c>
      <c r="AC511">
        <f t="shared" si="14"/>
        <v>0</v>
      </c>
    </row>
    <row r="512">
      <c r="O512" s="8"/>
      <c r="P512">
        <f t="shared" ref="P512:R512" si="766">B512+P513</f>
        <v>0</v>
      </c>
      <c r="Q512">
        <f t="shared" si="766"/>
        <v>0</v>
      </c>
      <c r="R512">
        <f t="shared" si="766"/>
        <v>0</v>
      </c>
      <c r="S512">
        <f t="shared" si="265"/>
        <v>0</v>
      </c>
      <c r="U512" s="8"/>
      <c r="V512">
        <f t="shared" si="9"/>
        <v>0</v>
      </c>
      <c r="W512">
        <f t="shared" si="10"/>
        <v>0</v>
      </c>
      <c r="X512">
        <f t="shared" si="11"/>
        <v>0</v>
      </c>
      <c r="Z512" s="8"/>
      <c r="AA512">
        <f t="shared" si="12"/>
        <v>0</v>
      </c>
      <c r="AB512">
        <f t="shared" si="13"/>
        <v>0</v>
      </c>
      <c r="AC512">
        <f t="shared" si="14"/>
        <v>0</v>
      </c>
    </row>
    <row r="513">
      <c r="O513" s="8"/>
      <c r="P513">
        <f t="shared" ref="P513:R513" si="767">B513+P514</f>
        <v>0</v>
      </c>
      <c r="Q513">
        <f t="shared" si="767"/>
        <v>0</v>
      </c>
      <c r="R513">
        <f t="shared" si="767"/>
        <v>0</v>
      </c>
      <c r="S513">
        <f t="shared" si="265"/>
        <v>0</v>
      </c>
      <c r="U513" s="8"/>
      <c r="V513">
        <f t="shared" si="9"/>
        <v>0</v>
      </c>
      <c r="W513">
        <f t="shared" si="10"/>
        <v>0</v>
      </c>
      <c r="X513">
        <f t="shared" si="11"/>
        <v>0</v>
      </c>
      <c r="Z513" s="8"/>
      <c r="AA513">
        <f t="shared" si="12"/>
        <v>0</v>
      </c>
      <c r="AB513">
        <f t="shared" si="13"/>
        <v>0</v>
      </c>
      <c r="AC513">
        <f t="shared" si="14"/>
        <v>0</v>
      </c>
    </row>
    <row r="514">
      <c r="O514" s="8"/>
      <c r="P514">
        <f t="shared" ref="P514:R514" si="768">B514+P515</f>
        <v>0</v>
      </c>
      <c r="Q514">
        <f t="shared" si="768"/>
        <v>0</v>
      </c>
      <c r="R514">
        <f t="shared" si="768"/>
        <v>0</v>
      </c>
      <c r="S514">
        <f t="shared" si="265"/>
        <v>0</v>
      </c>
      <c r="U514" s="8"/>
      <c r="V514">
        <f t="shared" si="9"/>
        <v>0</v>
      </c>
      <c r="W514">
        <f t="shared" si="10"/>
        <v>0</v>
      </c>
      <c r="X514">
        <f t="shared" si="11"/>
        <v>0</v>
      </c>
      <c r="Z514" s="8"/>
      <c r="AA514">
        <f t="shared" si="12"/>
        <v>0</v>
      </c>
      <c r="AB514">
        <f t="shared" si="13"/>
        <v>0</v>
      </c>
      <c r="AC514">
        <f t="shared" si="14"/>
        <v>0</v>
      </c>
    </row>
    <row r="515">
      <c r="O515" s="8"/>
      <c r="P515">
        <f t="shared" ref="P515:R515" si="769">B515+P516</f>
        <v>0</v>
      </c>
      <c r="Q515">
        <f t="shared" si="769"/>
        <v>0</v>
      </c>
      <c r="R515">
        <f t="shared" si="769"/>
        <v>0</v>
      </c>
      <c r="S515">
        <f t="shared" si="265"/>
        <v>0</v>
      </c>
      <c r="U515" s="8"/>
      <c r="V515">
        <f t="shared" si="9"/>
        <v>0</v>
      </c>
      <c r="W515">
        <f t="shared" si="10"/>
        <v>0</v>
      </c>
      <c r="X515">
        <f t="shared" si="11"/>
        <v>0</v>
      </c>
      <c r="Z515" s="8"/>
      <c r="AA515">
        <f t="shared" si="12"/>
        <v>0</v>
      </c>
      <c r="AB515">
        <f t="shared" si="13"/>
        <v>0</v>
      </c>
      <c r="AC515">
        <f t="shared" si="14"/>
        <v>0</v>
      </c>
    </row>
    <row r="516">
      <c r="O516" s="8"/>
      <c r="P516">
        <f t="shared" ref="P516:R516" si="770">B516+P517</f>
        <v>0</v>
      </c>
      <c r="Q516">
        <f t="shared" si="770"/>
        <v>0</v>
      </c>
      <c r="R516">
        <f t="shared" si="770"/>
        <v>0</v>
      </c>
      <c r="S516">
        <f t="shared" si="265"/>
        <v>0</v>
      </c>
      <c r="U516" s="8"/>
      <c r="V516">
        <f t="shared" si="9"/>
        <v>0</v>
      </c>
      <c r="W516">
        <f t="shared" si="10"/>
        <v>0</v>
      </c>
      <c r="X516">
        <f t="shared" si="11"/>
        <v>0</v>
      </c>
      <c r="Z516" s="8"/>
      <c r="AA516">
        <f t="shared" si="12"/>
        <v>0</v>
      </c>
      <c r="AB516">
        <f t="shared" si="13"/>
        <v>0</v>
      </c>
      <c r="AC516">
        <f t="shared" si="14"/>
        <v>0</v>
      </c>
    </row>
    <row r="517">
      <c r="O517" s="8"/>
      <c r="P517">
        <f t="shared" ref="P517:R517" si="771">B517+P518</f>
        <v>0</v>
      </c>
      <c r="Q517">
        <f t="shared" si="771"/>
        <v>0</v>
      </c>
      <c r="R517">
        <f t="shared" si="771"/>
        <v>0</v>
      </c>
      <c r="S517">
        <f t="shared" si="265"/>
        <v>0</v>
      </c>
      <c r="U517" s="8"/>
      <c r="V517">
        <f t="shared" si="9"/>
        <v>0</v>
      </c>
      <c r="W517">
        <f t="shared" si="10"/>
        <v>0</v>
      </c>
      <c r="X517">
        <f t="shared" si="11"/>
        <v>0</v>
      </c>
      <c r="Z517" s="8"/>
      <c r="AA517">
        <f t="shared" si="12"/>
        <v>0</v>
      </c>
      <c r="AB517">
        <f t="shared" si="13"/>
        <v>0</v>
      </c>
      <c r="AC517">
        <f t="shared" si="14"/>
        <v>0</v>
      </c>
    </row>
    <row r="518">
      <c r="O518" s="8"/>
      <c r="P518">
        <f t="shared" ref="P518:R518" si="772">B518+P519</f>
        <v>0</v>
      </c>
      <c r="Q518">
        <f t="shared" si="772"/>
        <v>0</v>
      </c>
      <c r="R518">
        <f t="shared" si="772"/>
        <v>0</v>
      </c>
      <c r="S518">
        <f t="shared" si="265"/>
        <v>0</v>
      </c>
      <c r="U518" s="8"/>
      <c r="V518">
        <f t="shared" si="9"/>
        <v>0</v>
      </c>
      <c r="W518">
        <f t="shared" si="10"/>
        <v>0</v>
      </c>
      <c r="X518">
        <f t="shared" si="11"/>
        <v>0</v>
      </c>
      <c r="Z518" s="8"/>
      <c r="AA518">
        <f t="shared" si="12"/>
        <v>0</v>
      </c>
      <c r="AB518">
        <f t="shared" si="13"/>
        <v>0</v>
      </c>
      <c r="AC518">
        <f t="shared" si="14"/>
        <v>0</v>
      </c>
    </row>
    <row r="519">
      <c r="O519" s="8"/>
      <c r="P519">
        <f t="shared" ref="P519:R519" si="773">B519+P520</f>
        <v>0</v>
      </c>
      <c r="Q519">
        <f t="shared" si="773"/>
        <v>0</v>
      </c>
      <c r="R519">
        <f t="shared" si="773"/>
        <v>0</v>
      </c>
      <c r="S519">
        <f t="shared" si="265"/>
        <v>0</v>
      </c>
      <c r="U519" s="8"/>
      <c r="V519">
        <f t="shared" si="9"/>
        <v>0</v>
      </c>
      <c r="W519">
        <f t="shared" si="10"/>
        <v>0</v>
      </c>
      <c r="X519">
        <f t="shared" si="11"/>
        <v>0</v>
      </c>
      <c r="Z519" s="8"/>
      <c r="AA519">
        <f t="shared" si="12"/>
        <v>0</v>
      </c>
      <c r="AB519">
        <f t="shared" si="13"/>
        <v>0</v>
      </c>
      <c r="AC519">
        <f t="shared" si="14"/>
        <v>0</v>
      </c>
    </row>
    <row r="520">
      <c r="O520" s="8"/>
      <c r="P520">
        <f t="shared" ref="P520:R520" si="774">B520+P521</f>
        <v>0</v>
      </c>
      <c r="Q520">
        <f t="shared" si="774"/>
        <v>0</v>
      </c>
      <c r="R520">
        <f t="shared" si="774"/>
        <v>0</v>
      </c>
      <c r="S520">
        <f t="shared" si="265"/>
        <v>0</v>
      </c>
      <c r="U520" s="8"/>
      <c r="V520">
        <f t="shared" si="9"/>
        <v>0</v>
      </c>
      <c r="W520">
        <f t="shared" si="10"/>
        <v>0</v>
      </c>
      <c r="X520">
        <f t="shared" si="11"/>
        <v>0</v>
      </c>
      <c r="Z520" s="8"/>
      <c r="AA520">
        <f t="shared" si="12"/>
        <v>0</v>
      </c>
      <c r="AB520">
        <f t="shared" si="13"/>
        <v>0</v>
      </c>
      <c r="AC520">
        <f t="shared" si="14"/>
        <v>0</v>
      </c>
    </row>
    <row r="521">
      <c r="O521" s="8"/>
      <c r="P521">
        <f t="shared" ref="P521:R521" si="775">B521+P522</f>
        <v>0</v>
      </c>
      <c r="Q521">
        <f t="shared" si="775"/>
        <v>0</v>
      </c>
      <c r="R521">
        <f t="shared" si="775"/>
        <v>0</v>
      </c>
      <c r="S521">
        <f t="shared" si="265"/>
        <v>0</v>
      </c>
      <c r="U521" s="8"/>
      <c r="V521">
        <f t="shared" si="9"/>
        <v>0</v>
      </c>
      <c r="W521">
        <f t="shared" si="10"/>
        <v>0</v>
      </c>
      <c r="X521">
        <f t="shared" si="11"/>
        <v>0</v>
      </c>
      <c r="Z521" s="8"/>
      <c r="AA521">
        <f t="shared" si="12"/>
        <v>0</v>
      </c>
      <c r="AB521">
        <f t="shared" si="13"/>
        <v>0</v>
      </c>
      <c r="AC521">
        <f t="shared" si="14"/>
        <v>0</v>
      </c>
    </row>
    <row r="522">
      <c r="O522" s="8"/>
      <c r="P522">
        <f t="shared" ref="P522:R522" si="776">B522+P523</f>
        <v>0</v>
      </c>
      <c r="Q522">
        <f t="shared" si="776"/>
        <v>0</v>
      </c>
      <c r="R522">
        <f t="shared" si="776"/>
        <v>0</v>
      </c>
      <c r="S522">
        <f t="shared" si="265"/>
        <v>0</v>
      </c>
      <c r="U522" s="8"/>
      <c r="V522">
        <f t="shared" si="9"/>
        <v>0</v>
      </c>
      <c r="W522">
        <f t="shared" si="10"/>
        <v>0</v>
      </c>
      <c r="X522">
        <f t="shared" si="11"/>
        <v>0</v>
      </c>
      <c r="Z522" s="8"/>
      <c r="AA522">
        <f t="shared" si="12"/>
        <v>0</v>
      </c>
      <c r="AB522">
        <f t="shared" si="13"/>
        <v>0</v>
      </c>
      <c r="AC522">
        <f t="shared" si="14"/>
        <v>0</v>
      </c>
    </row>
    <row r="523">
      <c r="O523" s="8"/>
      <c r="P523">
        <f t="shared" ref="P523:R523" si="777">B523+P524</f>
        <v>0</v>
      </c>
      <c r="Q523">
        <f t="shared" si="777"/>
        <v>0</v>
      </c>
      <c r="R523">
        <f t="shared" si="777"/>
        <v>0</v>
      </c>
      <c r="S523">
        <f t="shared" si="265"/>
        <v>0</v>
      </c>
      <c r="U523" s="8"/>
      <c r="V523">
        <f t="shared" si="9"/>
        <v>0</v>
      </c>
      <c r="W523">
        <f t="shared" si="10"/>
        <v>0</v>
      </c>
      <c r="X523">
        <f t="shared" si="11"/>
        <v>0</v>
      </c>
      <c r="Z523" s="8"/>
      <c r="AA523">
        <f t="shared" si="12"/>
        <v>0</v>
      </c>
      <c r="AB523">
        <f t="shared" si="13"/>
        <v>0</v>
      </c>
      <c r="AC523">
        <f t="shared" si="14"/>
        <v>0</v>
      </c>
    </row>
    <row r="524">
      <c r="O524" s="8"/>
      <c r="P524">
        <f t="shared" ref="P524:R524" si="778">B524+P525</f>
        <v>0</v>
      </c>
      <c r="Q524">
        <f t="shared" si="778"/>
        <v>0</v>
      </c>
      <c r="R524">
        <f t="shared" si="778"/>
        <v>0</v>
      </c>
      <c r="S524">
        <f t="shared" si="265"/>
        <v>0</v>
      </c>
      <c r="U524" s="8"/>
      <c r="V524">
        <f t="shared" si="9"/>
        <v>0</v>
      </c>
      <c r="W524">
        <f t="shared" si="10"/>
        <v>0</v>
      </c>
      <c r="X524">
        <f t="shared" si="11"/>
        <v>0</v>
      </c>
      <c r="Z524" s="8"/>
      <c r="AA524">
        <f t="shared" si="12"/>
        <v>0</v>
      </c>
      <c r="AB524">
        <f t="shared" si="13"/>
        <v>0</v>
      </c>
      <c r="AC524">
        <f t="shared" si="14"/>
        <v>0</v>
      </c>
    </row>
    <row r="525">
      <c r="O525" s="8"/>
      <c r="P525">
        <f t="shared" ref="P525:R525" si="779">B525+P526</f>
        <v>0</v>
      </c>
      <c r="Q525">
        <f t="shared" si="779"/>
        <v>0</v>
      </c>
      <c r="R525">
        <f t="shared" si="779"/>
        <v>0</v>
      </c>
      <c r="S525">
        <f t="shared" si="265"/>
        <v>0</v>
      </c>
      <c r="U525" s="8"/>
      <c r="V525">
        <f t="shared" si="9"/>
        <v>0</v>
      </c>
      <c r="W525">
        <f t="shared" si="10"/>
        <v>0</v>
      </c>
      <c r="X525">
        <f t="shared" si="11"/>
        <v>0</v>
      </c>
      <c r="Z525" s="8"/>
      <c r="AA525">
        <f t="shared" si="12"/>
        <v>0</v>
      </c>
      <c r="AB525">
        <f t="shared" si="13"/>
        <v>0</v>
      </c>
      <c r="AC525">
        <f t="shared" si="14"/>
        <v>0</v>
      </c>
    </row>
    <row r="526">
      <c r="O526" s="8"/>
      <c r="P526">
        <f t="shared" ref="P526:R526" si="780">B526+P527</f>
        <v>0</v>
      </c>
      <c r="Q526">
        <f t="shared" si="780"/>
        <v>0</v>
      </c>
      <c r="R526">
        <f t="shared" si="780"/>
        <v>0</v>
      </c>
      <c r="S526">
        <f t="shared" si="265"/>
        <v>0</v>
      </c>
      <c r="U526" s="8"/>
      <c r="V526">
        <f t="shared" si="9"/>
        <v>0</v>
      </c>
      <c r="W526">
        <f t="shared" si="10"/>
        <v>0</v>
      </c>
      <c r="X526">
        <f t="shared" si="11"/>
        <v>0</v>
      </c>
      <c r="Z526" s="8"/>
      <c r="AA526">
        <f t="shared" si="12"/>
        <v>0</v>
      </c>
      <c r="AB526">
        <f t="shared" si="13"/>
        <v>0</v>
      </c>
      <c r="AC526">
        <f t="shared" si="14"/>
        <v>0</v>
      </c>
    </row>
    <row r="527">
      <c r="O527" s="8"/>
      <c r="P527">
        <f t="shared" ref="P527:R527" si="781">B527+P528</f>
        <v>0</v>
      </c>
      <c r="Q527">
        <f t="shared" si="781"/>
        <v>0</v>
      </c>
      <c r="R527">
        <f t="shared" si="781"/>
        <v>0</v>
      </c>
      <c r="S527">
        <f t="shared" si="265"/>
        <v>0</v>
      </c>
      <c r="U527" s="8"/>
      <c r="V527">
        <f t="shared" si="9"/>
        <v>0</v>
      </c>
      <c r="W527">
        <f t="shared" si="10"/>
        <v>0</v>
      </c>
      <c r="X527">
        <f t="shared" si="11"/>
        <v>0</v>
      </c>
      <c r="Z527" s="8"/>
      <c r="AA527">
        <f t="shared" si="12"/>
        <v>0</v>
      </c>
      <c r="AB527">
        <f t="shared" si="13"/>
        <v>0</v>
      </c>
      <c r="AC527">
        <f t="shared" si="14"/>
        <v>0</v>
      </c>
    </row>
    <row r="528">
      <c r="O528" s="8"/>
      <c r="P528">
        <f t="shared" ref="P528:R528" si="782">B528+P529</f>
        <v>0</v>
      </c>
      <c r="Q528">
        <f t="shared" si="782"/>
        <v>0</v>
      </c>
      <c r="R528">
        <f t="shared" si="782"/>
        <v>0</v>
      </c>
      <c r="S528">
        <f t="shared" si="265"/>
        <v>0</v>
      </c>
      <c r="U528" s="8"/>
      <c r="V528">
        <f t="shared" si="9"/>
        <v>0</v>
      </c>
      <c r="W528">
        <f t="shared" si="10"/>
        <v>0</v>
      </c>
      <c r="X528">
        <f t="shared" si="11"/>
        <v>0</v>
      </c>
      <c r="Z528" s="8"/>
      <c r="AA528">
        <f t="shared" si="12"/>
        <v>0</v>
      </c>
      <c r="AB528">
        <f t="shared" si="13"/>
        <v>0</v>
      </c>
      <c r="AC528">
        <f t="shared" si="14"/>
        <v>0</v>
      </c>
    </row>
    <row r="529">
      <c r="O529" s="8"/>
      <c r="P529">
        <f t="shared" ref="P529:R529" si="783">B529+P530</f>
        <v>0</v>
      </c>
      <c r="Q529">
        <f t="shared" si="783"/>
        <v>0</v>
      </c>
      <c r="R529">
        <f t="shared" si="783"/>
        <v>0</v>
      </c>
      <c r="S529">
        <f t="shared" si="265"/>
        <v>0</v>
      </c>
      <c r="U529" s="8"/>
      <c r="V529">
        <f t="shared" si="9"/>
        <v>0</v>
      </c>
      <c r="W529">
        <f t="shared" si="10"/>
        <v>0</v>
      </c>
      <c r="X529">
        <f t="shared" si="11"/>
        <v>0</v>
      </c>
      <c r="Z529" s="8"/>
      <c r="AA529">
        <f t="shared" si="12"/>
        <v>0</v>
      </c>
      <c r="AB529">
        <f t="shared" si="13"/>
        <v>0</v>
      </c>
      <c r="AC529">
        <f t="shared" si="14"/>
        <v>0</v>
      </c>
    </row>
    <row r="530">
      <c r="O530" s="8"/>
      <c r="P530">
        <f t="shared" ref="P530:R530" si="784">B530+P531</f>
        <v>0</v>
      </c>
      <c r="Q530">
        <f t="shared" si="784"/>
        <v>0</v>
      </c>
      <c r="R530">
        <f t="shared" si="784"/>
        <v>0</v>
      </c>
      <c r="S530">
        <f t="shared" si="265"/>
        <v>0</v>
      </c>
      <c r="U530" s="8"/>
      <c r="V530">
        <f t="shared" si="9"/>
        <v>0</v>
      </c>
      <c r="W530">
        <f t="shared" si="10"/>
        <v>0</v>
      </c>
      <c r="X530">
        <f t="shared" si="11"/>
        <v>0</v>
      </c>
      <c r="Z530" s="8"/>
      <c r="AA530">
        <f t="shared" si="12"/>
        <v>0</v>
      </c>
      <c r="AB530">
        <f t="shared" si="13"/>
        <v>0</v>
      </c>
      <c r="AC530">
        <f t="shared" si="14"/>
        <v>0</v>
      </c>
    </row>
    <row r="531">
      <c r="O531" s="8"/>
      <c r="P531">
        <f t="shared" ref="P531:R531" si="785">B531+P532</f>
        <v>0</v>
      </c>
      <c r="Q531">
        <f t="shared" si="785"/>
        <v>0</v>
      </c>
      <c r="R531">
        <f t="shared" si="785"/>
        <v>0</v>
      </c>
      <c r="S531">
        <f t="shared" si="265"/>
        <v>0</v>
      </c>
      <c r="U531" s="8"/>
      <c r="V531">
        <f t="shared" si="9"/>
        <v>0</v>
      </c>
      <c r="W531">
        <f t="shared" si="10"/>
        <v>0</v>
      </c>
      <c r="X531">
        <f t="shared" si="11"/>
        <v>0</v>
      </c>
      <c r="Z531" s="8"/>
      <c r="AA531">
        <f t="shared" si="12"/>
        <v>0</v>
      </c>
      <c r="AB531">
        <f t="shared" si="13"/>
        <v>0</v>
      </c>
      <c r="AC531">
        <f t="shared" si="14"/>
        <v>0</v>
      </c>
    </row>
    <row r="532">
      <c r="O532" s="8"/>
      <c r="P532">
        <f t="shared" ref="P532:R532" si="786">B532+P533</f>
        <v>0</v>
      </c>
      <c r="Q532">
        <f t="shared" si="786"/>
        <v>0</v>
      </c>
      <c r="R532">
        <f t="shared" si="786"/>
        <v>0</v>
      </c>
      <c r="S532">
        <f t="shared" si="265"/>
        <v>0</v>
      </c>
      <c r="U532" s="8"/>
      <c r="V532">
        <f t="shared" si="9"/>
        <v>0</v>
      </c>
      <c r="W532">
        <f t="shared" si="10"/>
        <v>0</v>
      </c>
      <c r="X532">
        <f t="shared" si="11"/>
        <v>0</v>
      </c>
      <c r="Z532" s="8"/>
      <c r="AA532">
        <f t="shared" si="12"/>
        <v>0</v>
      </c>
      <c r="AB532">
        <f t="shared" si="13"/>
        <v>0</v>
      </c>
      <c r="AC532">
        <f t="shared" si="14"/>
        <v>0</v>
      </c>
    </row>
    <row r="533">
      <c r="O533" s="8"/>
      <c r="P533">
        <f t="shared" ref="P533:R533" si="787">B533+P534</f>
        <v>0</v>
      </c>
      <c r="Q533">
        <f t="shared" si="787"/>
        <v>0</v>
      </c>
      <c r="R533">
        <f t="shared" si="787"/>
        <v>0</v>
      </c>
      <c r="S533">
        <f t="shared" si="265"/>
        <v>0</v>
      </c>
      <c r="U533" s="8"/>
      <c r="V533">
        <f t="shared" si="9"/>
        <v>0</v>
      </c>
      <c r="W533">
        <f t="shared" si="10"/>
        <v>0</v>
      </c>
      <c r="X533">
        <f t="shared" si="11"/>
        <v>0</v>
      </c>
      <c r="Z533" s="8"/>
      <c r="AA533">
        <f t="shared" si="12"/>
        <v>0</v>
      </c>
      <c r="AB533">
        <f t="shared" si="13"/>
        <v>0</v>
      </c>
      <c r="AC533">
        <f t="shared" si="14"/>
        <v>0</v>
      </c>
    </row>
    <row r="534">
      <c r="O534" s="8"/>
      <c r="P534">
        <f t="shared" ref="P534:R534" si="788">B534+P535</f>
        <v>0</v>
      </c>
      <c r="Q534">
        <f t="shared" si="788"/>
        <v>0</v>
      </c>
      <c r="R534">
        <f t="shared" si="788"/>
        <v>0</v>
      </c>
      <c r="S534">
        <f t="shared" si="265"/>
        <v>0</v>
      </c>
      <c r="U534" s="8"/>
      <c r="V534">
        <f t="shared" si="9"/>
        <v>0</v>
      </c>
      <c r="W534">
        <f t="shared" si="10"/>
        <v>0</v>
      </c>
      <c r="X534">
        <f t="shared" si="11"/>
        <v>0</v>
      </c>
      <c r="Z534" s="8"/>
      <c r="AA534">
        <f t="shared" si="12"/>
        <v>0</v>
      </c>
      <c r="AB534">
        <f t="shared" si="13"/>
        <v>0</v>
      </c>
      <c r="AC534">
        <f t="shared" si="14"/>
        <v>0</v>
      </c>
    </row>
    <row r="535">
      <c r="O535" s="8"/>
      <c r="P535">
        <f t="shared" ref="P535:R535" si="789">B535+P536</f>
        <v>0</v>
      </c>
      <c r="Q535">
        <f t="shared" si="789"/>
        <v>0</v>
      </c>
      <c r="R535">
        <f t="shared" si="789"/>
        <v>0</v>
      </c>
      <c r="S535">
        <f t="shared" si="265"/>
        <v>0</v>
      </c>
      <c r="U535" s="8"/>
      <c r="V535">
        <f t="shared" si="9"/>
        <v>0</v>
      </c>
      <c r="W535">
        <f t="shared" si="10"/>
        <v>0</v>
      </c>
      <c r="X535">
        <f t="shared" si="11"/>
        <v>0</v>
      </c>
      <c r="Z535" s="8"/>
      <c r="AA535">
        <f t="shared" si="12"/>
        <v>0</v>
      </c>
      <c r="AB535">
        <f t="shared" si="13"/>
        <v>0</v>
      </c>
      <c r="AC535">
        <f t="shared" si="14"/>
        <v>0</v>
      </c>
    </row>
    <row r="536">
      <c r="O536" s="8"/>
      <c r="P536">
        <f t="shared" ref="P536:R536" si="790">B536+P537</f>
        <v>0</v>
      </c>
      <c r="Q536">
        <f t="shared" si="790"/>
        <v>0</v>
      </c>
      <c r="R536">
        <f t="shared" si="790"/>
        <v>0</v>
      </c>
      <c r="S536">
        <f t="shared" si="265"/>
        <v>0</v>
      </c>
      <c r="U536" s="8"/>
      <c r="V536">
        <f t="shared" si="9"/>
        <v>0</v>
      </c>
      <c r="W536">
        <f t="shared" si="10"/>
        <v>0</v>
      </c>
      <c r="X536">
        <f t="shared" si="11"/>
        <v>0</v>
      </c>
      <c r="Z536" s="8"/>
      <c r="AA536">
        <f t="shared" si="12"/>
        <v>0</v>
      </c>
      <c r="AB536">
        <f t="shared" si="13"/>
        <v>0</v>
      </c>
      <c r="AC536">
        <f t="shared" si="14"/>
        <v>0</v>
      </c>
    </row>
    <row r="537">
      <c r="O537" s="8"/>
      <c r="P537">
        <f t="shared" ref="P537:R537" si="791">B537+P538</f>
        <v>0</v>
      </c>
      <c r="Q537">
        <f t="shared" si="791"/>
        <v>0</v>
      </c>
      <c r="R537">
        <f t="shared" si="791"/>
        <v>0</v>
      </c>
      <c r="S537">
        <f t="shared" si="265"/>
        <v>0</v>
      </c>
      <c r="U537" s="8"/>
      <c r="V537">
        <f t="shared" si="9"/>
        <v>0</v>
      </c>
      <c r="W537">
        <f t="shared" si="10"/>
        <v>0</v>
      </c>
      <c r="X537">
        <f t="shared" si="11"/>
        <v>0</v>
      </c>
      <c r="Z537" s="8"/>
      <c r="AA537">
        <f t="shared" si="12"/>
        <v>0</v>
      </c>
      <c r="AB537">
        <f t="shared" si="13"/>
        <v>0</v>
      </c>
      <c r="AC537">
        <f t="shared" si="14"/>
        <v>0</v>
      </c>
    </row>
    <row r="538">
      <c r="O538" s="8"/>
      <c r="P538">
        <f t="shared" ref="P538:R538" si="792">B538+P539</f>
        <v>0</v>
      </c>
      <c r="Q538">
        <f t="shared" si="792"/>
        <v>0</v>
      </c>
      <c r="R538">
        <f t="shared" si="792"/>
        <v>0</v>
      </c>
      <c r="S538">
        <f t="shared" si="265"/>
        <v>0</v>
      </c>
      <c r="U538" s="8"/>
      <c r="V538">
        <f t="shared" si="9"/>
        <v>0</v>
      </c>
      <c r="W538">
        <f t="shared" si="10"/>
        <v>0</v>
      </c>
      <c r="X538">
        <f t="shared" si="11"/>
        <v>0</v>
      </c>
      <c r="Z538" s="8"/>
      <c r="AA538">
        <f t="shared" si="12"/>
        <v>0</v>
      </c>
      <c r="AB538">
        <f t="shared" si="13"/>
        <v>0</v>
      </c>
      <c r="AC538">
        <f t="shared" si="14"/>
        <v>0</v>
      </c>
    </row>
    <row r="539">
      <c r="O539" s="8"/>
      <c r="P539">
        <f t="shared" ref="P539:R539" si="793">B539+P540</f>
        <v>0</v>
      </c>
      <c r="Q539">
        <f t="shared" si="793"/>
        <v>0</v>
      </c>
      <c r="R539">
        <f t="shared" si="793"/>
        <v>0</v>
      </c>
      <c r="S539">
        <f t="shared" si="265"/>
        <v>0</v>
      </c>
      <c r="U539" s="8"/>
      <c r="V539">
        <f t="shared" si="9"/>
        <v>0</v>
      </c>
      <c r="W539">
        <f t="shared" si="10"/>
        <v>0</v>
      </c>
      <c r="X539">
        <f t="shared" si="11"/>
        <v>0</v>
      </c>
      <c r="Z539" s="8"/>
      <c r="AA539">
        <f t="shared" si="12"/>
        <v>0</v>
      </c>
      <c r="AB539">
        <f t="shared" si="13"/>
        <v>0</v>
      </c>
      <c r="AC539">
        <f t="shared" si="14"/>
        <v>0</v>
      </c>
    </row>
    <row r="540">
      <c r="O540" s="8"/>
      <c r="P540">
        <f t="shared" ref="P540:R540" si="794">B540+P541</f>
        <v>0</v>
      </c>
      <c r="Q540">
        <f t="shared" si="794"/>
        <v>0</v>
      </c>
      <c r="R540">
        <f t="shared" si="794"/>
        <v>0</v>
      </c>
      <c r="S540">
        <f t="shared" si="265"/>
        <v>0</v>
      </c>
      <c r="U540" s="8"/>
      <c r="V540">
        <f t="shared" si="9"/>
        <v>0</v>
      </c>
      <c r="W540">
        <f t="shared" si="10"/>
        <v>0</v>
      </c>
      <c r="X540">
        <f t="shared" si="11"/>
        <v>0</v>
      </c>
      <c r="Z540" s="8"/>
      <c r="AA540">
        <f t="shared" si="12"/>
        <v>0</v>
      </c>
      <c r="AB540">
        <f t="shared" si="13"/>
        <v>0</v>
      </c>
      <c r="AC540">
        <f t="shared" si="14"/>
        <v>0</v>
      </c>
    </row>
    <row r="541">
      <c r="O541" s="8"/>
      <c r="P541">
        <f t="shared" ref="P541:R541" si="795">B541+P542</f>
        <v>0</v>
      </c>
      <c r="Q541">
        <f t="shared" si="795"/>
        <v>0</v>
      </c>
      <c r="R541">
        <f t="shared" si="795"/>
        <v>0</v>
      </c>
      <c r="S541">
        <f t="shared" si="265"/>
        <v>0</v>
      </c>
      <c r="U541" s="8"/>
      <c r="V541">
        <f t="shared" si="9"/>
        <v>0</v>
      </c>
      <c r="W541">
        <f t="shared" si="10"/>
        <v>0</v>
      </c>
      <c r="X541">
        <f t="shared" si="11"/>
        <v>0</v>
      </c>
      <c r="Z541" s="8"/>
      <c r="AA541">
        <f t="shared" si="12"/>
        <v>0</v>
      </c>
      <c r="AB541">
        <f t="shared" si="13"/>
        <v>0</v>
      </c>
      <c r="AC541">
        <f t="shared" si="14"/>
        <v>0</v>
      </c>
    </row>
    <row r="542">
      <c r="O542" s="8"/>
      <c r="P542">
        <f t="shared" ref="P542:R542" si="796">B542+P543</f>
        <v>0</v>
      </c>
      <c r="Q542">
        <f t="shared" si="796"/>
        <v>0</v>
      </c>
      <c r="R542">
        <f t="shared" si="796"/>
        <v>0</v>
      </c>
      <c r="S542">
        <f t="shared" si="265"/>
        <v>0</v>
      </c>
      <c r="U542" s="8"/>
      <c r="V542">
        <f t="shared" si="9"/>
        <v>0</v>
      </c>
      <c r="W542">
        <f t="shared" si="10"/>
        <v>0</v>
      </c>
      <c r="X542">
        <f t="shared" si="11"/>
        <v>0</v>
      </c>
      <c r="Z542" s="8"/>
      <c r="AA542">
        <f t="shared" si="12"/>
        <v>0</v>
      </c>
      <c r="AB542">
        <f t="shared" si="13"/>
        <v>0</v>
      </c>
      <c r="AC542">
        <f t="shared" si="14"/>
        <v>0</v>
      </c>
    </row>
    <row r="543">
      <c r="O543" s="8"/>
      <c r="P543">
        <f t="shared" ref="P543:R543" si="797">B543+P544</f>
        <v>0</v>
      </c>
      <c r="Q543">
        <f t="shared" si="797"/>
        <v>0</v>
      </c>
      <c r="R543">
        <f t="shared" si="797"/>
        <v>0</v>
      </c>
      <c r="S543">
        <f t="shared" si="265"/>
        <v>0</v>
      </c>
      <c r="U543" s="8"/>
      <c r="V543">
        <f t="shared" si="9"/>
        <v>0</v>
      </c>
      <c r="W543">
        <f t="shared" si="10"/>
        <v>0</v>
      </c>
      <c r="X543">
        <f t="shared" si="11"/>
        <v>0</v>
      </c>
      <c r="Z543" s="8"/>
      <c r="AA543">
        <f t="shared" si="12"/>
        <v>0</v>
      </c>
      <c r="AB543">
        <f t="shared" si="13"/>
        <v>0</v>
      </c>
      <c r="AC543">
        <f t="shared" si="14"/>
        <v>0</v>
      </c>
    </row>
    <row r="544">
      <c r="O544" s="8"/>
      <c r="P544">
        <f t="shared" ref="P544:R544" si="798">B544+P545</f>
        <v>0</v>
      </c>
      <c r="Q544">
        <f t="shared" si="798"/>
        <v>0</v>
      </c>
      <c r="R544">
        <f t="shared" si="798"/>
        <v>0</v>
      </c>
      <c r="S544">
        <f t="shared" si="265"/>
        <v>0</v>
      </c>
      <c r="U544" s="8"/>
      <c r="V544">
        <f t="shared" si="9"/>
        <v>0</v>
      </c>
      <c r="W544">
        <f t="shared" si="10"/>
        <v>0</v>
      </c>
      <c r="X544">
        <f t="shared" si="11"/>
        <v>0</v>
      </c>
      <c r="Z544" s="8"/>
      <c r="AA544">
        <f t="shared" si="12"/>
        <v>0</v>
      </c>
      <c r="AB544">
        <f t="shared" si="13"/>
        <v>0</v>
      </c>
      <c r="AC544">
        <f t="shared" si="14"/>
        <v>0</v>
      </c>
    </row>
    <row r="545">
      <c r="O545" s="8"/>
      <c r="P545">
        <f t="shared" ref="P545:R545" si="799">B545+P546</f>
        <v>0</v>
      </c>
      <c r="Q545">
        <f t="shared" si="799"/>
        <v>0</v>
      </c>
      <c r="R545">
        <f t="shared" si="799"/>
        <v>0</v>
      </c>
      <c r="S545">
        <f t="shared" si="265"/>
        <v>0</v>
      </c>
      <c r="U545" s="8"/>
      <c r="V545">
        <f t="shared" si="9"/>
        <v>0</v>
      </c>
      <c r="W545">
        <f t="shared" si="10"/>
        <v>0</v>
      </c>
      <c r="X545">
        <f t="shared" si="11"/>
        <v>0</v>
      </c>
      <c r="Z545" s="8"/>
      <c r="AA545">
        <f t="shared" si="12"/>
        <v>0</v>
      </c>
      <c r="AB545">
        <f t="shared" si="13"/>
        <v>0</v>
      </c>
      <c r="AC545">
        <f t="shared" si="14"/>
        <v>0</v>
      </c>
    </row>
    <row r="546">
      <c r="O546" s="8"/>
      <c r="P546">
        <f t="shared" ref="P546:R546" si="800">B546+P547</f>
        <v>0</v>
      </c>
      <c r="Q546">
        <f t="shared" si="800"/>
        <v>0</v>
      </c>
      <c r="R546">
        <f t="shared" si="800"/>
        <v>0</v>
      </c>
      <c r="S546">
        <f t="shared" si="265"/>
        <v>0</v>
      </c>
      <c r="U546" s="8"/>
      <c r="V546">
        <f t="shared" si="9"/>
        <v>0</v>
      </c>
      <c r="W546">
        <f t="shared" si="10"/>
        <v>0</v>
      </c>
      <c r="X546">
        <f t="shared" si="11"/>
        <v>0</v>
      </c>
      <c r="Z546" s="8"/>
      <c r="AA546">
        <f t="shared" si="12"/>
        <v>0</v>
      </c>
      <c r="AB546">
        <f t="shared" si="13"/>
        <v>0</v>
      </c>
      <c r="AC546">
        <f t="shared" si="14"/>
        <v>0</v>
      </c>
    </row>
    <row r="547">
      <c r="O547" s="8"/>
      <c r="P547">
        <f t="shared" ref="P547:R547" si="801">B547+P548</f>
        <v>0</v>
      </c>
      <c r="Q547">
        <f t="shared" si="801"/>
        <v>0</v>
      </c>
      <c r="R547">
        <f t="shared" si="801"/>
        <v>0</v>
      </c>
      <c r="S547">
        <f t="shared" si="265"/>
        <v>0</v>
      </c>
      <c r="U547" s="8"/>
      <c r="V547">
        <f t="shared" si="9"/>
        <v>0</v>
      </c>
      <c r="W547">
        <f t="shared" si="10"/>
        <v>0</v>
      </c>
      <c r="X547">
        <f t="shared" si="11"/>
        <v>0</v>
      </c>
      <c r="Z547" s="8"/>
      <c r="AA547">
        <f t="shared" si="12"/>
        <v>0</v>
      </c>
      <c r="AB547">
        <f t="shared" si="13"/>
        <v>0</v>
      </c>
      <c r="AC547">
        <f t="shared" si="14"/>
        <v>0</v>
      </c>
    </row>
    <row r="548">
      <c r="O548" s="8"/>
      <c r="P548">
        <f t="shared" ref="P548:R548" si="802">B548+P549</f>
        <v>0</v>
      </c>
      <c r="Q548">
        <f t="shared" si="802"/>
        <v>0</v>
      </c>
      <c r="R548">
        <f t="shared" si="802"/>
        <v>0</v>
      </c>
      <c r="S548">
        <f t="shared" si="265"/>
        <v>0</v>
      </c>
      <c r="U548" s="8"/>
      <c r="V548">
        <f t="shared" si="9"/>
        <v>0</v>
      </c>
      <c r="W548">
        <f t="shared" si="10"/>
        <v>0</v>
      </c>
      <c r="X548">
        <f t="shared" si="11"/>
        <v>0</v>
      </c>
      <c r="Z548" s="8"/>
      <c r="AA548">
        <f t="shared" si="12"/>
        <v>0</v>
      </c>
      <c r="AB548">
        <f t="shared" si="13"/>
        <v>0</v>
      </c>
      <c r="AC548">
        <f t="shared" si="14"/>
        <v>0</v>
      </c>
    </row>
    <row r="549">
      <c r="O549" s="8"/>
      <c r="P549">
        <f t="shared" ref="P549:R549" si="803">B549+P550</f>
        <v>0</v>
      </c>
      <c r="Q549">
        <f t="shared" si="803"/>
        <v>0</v>
      </c>
      <c r="R549">
        <f t="shared" si="803"/>
        <v>0</v>
      </c>
      <c r="S549">
        <f t="shared" si="265"/>
        <v>0</v>
      </c>
      <c r="U549" s="8"/>
      <c r="V549">
        <f t="shared" si="9"/>
        <v>0</v>
      </c>
      <c r="W549">
        <f t="shared" si="10"/>
        <v>0</v>
      </c>
      <c r="X549">
        <f t="shared" si="11"/>
        <v>0</v>
      </c>
      <c r="Z549" s="8"/>
      <c r="AA549">
        <f t="shared" si="12"/>
        <v>0</v>
      </c>
      <c r="AB549">
        <f t="shared" si="13"/>
        <v>0</v>
      </c>
      <c r="AC549">
        <f t="shared" si="14"/>
        <v>0</v>
      </c>
    </row>
    <row r="550">
      <c r="O550" s="8"/>
      <c r="P550">
        <f t="shared" ref="P550:R550" si="804">B550+P551</f>
        <v>0</v>
      </c>
      <c r="Q550">
        <f t="shared" si="804"/>
        <v>0</v>
      </c>
      <c r="R550">
        <f t="shared" si="804"/>
        <v>0</v>
      </c>
      <c r="S550">
        <f t="shared" si="265"/>
        <v>0</v>
      </c>
      <c r="U550" s="8"/>
      <c r="V550">
        <f t="shared" si="9"/>
        <v>0</v>
      </c>
      <c r="W550">
        <f t="shared" si="10"/>
        <v>0</v>
      </c>
      <c r="X550">
        <f t="shared" si="11"/>
        <v>0</v>
      </c>
      <c r="Z550" s="8"/>
      <c r="AA550">
        <f t="shared" si="12"/>
        <v>0</v>
      </c>
      <c r="AB550">
        <f t="shared" si="13"/>
        <v>0</v>
      </c>
      <c r="AC550">
        <f t="shared" si="14"/>
        <v>0</v>
      </c>
    </row>
    <row r="551">
      <c r="O551" s="8"/>
      <c r="P551">
        <f t="shared" ref="P551:R551" si="805">B551+P552</f>
        <v>0</v>
      </c>
      <c r="Q551">
        <f t="shared" si="805"/>
        <v>0</v>
      </c>
      <c r="R551">
        <f t="shared" si="805"/>
        <v>0</v>
      </c>
      <c r="S551">
        <f t="shared" si="265"/>
        <v>0</v>
      </c>
      <c r="U551" s="8"/>
      <c r="V551">
        <f t="shared" si="9"/>
        <v>0</v>
      </c>
      <c r="W551">
        <f t="shared" si="10"/>
        <v>0</v>
      </c>
      <c r="X551">
        <f t="shared" si="11"/>
        <v>0</v>
      </c>
      <c r="Z551" s="8"/>
      <c r="AA551">
        <f t="shared" si="12"/>
        <v>0</v>
      </c>
      <c r="AB551">
        <f t="shared" si="13"/>
        <v>0</v>
      </c>
      <c r="AC551">
        <f t="shared" si="14"/>
        <v>0</v>
      </c>
    </row>
    <row r="552">
      <c r="O552" s="8"/>
      <c r="P552">
        <f t="shared" ref="P552:R552" si="806">B552+P553</f>
        <v>0</v>
      </c>
      <c r="Q552">
        <f t="shared" si="806"/>
        <v>0</v>
      </c>
      <c r="R552">
        <f t="shared" si="806"/>
        <v>0</v>
      </c>
      <c r="S552">
        <f t="shared" si="265"/>
        <v>0</v>
      </c>
      <c r="U552" s="8"/>
      <c r="V552">
        <f t="shared" si="9"/>
        <v>0</v>
      </c>
      <c r="W552">
        <f t="shared" si="10"/>
        <v>0</v>
      </c>
      <c r="X552">
        <f t="shared" si="11"/>
        <v>0</v>
      </c>
      <c r="Z552" s="8"/>
      <c r="AA552">
        <f t="shared" si="12"/>
        <v>0</v>
      </c>
      <c r="AB552">
        <f t="shared" si="13"/>
        <v>0</v>
      </c>
      <c r="AC552">
        <f t="shared" si="14"/>
        <v>0</v>
      </c>
    </row>
    <row r="553">
      <c r="O553" s="8"/>
      <c r="P553">
        <f t="shared" ref="P553:R553" si="807">B553+P554</f>
        <v>0</v>
      </c>
      <c r="Q553">
        <f t="shared" si="807"/>
        <v>0</v>
      </c>
      <c r="R553">
        <f t="shared" si="807"/>
        <v>0</v>
      </c>
      <c r="S553">
        <f t="shared" si="265"/>
        <v>0</v>
      </c>
      <c r="U553" s="8"/>
      <c r="V553">
        <f t="shared" si="9"/>
        <v>0</v>
      </c>
      <c r="W553">
        <f t="shared" si="10"/>
        <v>0</v>
      </c>
      <c r="X553">
        <f t="shared" si="11"/>
        <v>0</v>
      </c>
      <c r="Z553" s="8"/>
      <c r="AA553">
        <f t="shared" si="12"/>
        <v>0</v>
      </c>
      <c r="AB553">
        <f t="shared" si="13"/>
        <v>0</v>
      </c>
      <c r="AC553">
        <f t="shared" si="14"/>
        <v>0</v>
      </c>
    </row>
    <row r="554">
      <c r="O554" s="8"/>
      <c r="P554">
        <f t="shared" ref="P554:R554" si="808">B554+P555</f>
        <v>0</v>
      </c>
      <c r="Q554">
        <f t="shared" si="808"/>
        <v>0</v>
      </c>
      <c r="R554">
        <f t="shared" si="808"/>
        <v>0</v>
      </c>
      <c r="S554">
        <f t="shared" si="265"/>
        <v>0</v>
      </c>
      <c r="U554" s="8"/>
      <c r="V554">
        <f t="shared" si="9"/>
        <v>0</v>
      </c>
      <c r="W554">
        <f t="shared" si="10"/>
        <v>0</v>
      </c>
      <c r="X554">
        <f t="shared" si="11"/>
        <v>0</v>
      </c>
      <c r="Z554" s="8"/>
      <c r="AA554">
        <f t="shared" si="12"/>
        <v>0</v>
      </c>
      <c r="AB554">
        <f t="shared" si="13"/>
        <v>0</v>
      </c>
      <c r="AC554">
        <f t="shared" si="14"/>
        <v>0</v>
      </c>
    </row>
    <row r="555">
      <c r="O555" s="8"/>
      <c r="P555">
        <f t="shared" ref="P555:R555" si="809">B555+P556</f>
        <v>0</v>
      </c>
      <c r="Q555">
        <f t="shared" si="809"/>
        <v>0</v>
      </c>
      <c r="R555">
        <f t="shared" si="809"/>
        <v>0</v>
      </c>
      <c r="S555">
        <f t="shared" si="265"/>
        <v>0</v>
      </c>
      <c r="U555" s="8"/>
      <c r="V555">
        <f t="shared" si="9"/>
        <v>0</v>
      </c>
      <c r="W555">
        <f t="shared" si="10"/>
        <v>0</v>
      </c>
      <c r="X555">
        <f t="shared" si="11"/>
        <v>0</v>
      </c>
      <c r="Z555" s="8"/>
      <c r="AA555">
        <f t="shared" si="12"/>
        <v>0</v>
      </c>
      <c r="AB555">
        <f t="shared" si="13"/>
        <v>0</v>
      </c>
      <c r="AC555">
        <f t="shared" si="14"/>
        <v>0</v>
      </c>
    </row>
    <row r="556">
      <c r="O556" s="8"/>
      <c r="P556">
        <f t="shared" ref="P556:R556" si="810">B556+P557</f>
        <v>0</v>
      </c>
      <c r="Q556">
        <f t="shared" si="810"/>
        <v>0</v>
      </c>
      <c r="R556">
        <f t="shared" si="810"/>
        <v>0</v>
      </c>
      <c r="S556">
        <f t="shared" si="265"/>
        <v>0</v>
      </c>
      <c r="U556" s="8"/>
      <c r="V556">
        <f t="shared" si="9"/>
        <v>0</v>
      </c>
      <c r="W556">
        <f t="shared" si="10"/>
        <v>0</v>
      </c>
      <c r="X556">
        <f t="shared" si="11"/>
        <v>0</v>
      </c>
      <c r="Z556" s="8"/>
      <c r="AA556">
        <f t="shared" si="12"/>
        <v>0</v>
      </c>
      <c r="AB556">
        <f t="shared" si="13"/>
        <v>0</v>
      </c>
      <c r="AC556">
        <f t="shared" si="14"/>
        <v>0</v>
      </c>
    </row>
    <row r="557">
      <c r="O557" s="8"/>
      <c r="P557">
        <f t="shared" ref="P557:R557" si="811">B557+P558</f>
        <v>0</v>
      </c>
      <c r="Q557">
        <f t="shared" si="811"/>
        <v>0</v>
      </c>
      <c r="R557">
        <f t="shared" si="811"/>
        <v>0</v>
      </c>
      <c r="S557">
        <f t="shared" si="265"/>
        <v>0</v>
      </c>
      <c r="U557" s="8"/>
      <c r="V557">
        <f t="shared" si="9"/>
        <v>0</v>
      </c>
      <c r="W557">
        <f t="shared" si="10"/>
        <v>0</v>
      </c>
      <c r="X557">
        <f t="shared" si="11"/>
        <v>0</v>
      </c>
      <c r="Z557" s="8"/>
      <c r="AA557">
        <f t="shared" si="12"/>
        <v>0</v>
      </c>
      <c r="AB557">
        <f t="shared" si="13"/>
        <v>0</v>
      </c>
      <c r="AC557">
        <f t="shared" si="14"/>
        <v>0</v>
      </c>
    </row>
    <row r="558">
      <c r="O558" s="8"/>
      <c r="P558">
        <f t="shared" ref="P558:R558" si="812">B558+P559</f>
        <v>0</v>
      </c>
      <c r="Q558">
        <f t="shared" si="812"/>
        <v>0</v>
      </c>
      <c r="R558">
        <f t="shared" si="812"/>
        <v>0</v>
      </c>
      <c r="S558">
        <f t="shared" si="265"/>
        <v>0</v>
      </c>
      <c r="U558" s="8"/>
      <c r="V558">
        <f t="shared" si="9"/>
        <v>0</v>
      </c>
      <c r="W558">
        <f t="shared" si="10"/>
        <v>0</v>
      </c>
      <c r="X558">
        <f t="shared" si="11"/>
        <v>0</v>
      </c>
      <c r="Z558" s="8"/>
      <c r="AA558">
        <f t="shared" si="12"/>
        <v>0</v>
      </c>
      <c r="AB558">
        <f t="shared" si="13"/>
        <v>0</v>
      </c>
      <c r="AC558">
        <f t="shared" si="14"/>
        <v>0</v>
      </c>
    </row>
    <row r="559">
      <c r="O559" s="8"/>
      <c r="P559">
        <f t="shared" ref="P559:R559" si="813">B559+P560</f>
        <v>0</v>
      </c>
      <c r="Q559">
        <f t="shared" si="813"/>
        <v>0</v>
      </c>
      <c r="R559">
        <f t="shared" si="813"/>
        <v>0</v>
      </c>
      <c r="S559">
        <f t="shared" si="265"/>
        <v>0</v>
      </c>
      <c r="U559" s="8"/>
      <c r="V559">
        <f t="shared" si="9"/>
        <v>0</v>
      </c>
      <c r="W559">
        <f t="shared" si="10"/>
        <v>0</v>
      </c>
      <c r="X559">
        <f t="shared" si="11"/>
        <v>0</v>
      </c>
      <c r="Z559" s="8"/>
      <c r="AA559">
        <f t="shared" si="12"/>
        <v>0</v>
      </c>
      <c r="AB559">
        <f t="shared" si="13"/>
        <v>0</v>
      </c>
      <c r="AC559">
        <f t="shared" si="14"/>
        <v>0</v>
      </c>
    </row>
    <row r="560">
      <c r="O560" s="8"/>
      <c r="P560">
        <f t="shared" ref="P560:R560" si="814">B560+P561</f>
        <v>0</v>
      </c>
      <c r="Q560">
        <f t="shared" si="814"/>
        <v>0</v>
      </c>
      <c r="R560">
        <f t="shared" si="814"/>
        <v>0</v>
      </c>
      <c r="S560">
        <f t="shared" si="265"/>
        <v>0</v>
      </c>
      <c r="U560" s="8"/>
      <c r="V560">
        <f t="shared" si="9"/>
        <v>0</v>
      </c>
      <c r="W560">
        <f t="shared" si="10"/>
        <v>0</v>
      </c>
      <c r="X560">
        <f t="shared" si="11"/>
        <v>0</v>
      </c>
      <c r="Z560" s="8"/>
      <c r="AA560">
        <f t="shared" si="12"/>
        <v>0</v>
      </c>
      <c r="AB560">
        <f t="shared" si="13"/>
        <v>0</v>
      </c>
      <c r="AC560">
        <f t="shared" si="14"/>
        <v>0</v>
      </c>
    </row>
    <row r="561">
      <c r="O561" s="8"/>
      <c r="P561">
        <f t="shared" ref="P561:R561" si="815">B561+P562</f>
        <v>0</v>
      </c>
      <c r="Q561">
        <f t="shared" si="815"/>
        <v>0</v>
      </c>
      <c r="R561">
        <f t="shared" si="815"/>
        <v>0</v>
      </c>
      <c r="S561">
        <f t="shared" si="265"/>
        <v>0</v>
      </c>
      <c r="U561" s="8"/>
      <c r="V561">
        <f t="shared" si="9"/>
        <v>0</v>
      </c>
      <c r="W561">
        <f t="shared" si="10"/>
        <v>0</v>
      </c>
      <c r="X561">
        <f t="shared" si="11"/>
        <v>0</v>
      </c>
      <c r="Z561" s="8"/>
      <c r="AA561">
        <f t="shared" si="12"/>
        <v>0</v>
      </c>
      <c r="AB561">
        <f t="shared" si="13"/>
        <v>0</v>
      </c>
      <c r="AC561">
        <f t="shared" si="14"/>
        <v>0</v>
      </c>
    </row>
    <row r="562">
      <c r="O562" s="8"/>
      <c r="P562">
        <f t="shared" ref="P562:R562" si="816">B562+P563</f>
        <v>0</v>
      </c>
      <c r="Q562">
        <f t="shared" si="816"/>
        <v>0</v>
      </c>
      <c r="R562">
        <f t="shared" si="816"/>
        <v>0</v>
      </c>
      <c r="S562">
        <f t="shared" si="265"/>
        <v>0</v>
      </c>
      <c r="U562" s="8"/>
      <c r="V562">
        <f t="shared" si="9"/>
        <v>0</v>
      </c>
      <c r="W562">
        <f t="shared" si="10"/>
        <v>0</v>
      </c>
      <c r="X562">
        <f t="shared" si="11"/>
        <v>0</v>
      </c>
      <c r="Z562" s="8"/>
      <c r="AA562">
        <f t="shared" si="12"/>
        <v>0</v>
      </c>
      <c r="AB562">
        <f t="shared" si="13"/>
        <v>0</v>
      </c>
      <c r="AC562">
        <f t="shared" si="14"/>
        <v>0</v>
      </c>
    </row>
    <row r="563">
      <c r="O563" s="8"/>
      <c r="P563">
        <f t="shared" ref="P563:R563" si="817">B563+P564</f>
        <v>0</v>
      </c>
      <c r="Q563">
        <f t="shared" si="817"/>
        <v>0</v>
      </c>
      <c r="R563">
        <f t="shared" si="817"/>
        <v>0</v>
      </c>
      <c r="S563">
        <f t="shared" si="265"/>
        <v>0</v>
      </c>
      <c r="U563" s="8"/>
      <c r="V563">
        <f t="shared" si="9"/>
        <v>0</v>
      </c>
      <c r="W563">
        <f t="shared" si="10"/>
        <v>0</v>
      </c>
      <c r="X563">
        <f t="shared" si="11"/>
        <v>0</v>
      </c>
      <c r="Z563" s="8"/>
      <c r="AA563">
        <f t="shared" si="12"/>
        <v>0</v>
      </c>
      <c r="AB563">
        <f t="shared" si="13"/>
        <v>0</v>
      </c>
      <c r="AC563">
        <f t="shared" si="14"/>
        <v>0</v>
      </c>
    </row>
    <row r="564">
      <c r="O564" s="8"/>
      <c r="P564">
        <f t="shared" ref="P564:R564" si="818">B564+P565</f>
        <v>0</v>
      </c>
      <c r="Q564">
        <f t="shared" si="818"/>
        <v>0</v>
      </c>
      <c r="R564">
        <f t="shared" si="818"/>
        <v>0</v>
      </c>
      <c r="S564">
        <f t="shared" si="265"/>
        <v>0</v>
      </c>
      <c r="U564" s="8"/>
      <c r="V564">
        <f t="shared" si="9"/>
        <v>0</v>
      </c>
      <c r="W564">
        <f t="shared" si="10"/>
        <v>0</v>
      </c>
      <c r="X564">
        <f t="shared" si="11"/>
        <v>0</v>
      </c>
      <c r="Z564" s="8"/>
      <c r="AA564">
        <f t="shared" si="12"/>
        <v>0</v>
      </c>
      <c r="AB564">
        <f t="shared" si="13"/>
        <v>0</v>
      </c>
      <c r="AC564">
        <f t="shared" si="14"/>
        <v>0</v>
      </c>
    </row>
    <row r="565">
      <c r="O565" s="8"/>
      <c r="P565">
        <f t="shared" ref="P565:R565" si="819">B565+P566</f>
        <v>0</v>
      </c>
      <c r="Q565">
        <f t="shared" si="819"/>
        <v>0</v>
      </c>
      <c r="R565">
        <f t="shared" si="819"/>
        <v>0</v>
      </c>
      <c r="S565">
        <f t="shared" si="265"/>
        <v>0</v>
      </c>
      <c r="U565" s="8"/>
      <c r="V565">
        <f t="shared" si="9"/>
        <v>0</v>
      </c>
      <c r="W565">
        <f t="shared" si="10"/>
        <v>0</v>
      </c>
      <c r="X565">
        <f t="shared" si="11"/>
        <v>0</v>
      </c>
      <c r="Z565" s="8"/>
      <c r="AA565">
        <f t="shared" si="12"/>
        <v>0</v>
      </c>
      <c r="AB565">
        <f t="shared" si="13"/>
        <v>0</v>
      </c>
      <c r="AC565">
        <f t="shared" si="14"/>
        <v>0</v>
      </c>
    </row>
    <row r="566">
      <c r="O566" s="8"/>
      <c r="P566">
        <f t="shared" ref="P566:R566" si="820">B566+P567</f>
        <v>0</v>
      </c>
      <c r="Q566">
        <f t="shared" si="820"/>
        <v>0</v>
      </c>
      <c r="R566">
        <f t="shared" si="820"/>
        <v>0</v>
      </c>
      <c r="S566">
        <f t="shared" si="265"/>
        <v>0</v>
      </c>
      <c r="U566" s="8"/>
      <c r="V566">
        <f t="shared" si="9"/>
        <v>0</v>
      </c>
      <c r="W566">
        <f t="shared" si="10"/>
        <v>0</v>
      </c>
      <c r="X566">
        <f t="shared" si="11"/>
        <v>0</v>
      </c>
      <c r="Z566" s="8"/>
      <c r="AA566">
        <f t="shared" si="12"/>
        <v>0</v>
      </c>
      <c r="AB566">
        <f t="shared" si="13"/>
        <v>0</v>
      </c>
      <c r="AC566">
        <f t="shared" si="14"/>
        <v>0</v>
      </c>
    </row>
    <row r="567">
      <c r="O567" s="8"/>
      <c r="P567">
        <f t="shared" ref="P567:R567" si="821">B567+P568</f>
        <v>0</v>
      </c>
      <c r="Q567">
        <f t="shared" si="821"/>
        <v>0</v>
      </c>
      <c r="R567">
        <f t="shared" si="821"/>
        <v>0</v>
      </c>
      <c r="S567">
        <f t="shared" si="265"/>
        <v>0</v>
      </c>
      <c r="U567" s="8"/>
      <c r="V567">
        <f t="shared" si="9"/>
        <v>0</v>
      </c>
      <c r="W567">
        <f t="shared" si="10"/>
        <v>0</v>
      </c>
      <c r="X567">
        <f t="shared" si="11"/>
        <v>0</v>
      </c>
      <c r="Z567" s="8"/>
      <c r="AA567">
        <f t="shared" si="12"/>
        <v>0</v>
      </c>
      <c r="AB567">
        <f t="shared" si="13"/>
        <v>0</v>
      </c>
      <c r="AC567">
        <f t="shared" si="14"/>
        <v>0</v>
      </c>
    </row>
    <row r="568">
      <c r="O568" s="8"/>
      <c r="P568">
        <f t="shared" ref="P568:R568" si="822">B568+P569</f>
        <v>0</v>
      </c>
      <c r="Q568">
        <f t="shared" si="822"/>
        <v>0</v>
      </c>
      <c r="R568">
        <f t="shared" si="822"/>
        <v>0</v>
      </c>
      <c r="S568">
        <f t="shared" si="265"/>
        <v>0</v>
      </c>
      <c r="U568" s="8"/>
      <c r="V568">
        <f t="shared" si="9"/>
        <v>0</v>
      </c>
      <c r="W568">
        <f t="shared" si="10"/>
        <v>0</v>
      </c>
      <c r="X568">
        <f t="shared" si="11"/>
        <v>0</v>
      </c>
      <c r="Z568" s="8"/>
      <c r="AA568">
        <f t="shared" si="12"/>
        <v>0</v>
      </c>
      <c r="AB568">
        <f t="shared" si="13"/>
        <v>0</v>
      </c>
      <c r="AC568">
        <f t="shared" si="14"/>
        <v>0</v>
      </c>
    </row>
    <row r="569">
      <c r="O569" s="8"/>
      <c r="P569">
        <f t="shared" ref="P569:R569" si="823">B569+P570</f>
        <v>0</v>
      </c>
      <c r="Q569">
        <f t="shared" si="823"/>
        <v>0</v>
      </c>
      <c r="R569">
        <f t="shared" si="823"/>
        <v>0</v>
      </c>
      <c r="S569">
        <f t="shared" si="265"/>
        <v>0</v>
      </c>
      <c r="U569" s="8"/>
      <c r="V569">
        <f t="shared" si="9"/>
        <v>0</v>
      </c>
      <c r="W569">
        <f t="shared" si="10"/>
        <v>0</v>
      </c>
      <c r="X569">
        <f t="shared" si="11"/>
        <v>0</v>
      </c>
      <c r="Z569" s="8"/>
      <c r="AA569">
        <f t="shared" si="12"/>
        <v>0</v>
      </c>
      <c r="AB569">
        <f t="shared" si="13"/>
        <v>0</v>
      </c>
      <c r="AC569">
        <f t="shared" si="14"/>
        <v>0</v>
      </c>
    </row>
    <row r="570">
      <c r="O570" s="8"/>
      <c r="P570">
        <f t="shared" ref="P570:R570" si="824">B570+P571</f>
        <v>0</v>
      </c>
      <c r="Q570">
        <f t="shared" si="824"/>
        <v>0</v>
      </c>
      <c r="R570">
        <f t="shared" si="824"/>
        <v>0</v>
      </c>
      <c r="S570">
        <f t="shared" si="265"/>
        <v>0</v>
      </c>
      <c r="U570" s="8"/>
      <c r="V570">
        <f t="shared" si="9"/>
        <v>0</v>
      </c>
      <c r="W570">
        <f t="shared" si="10"/>
        <v>0</v>
      </c>
      <c r="X570">
        <f t="shared" si="11"/>
        <v>0</v>
      </c>
      <c r="Z570" s="8"/>
      <c r="AA570">
        <f t="shared" si="12"/>
        <v>0</v>
      </c>
      <c r="AB570">
        <f t="shared" si="13"/>
        <v>0</v>
      </c>
      <c r="AC570">
        <f t="shared" si="14"/>
        <v>0</v>
      </c>
    </row>
    <row r="571">
      <c r="O571" s="8"/>
      <c r="P571">
        <f t="shared" ref="P571:R571" si="825">B571+P572</f>
        <v>0</v>
      </c>
      <c r="Q571">
        <f t="shared" si="825"/>
        <v>0</v>
      </c>
      <c r="R571">
        <f t="shared" si="825"/>
        <v>0</v>
      </c>
      <c r="S571">
        <f t="shared" si="265"/>
        <v>0</v>
      </c>
      <c r="U571" s="8"/>
      <c r="V571">
        <f t="shared" si="9"/>
        <v>0</v>
      </c>
      <c r="W571">
        <f t="shared" si="10"/>
        <v>0</v>
      </c>
      <c r="X571">
        <f t="shared" si="11"/>
        <v>0</v>
      </c>
      <c r="Z571" s="8"/>
      <c r="AA571">
        <f t="shared" si="12"/>
        <v>0</v>
      </c>
      <c r="AB571">
        <f t="shared" si="13"/>
        <v>0</v>
      </c>
      <c r="AC571">
        <f t="shared" si="14"/>
        <v>0</v>
      </c>
    </row>
    <row r="572">
      <c r="O572" s="8"/>
      <c r="P572">
        <f t="shared" ref="P572:R572" si="826">B572+P573</f>
        <v>0</v>
      </c>
      <c r="Q572">
        <f t="shared" si="826"/>
        <v>0</v>
      </c>
      <c r="R572">
        <f t="shared" si="826"/>
        <v>0</v>
      </c>
      <c r="S572">
        <f t="shared" si="265"/>
        <v>0</v>
      </c>
      <c r="U572" s="8"/>
      <c r="V572">
        <f t="shared" si="9"/>
        <v>0</v>
      </c>
      <c r="W572">
        <f t="shared" si="10"/>
        <v>0</v>
      </c>
      <c r="X572">
        <f t="shared" si="11"/>
        <v>0</v>
      </c>
      <c r="Z572" s="8"/>
      <c r="AA572">
        <f t="shared" si="12"/>
        <v>0</v>
      </c>
      <c r="AB572">
        <f t="shared" si="13"/>
        <v>0</v>
      </c>
      <c r="AC572">
        <f t="shared" si="14"/>
        <v>0</v>
      </c>
    </row>
    <row r="573">
      <c r="O573" s="8"/>
      <c r="P573">
        <f t="shared" ref="P573:R573" si="827">B573+P574</f>
        <v>0</v>
      </c>
      <c r="Q573">
        <f t="shared" si="827"/>
        <v>0</v>
      </c>
      <c r="R573">
        <f t="shared" si="827"/>
        <v>0</v>
      </c>
      <c r="S573">
        <f t="shared" si="265"/>
        <v>0</v>
      </c>
      <c r="U573" s="8"/>
      <c r="V573">
        <f t="shared" si="9"/>
        <v>0</v>
      </c>
      <c r="W573">
        <f t="shared" si="10"/>
        <v>0</v>
      </c>
      <c r="X573">
        <f t="shared" si="11"/>
        <v>0</v>
      </c>
      <c r="Z573" s="8"/>
      <c r="AA573">
        <f t="shared" si="12"/>
        <v>0</v>
      </c>
      <c r="AB573">
        <f t="shared" si="13"/>
        <v>0</v>
      </c>
      <c r="AC573">
        <f t="shared" si="14"/>
        <v>0</v>
      </c>
    </row>
    <row r="574">
      <c r="O574" s="8"/>
      <c r="P574">
        <f t="shared" ref="P574:R574" si="828">B574+P575</f>
        <v>0</v>
      </c>
      <c r="Q574">
        <f t="shared" si="828"/>
        <v>0</v>
      </c>
      <c r="R574">
        <f t="shared" si="828"/>
        <v>0</v>
      </c>
      <c r="S574">
        <f t="shared" si="265"/>
        <v>0</v>
      </c>
      <c r="U574" s="8"/>
      <c r="V574">
        <f t="shared" si="9"/>
        <v>0</v>
      </c>
      <c r="W574">
        <f t="shared" si="10"/>
        <v>0</v>
      </c>
      <c r="X574">
        <f t="shared" si="11"/>
        <v>0</v>
      </c>
      <c r="Z574" s="8"/>
      <c r="AA574">
        <f t="shared" si="12"/>
        <v>0</v>
      </c>
      <c r="AB574">
        <f t="shared" si="13"/>
        <v>0</v>
      </c>
      <c r="AC574">
        <f t="shared" si="14"/>
        <v>0</v>
      </c>
    </row>
    <row r="575">
      <c r="O575" s="8"/>
      <c r="P575">
        <f t="shared" ref="P575:R575" si="829">B575+P576</f>
        <v>0</v>
      </c>
      <c r="Q575">
        <f t="shared" si="829"/>
        <v>0</v>
      </c>
      <c r="R575">
        <f t="shared" si="829"/>
        <v>0</v>
      </c>
      <c r="S575">
        <f t="shared" si="265"/>
        <v>0</v>
      </c>
      <c r="U575" s="8"/>
      <c r="V575">
        <f t="shared" si="9"/>
        <v>0</v>
      </c>
      <c r="W575">
        <f t="shared" si="10"/>
        <v>0</v>
      </c>
      <c r="X575">
        <f t="shared" si="11"/>
        <v>0</v>
      </c>
      <c r="Z575" s="8"/>
      <c r="AA575">
        <f t="shared" si="12"/>
        <v>0</v>
      </c>
      <c r="AB575">
        <f t="shared" si="13"/>
        <v>0</v>
      </c>
      <c r="AC575">
        <f t="shared" si="14"/>
        <v>0</v>
      </c>
    </row>
    <row r="576">
      <c r="O576" s="8"/>
      <c r="P576">
        <f t="shared" ref="P576:R576" si="830">B576+P577</f>
        <v>0</v>
      </c>
      <c r="Q576">
        <f t="shared" si="830"/>
        <v>0</v>
      </c>
      <c r="R576">
        <f t="shared" si="830"/>
        <v>0</v>
      </c>
      <c r="S576">
        <f t="shared" si="265"/>
        <v>0</v>
      </c>
      <c r="U576" s="8"/>
      <c r="V576">
        <f t="shared" si="9"/>
        <v>0</v>
      </c>
      <c r="W576">
        <f t="shared" si="10"/>
        <v>0</v>
      </c>
      <c r="X576">
        <f t="shared" si="11"/>
        <v>0</v>
      </c>
      <c r="Z576" s="8"/>
      <c r="AA576">
        <f t="shared" si="12"/>
        <v>0</v>
      </c>
      <c r="AB576">
        <f t="shared" si="13"/>
        <v>0</v>
      </c>
      <c r="AC576">
        <f t="shared" si="14"/>
        <v>0</v>
      </c>
    </row>
    <row r="577">
      <c r="O577" s="8"/>
      <c r="P577">
        <f t="shared" ref="P577:R577" si="831">B577+P578</f>
        <v>0</v>
      </c>
      <c r="Q577">
        <f t="shared" si="831"/>
        <v>0</v>
      </c>
      <c r="R577">
        <f t="shared" si="831"/>
        <v>0</v>
      </c>
      <c r="S577">
        <f t="shared" si="265"/>
        <v>0</v>
      </c>
      <c r="U577" s="8"/>
      <c r="V577">
        <f t="shared" si="9"/>
        <v>0</v>
      </c>
      <c r="W577">
        <f t="shared" si="10"/>
        <v>0</v>
      </c>
      <c r="X577">
        <f t="shared" si="11"/>
        <v>0</v>
      </c>
      <c r="Z577" s="8"/>
      <c r="AA577">
        <f t="shared" si="12"/>
        <v>0</v>
      </c>
      <c r="AB577">
        <f t="shared" si="13"/>
        <v>0</v>
      </c>
      <c r="AC577">
        <f t="shared" si="14"/>
        <v>0</v>
      </c>
    </row>
    <row r="578">
      <c r="O578" s="8"/>
      <c r="P578">
        <f t="shared" ref="P578:R578" si="832">B578+P579</f>
        <v>0</v>
      </c>
      <c r="Q578">
        <f t="shared" si="832"/>
        <v>0</v>
      </c>
      <c r="R578">
        <f t="shared" si="832"/>
        <v>0</v>
      </c>
      <c r="S578">
        <f t="shared" si="265"/>
        <v>0</v>
      </c>
      <c r="U578" s="8"/>
      <c r="V578">
        <f t="shared" si="9"/>
        <v>0</v>
      </c>
      <c r="W578">
        <f t="shared" si="10"/>
        <v>0</v>
      </c>
      <c r="X578">
        <f t="shared" si="11"/>
        <v>0</v>
      </c>
      <c r="Z578" s="8"/>
      <c r="AA578">
        <f t="shared" si="12"/>
        <v>0</v>
      </c>
      <c r="AB578">
        <f t="shared" si="13"/>
        <v>0</v>
      </c>
      <c r="AC578">
        <f t="shared" si="14"/>
        <v>0</v>
      </c>
    </row>
    <row r="579">
      <c r="O579" s="8"/>
      <c r="P579">
        <f t="shared" ref="P579:R579" si="833">B579+P580</f>
        <v>0</v>
      </c>
      <c r="Q579">
        <f t="shared" si="833"/>
        <v>0</v>
      </c>
      <c r="R579">
        <f t="shared" si="833"/>
        <v>0</v>
      </c>
      <c r="S579">
        <f t="shared" si="265"/>
        <v>0</v>
      </c>
      <c r="U579" s="8"/>
      <c r="V579">
        <f t="shared" si="9"/>
        <v>0</v>
      </c>
      <c r="W579">
        <f t="shared" si="10"/>
        <v>0</v>
      </c>
      <c r="X579">
        <f t="shared" si="11"/>
        <v>0</v>
      </c>
      <c r="Z579" s="8"/>
      <c r="AA579">
        <f t="shared" si="12"/>
        <v>0</v>
      </c>
      <c r="AB579">
        <f t="shared" si="13"/>
        <v>0</v>
      </c>
      <c r="AC579">
        <f t="shared" si="14"/>
        <v>0</v>
      </c>
    </row>
    <row r="580">
      <c r="O580" s="8"/>
      <c r="P580">
        <f t="shared" ref="P580:R580" si="834">B580+P581</f>
        <v>0</v>
      </c>
      <c r="Q580">
        <f t="shared" si="834"/>
        <v>0</v>
      </c>
      <c r="R580">
        <f t="shared" si="834"/>
        <v>0</v>
      </c>
      <c r="S580">
        <f t="shared" si="265"/>
        <v>0</v>
      </c>
      <c r="U580" s="8"/>
      <c r="V580">
        <f t="shared" si="9"/>
        <v>0</v>
      </c>
      <c r="W580">
        <f t="shared" si="10"/>
        <v>0</v>
      </c>
      <c r="X580">
        <f t="shared" si="11"/>
        <v>0</v>
      </c>
      <c r="Z580" s="8"/>
      <c r="AA580">
        <f t="shared" si="12"/>
        <v>0</v>
      </c>
      <c r="AB580">
        <f t="shared" si="13"/>
        <v>0</v>
      </c>
      <c r="AC580">
        <f t="shared" si="14"/>
        <v>0</v>
      </c>
    </row>
    <row r="581">
      <c r="O581" s="8"/>
      <c r="P581">
        <f t="shared" ref="P581:R581" si="835">B581+P582</f>
        <v>0</v>
      </c>
      <c r="Q581">
        <f t="shared" si="835"/>
        <v>0</v>
      </c>
      <c r="R581">
        <f t="shared" si="835"/>
        <v>0</v>
      </c>
      <c r="S581">
        <f t="shared" si="265"/>
        <v>0</v>
      </c>
      <c r="U581" s="8"/>
      <c r="V581">
        <f t="shared" si="9"/>
        <v>0</v>
      </c>
      <c r="W581">
        <f t="shared" si="10"/>
        <v>0</v>
      </c>
      <c r="X581">
        <f t="shared" si="11"/>
        <v>0</v>
      </c>
      <c r="Z581" s="8"/>
      <c r="AA581">
        <f t="shared" si="12"/>
        <v>0</v>
      </c>
      <c r="AB581">
        <f t="shared" si="13"/>
        <v>0</v>
      </c>
      <c r="AC581">
        <f t="shared" si="14"/>
        <v>0</v>
      </c>
    </row>
    <row r="582">
      <c r="O582" s="8"/>
      <c r="P582">
        <f t="shared" ref="P582:R582" si="836">B582+P583</f>
        <v>0</v>
      </c>
      <c r="Q582">
        <f t="shared" si="836"/>
        <v>0</v>
      </c>
      <c r="R582">
        <f t="shared" si="836"/>
        <v>0</v>
      </c>
      <c r="S582">
        <f t="shared" si="265"/>
        <v>0</v>
      </c>
      <c r="U582" s="8"/>
      <c r="V582">
        <f t="shared" si="9"/>
        <v>0</v>
      </c>
      <c r="W582">
        <f t="shared" si="10"/>
        <v>0</v>
      </c>
      <c r="X582">
        <f t="shared" si="11"/>
        <v>0</v>
      </c>
      <c r="Z582" s="8"/>
      <c r="AA582">
        <f t="shared" si="12"/>
        <v>0</v>
      </c>
      <c r="AB582">
        <f t="shared" si="13"/>
        <v>0</v>
      </c>
      <c r="AC582">
        <f t="shared" si="14"/>
        <v>0</v>
      </c>
    </row>
    <row r="583">
      <c r="O583" s="8"/>
      <c r="P583">
        <f t="shared" ref="P583:R583" si="837">B583+P584</f>
        <v>0</v>
      </c>
      <c r="Q583">
        <f t="shared" si="837"/>
        <v>0</v>
      </c>
      <c r="R583">
        <f t="shared" si="837"/>
        <v>0</v>
      </c>
      <c r="S583">
        <f t="shared" si="265"/>
        <v>0</v>
      </c>
      <c r="U583" s="8"/>
      <c r="V583">
        <f t="shared" si="9"/>
        <v>0</v>
      </c>
      <c r="W583">
        <f t="shared" si="10"/>
        <v>0</v>
      </c>
      <c r="X583">
        <f t="shared" si="11"/>
        <v>0</v>
      </c>
      <c r="Z583" s="8"/>
      <c r="AA583">
        <f t="shared" si="12"/>
        <v>0</v>
      </c>
      <c r="AB583">
        <f t="shared" si="13"/>
        <v>0</v>
      </c>
      <c r="AC583">
        <f t="shared" si="14"/>
        <v>0</v>
      </c>
    </row>
    <row r="584">
      <c r="O584" s="8"/>
      <c r="P584">
        <f t="shared" ref="P584:R584" si="838">B584+P585</f>
        <v>0</v>
      </c>
      <c r="Q584">
        <f t="shared" si="838"/>
        <v>0</v>
      </c>
      <c r="R584">
        <f t="shared" si="838"/>
        <v>0</v>
      </c>
      <c r="S584">
        <f t="shared" si="265"/>
        <v>0</v>
      </c>
      <c r="U584" s="8"/>
      <c r="V584">
        <f t="shared" si="9"/>
        <v>0</v>
      </c>
      <c r="W584">
        <f t="shared" si="10"/>
        <v>0</v>
      </c>
      <c r="X584">
        <f t="shared" si="11"/>
        <v>0</v>
      </c>
      <c r="Z584" s="8"/>
      <c r="AA584">
        <f t="shared" si="12"/>
        <v>0</v>
      </c>
      <c r="AB584">
        <f t="shared" si="13"/>
        <v>0</v>
      </c>
      <c r="AC584">
        <f t="shared" si="14"/>
        <v>0</v>
      </c>
    </row>
    <row r="585">
      <c r="O585" s="8"/>
      <c r="P585">
        <f t="shared" ref="P585:R585" si="839">B585+P586</f>
        <v>0</v>
      </c>
      <c r="Q585">
        <f t="shared" si="839"/>
        <v>0</v>
      </c>
      <c r="R585">
        <f t="shared" si="839"/>
        <v>0</v>
      </c>
      <c r="S585">
        <f t="shared" si="265"/>
        <v>0</v>
      </c>
      <c r="U585" s="8"/>
      <c r="V585">
        <f t="shared" si="9"/>
        <v>0</v>
      </c>
      <c r="W585">
        <f t="shared" si="10"/>
        <v>0</v>
      </c>
      <c r="X585">
        <f t="shared" si="11"/>
        <v>0</v>
      </c>
      <c r="Z585" s="8"/>
      <c r="AA585">
        <f t="shared" si="12"/>
        <v>0</v>
      </c>
      <c r="AB585">
        <f t="shared" si="13"/>
        <v>0</v>
      </c>
      <c r="AC585">
        <f t="shared" si="14"/>
        <v>0</v>
      </c>
    </row>
    <row r="586">
      <c r="O586" s="8"/>
      <c r="P586">
        <f t="shared" ref="P586:R586" si="840">B586+P587</f>
        <v>0</v>
      </c>
      <c r="Q586">
        <f t="shared" si="840"/>
        <v>0</v>
      </c>
      <c r="R586">
        <f t="shared" si="840"/>
        <v>0</v>
      </c>
      <c r="S586">
        <f t="shared" si="265"/>
        <v>0</v>
      </c>
      <c r="U586" s="8"/>
      <c r="V586">
        <f t="shared" si="9"/>
        <v>0</v>
      </c>
      <c r="W586">
        <f t="shared" si="10"/>
        <v>0</v>
      </c>
      <c r="X586">
        <f t="shared" si="11"/>
        <v>0</v>
      </c>
      <c r="Z586" s="8"/>
      <c r="AA586">
        <f t="shared" si="12"/>
        <v>0</v>
      </c>
      <c r="AB586">
        <f t="shared" si="13"/>
        <v>0</v>
      </c>
      <c r="AC586">
        <f t="shared" si="14"/>
        <v>0</v>
      </c>
    </row>
    <row r="587">
      <c r="O587" s="8"/>
      <c r="P587">
        <f t="shared" ref="P587:R587" si="841">B587+P588</f>
        <v>0</v>
      </c>
      <c r="Q587">
        <f t="shared" si="841"/>
        <v>0</v>
      </c>
      <c r="R587">
        <f t="shared" si="841"/>
        <v>0</v>
      </c>
      <c r="S587">
        <f t="shared" si="265"/>
        <v>0</v>
      </c>
      <c r="U587" s="8"/>
      <c r="V587">
        <f t="shared" si="9"/>
        <v>0</v>
      </c>
      <c r="W587">
        <f t="shared" si="10"/>
        <v>0</v>
      </c>
      <c r="X587">
        <f t="shared" si="11"/>
        <v>0</v>
      </c>
      <c r="Z587" s="8"/>
      <c r="AA587">
        <f t="shared" si="12"/>
        <v>0</v>
      </c>
      <c r="AB587">
        <f t="shared" si="13"/>
        <v>0</v>
      </c>
      <c r="AC587">
        <f t="shared" si="14"/>
        <v>0</v>
      </c>
    </row>
    <row r="588">
      <c r="O588" s="8"/>
      <c r="P588">
        <f t="shared" ref="P588:R588" si="842">B588+P589</f>
        <v>0</v>
      </c>
      <c r="Q588">
        <f t="shared" si="842"/>
        <v>0</v>
      </c>
      <c r="R588">
        <f t="shared" si="842"/>
        <v>0</v>
      </c>
      <c r="S588">
        <f t="shared" si="265"/>
        <v>0</v>
      </c>
      <c r="U588" s="8"/>
      <c r="V588">
        <f t="shared" si="9"/>
        <v>0</v>
      </c>
      <c r="W588">
        <f t="shared" si="10"/>
        <v>0</v>
      </c>
      <c r="X588">
        <f t="shared" si="11"/>
        <v>0</v>
      </c>
      <c r="Z588" s="8"/>
      <c r="AA588">
        <f t="shared" si="12"/>
        <v>0</v>
      </c>
      <c r="AB588">
        <f t="shared" si="13"/>
        <v>0</v>
      </c>
      <c r="AC588">
        <f t="shared" si="14"/>
        <v>0</v>
      </c>
    </row>
    <row r="589">
      <c r="O589" s="8"/>
      <c r="P589">
        <f t="shared" ref="P589:R589" si="843">B589+P590</f>
        <v>0</v>
      </c>
      <c r="Q589">
        <f t="shared" si="843"/>
        <v>0</v>
      </c>
      <c r="R589">
        <f t="shared" si="843"/>
        <v>0</v>
      </c>
      <c r="S589">
        <f t="shared" si="265"/>
        <v>0</v>
      </c>
      <c r="U589" s="8"/>
      <c r="V589">
        <f t="shared" si="9"/>
        <v>0</v>
      </c>
      <c r="W589">
        <f t="shared" si="10"/>
        <v>0</v>
      </c>
      <c r="X589">
        <f t="shared" si="11"/>
        <v>0</v>
      </c>
      <c r="Z589" s="8"/>
      <c r="AA589">
        <f t="shared" si="12"/>
        <v>0</v>
      </c>
      <c r="AB589">
        <f t="shared" si="13"/>
        <v>0</v>
      </c>
      <c r="AC589">
        <f t="shared" si="14"/>
        <v>0</v>
      </c>
    </row>
    <row r="590">
      <c r="O590" s="8"/>
      <c r="P590">
        <f t="shared" ref="P590:R590" si="844">B590+P591</f>
        <v>0</v>
      </c>
      <c r="Q590">
        <f t="shared" si="844"/>
        <v>0</v>
      </c>
      <c r="R590">
        <f t="shared" si="844"/>
        <v>0</v>
      </c>
      <c r="S590">
        <f t="shared" si="265"/>
        <v>0</v>
      </c>
      <c r="U590" s="8"/>
      <c r="V590">
        <f t="shared" si="9"/>
        <v>0</v>
      </c>
      <c r="W590">
        <f t="shared" si="10"/>
        <v>0</v>
      </c>
      <c r="X590">
        <f t="shared" si="11"/>
        <v>0</v>
      </c>
      <c r="Z590" s="8"/>
      <c r="AA590">
        <f t="shared" si="12"/>
        <v>0</v>
      </c>
      <c r="AB590">
        <f t="shared" si="13"/>
        <v>0</v>
      </c>
      <c r="AC590">
        <f t="shared" si="14"/>
        <v>0</v>
      </c>
    </row>
    <row r="591">
      <c r="O591" s="8"/>
      <c r="P591">
        <f t="shared" ref="P591:R591" si="845">B591+P592</f>
        <v>0</v>
      </c>
      <c r="Q591">
        <f t="shared" si="845"/>
        <v>0</v>
      </c>
      <c r="R591">
        <f t="shared" si="845"/>
        <v>0</v>
      </c>
      <c r="S591">
        <f t="shared" si="265"/>
        <v>0</v>
      </c>
      <c r="U591" s="8"/>
      <c r="V591">
        <f t="shared" si="9"/>
        <v>0</v>
      </c>
      <c r="W591">
        <f t="shared" si="10"/>
        <v>0</v>
      </c>
      <c r="X591">
        <f t="shared" si="11"/>
        <v>0</v>
      </c>
      <c r="Z591" s="8"/>
      <c r="AA591">
        <f t="shared" si="12"/>
        <v>0</v>
      </c>
      <c r="AB591">
        <f t="shared" si="13"/>
        <v>0</v>
      </c>
      <c r="AC591">
        <f t="shared" si="14"/>
        <v>0</v>
      </c>
    </row>
    <row r="592">
      <c r="O592" s="8"/>
      <c r="P592">
        <f t="shared" ref="P592:R592" si="846">B592+P593</f>
        <v>0</v>
      </c>
      <c r="Q592">
        <f t="shared" si="846"/>
        <v>0</v>
      </c>
      <c r="R592">
        <f t="shared" si="846"/>
        <v>0</v>
      </c>
      <c r="S592">
        <f t="shared" si="265"/>
        <v>0</v>
      </c>
      <c r="U592" s="8"/>
      <c r="V592">
        <f t="shared" si="9"/>
        <v>0</v>
      </c>
      <c r="W592">
        <f t="shared" si="10"/>
        <v>0</v>
      </c>
      <c r="X592">
        <f t="shared" si="11"/>
        <v>0</v>
      </c>
      <c r="Z592" s="8"/>
      <c r="AA592">
        <f t="shared" si="12"/>
        <v>0</v>
      </c>
      <c r="AB592">
        <f t="shared" si="13"/>
        <v>0</v>
      </c>
      <c r="AC592">
        <f t="shared" si="14"/>
        <v>0</v>
      </c>
    </row>
    <row r="593">
      <c r="O593" s="8"/>
      <c r="P593">
        <f t="shared" ref="P593:R593" si="847">B593+P594</f>
        <v>0</v>
      </c>
      <c r="Q593">
        <f t="shared" si="847"/>
        <v>0</v>
      </c>
      <c r="R593">
        <f t="shared" si="847"/>
        <v>0</v>
      </c>
      <c r="S593">
        <f t="shared" si="265"/>
        <v>0</v>
      </c>
      <c r="U593" s="8"/>
      <c r="V593">
        <f t="shared" si="9"/>
        <v>0</v>
      </c>
      <c r="W593">
        <f t="shared" si="10"/>
        <v>0</v>
      </c>
      <c r="X593">
        <f t="shared" si="11"/>
        <v>0</v>
      </c>
      <c r="Z593" s="8"/>
      <c r="AA593">
        <f t="shared" si="12"/>
        <v>0</v>
      </c>
      <c r="AB593">
        <f t="shared" si="13"/>
        <v>0</v>
      </c>
      <c r="AC593">
        <f t="shared" si="14"/>
        <v>0</v>
      </c>
    </row>
    <row r="594">
      <c r="O594" s="8"/>
      <c r="P594">
        <f t="shared" ref="P594:R594" si="848">B594+P595</f>
        <v>0</v>
      </c>
      <c r="Q594">
        <f t="shared" si="848"/>
        <v>0</v>
      </c>
      <c r="R594">
        <f t="shared" si="848"/>
        <v>0</v>
      </c>
      <c r="S594">
        <f t="shared" si="265"/>
        <v>0</v>
      </c>
      <c r="U594" s="8"/>
      <c r="V594">
        <f t="shared" si="9"/>
        <v>0</v>
      </c>
      <c r="W594">
        <f t="shared" si="10"/>
        <v>0</v>
      </c>
      <c r="X594">
        <f t="shared" si="11"/>
        <v>0</v>
      </c>
      <c r="Z594" s="8"/>
      <c r="AA594">
        <f t="shared" si="12"/>
        <v>0</v>
      </c>
      <c r="AB594">
        <f t="shared" si="13"/>
        <v>0</v>
      </c>
      <c r="AC594">
        <f t="shared" si="14"/>
        <v>0</v>
      </c>
    </row>
    <row r="595">
      <c r="O595" s="8"/>
      <c r="P595">
        <f t="shared" ref="P595:R595" si="849">B595+P596</f>
        <v>0</v>
      </c>
      <c r="Q595">
        <f t="shared" si="849"/>
        <v>0</v>
      </c>
      <c r="R595">
        <f t="shared" si="849"/>
        <v>0</v>
      </c>
      <c r="S595">
        <f t="shared" si="265"/>
        <v>0</v>
      </c>
      <c r="U595" s="8"/>
      <c r="V595">
        <f t="shared" si="9"/>
        <v>0</v>
      </c>
      <c r="W595">
        <f t="shared" si="10"/>
        <v>0</v>
      </c>
      <c r="X595">
        <f t="shared" si="11"/>
        <v>0</v>
      </c>
      <c r="Z595" s="8"/>
      <c r="AA595">
        <f t="shared" si="12"/>
        <v>0</v>
      </c>
      <c r="AB595">
        <f t="shared" si="13"/>
        <v>0</v>
      </c>
      <c r="AC595">
        <f t="shared" si="14"/>
        <v>0</v>
      </c>
    </row>
    <row r="596">
      <c r="O596" s="8"/>
      <c r="P596">
        <f t="shared" ref="P596:R596" si="850">B596+P597</f>
        <v>0</v>
      </c>
      <c r="Q596">
        <f t="shared" si="850"/>
        <v>0</v>
      </c>
      <c r="R596">
        <f t="shared" si="850"/>
        <v>0</v>
      </c>
      <c r="S596">
        <f t="shared" si="265"/>
        <v>0</v>
      </c>
      <c r="U596" s="8"/>
      <c r="V596">
        <f t="shared" si="9"/>
        <v>0</v>
      </c>
      <c r="W596">
        <f t="shared" si="10"/>
        <v>0</v>
      </c>
      <c r="X596">
        <f t="shared" si="11"/>
        <v>0</v>
      </c>
      <c r="Z596" s="8"/>
      <c r="AA596">
        <f t="shared" si="12"/>
        <v>0</v>
      </c>
      <c r="AB596">
        <f t="shared" si="13"/>
        <v>0</v>
      </c>
      <c r="AC596">
        <f t="shared" si="14"/>
        <v>0</v>
      </c>
    </row>
    <row r="597">
      <c r="O597" s="8"/>
      <c r="P597">
        <f t="shared" ref="P597:R597" si="851">B597+P598</f>
        <v>0</v>
      </c>
      <c r="Q597">
        <f t="shared" si="851"/>
        <v>0</v>
      </c>
      <c r="R597">
        <f t="shared" si="851"/>
        <v>0</v>
      </c>
      <c r="S597">
        <f t="shared" si="265"/>
        <v>0</v>
      </c>
      <c r="U597" s="8"/>
      <c r="V597">
        <f t="shared" si="9"/>
        <v>0</v>
      </c>
      <c r="W597">
        <f t="shared" si="10"/>
        <v>0</v>
      </c>
      <c r="X597">
        <f t="shared" si="11"/>
        <v>0</v>
      </c>
      <c r="Z597" s="8"/>
      <c r="AA597">
        <f t="shared" si="12"/>
        <v>0</v>
      </c>
      <c r="AB597">
        <f t="shared" si="13"/>
        <v>0</v>
      </c>
      <c r="AC597">
        <f t="shared" si="14"/>
        <v>0</v>
      </c>
    </row>
    <row r="598">
      <c r="O598" s="8"/>
      <c r="P598">
        <f t="shared" ref="P598:R598" si="852">B598+P599</f>
        <v>0</v>
      </c>
      <c r="Q598">
        <f t="shared" si="852"/>
        <v>0</v>
      </c>
      <c r="R598">
        <f t="shared" si="852"/>
        <v>0</v>
      </c>
      <c r="S598">
        <f t="shared" si="265"/>
        <v>0</v>
      </c>
      <c r="U598" s="8"/>
      <c r="V598">
        <f t="shared" si="9"/>
        <v>0</v>
      </c>
      <c r="W598">
        <f t="shared" si="10"/>
        <v>0</v>
      </c>
      <c r="X598">
        <f t="shared" si="11"/>
        <v>0</v>
      </c>
      <c r="Z598" s="8"/>
      <c r="AA598">
        <f t="shared" si="12"/>
        <v>0</v>
      </c>
      <c r="AB598">
        <f t="shared" si="13"/>
        <v>0</v>
      </c>
      <c r="AC598">
        <f t="shared" si="14"/>
        <v>0</v>
      </c>
    </row>
    <row r="599">
      <c r="O599" s="8"/>
      <c r="P599">
        <f t="shared" ref="P599:R599" si="853">B599+P600</f>
        <v>0</v>
      </c>
      <c r="Q599">
        <f t="shared" si="853"/>
        <v>0</v>
      </c>
      <c r="R599">
        <f t="shared" si="853"/>
        <v>0</v>
      </c>
      <c r="S599">
        <f t="shared" si="265"/>
        <v>0</v>
      </c>
      <c r="U599" s="8"/>
      <c r="V599">
        <f t="shared" si="9"/>
        <v>0</v>
      </c>
      <c r="W599">
        <f t="shared" si="10"/>
        <v>0</v>
      </c>
      <c r="X599">
        <f t="shared" si="11"/>
        <v>0</v>
      </c>
      <c r="Z599" s="8"/>
      <c r="AA599">
        <f t="shared" si="12"/>
        <v>0</v>
      </c>
      <c r="AB599">
        <f t="shared" si="13"/>
        <v>0</v>
      </c>
      <c r="AC599">
        <f t="shared" si="14"/>
        <v>0</v>
      </c>
    </row>
    <row r="600">
      <c r="O600" s="8"/>
      <c r="P600">
        <f t="shared" ref="P600:R600" si="854">B600+P601</f>
        <v>0</v>
      </c>
      <c r="Q600">
        <f t="shared" si="854"/>
        <v>0</v>
      </c>
      <c r="R600">
        <f t="shared" si="854"/>
        <v>0</v>
      </c>
      <c r="S600">
        <f t="shared" si="265"/>
        <v>0</v>
      </c>
      <c r="U600" s="8"/>
      <c r="V600">
        <f t="shared" si="9"/>
        <v>0</v>
      </c>
      <c r="W600">
        <f t="shared" si="10"/>
        <v>0</v>
      </c>
      <c r="X600">
        <f t="shared" si="11"/>
        <v>0</v>
      </c>
      <c r="Z600" s="8"/>
      <c r="AA600">
        <f t="shared" si="12"/>
        <v>0</v>
      </c>
      <c r="AB600">
        <f t="shared" si="13"/>
        <v>0</v>
      </c>
      <c r="AC600">
        <f t="shared" si="14"/>
        <v>0</v>
      </c>
    </row>
    <row r="601">
      <c r="O601" s="8"/>
      <c r="P601">
        <f t="shared" ref="P601:R601" si="855">B601+P602</f>
        <v>0</v>
      </c>
      <c r="Q601">
        <f t="shared" si="855"/>
        <v>0</v>
      </c>
      <c r="R601">
        <f t="shared" si="855"/>
        <v>0</v>
      </c>
      <c r="S601">
        <f t="shared" si="265"/>
        <v>0</v>
      </c>
      <c r="U601" s="8"/>
      <c r="V601">
        <f t="shared" si="9"/>
        <v>0</v>
      </c>
      <c r="W601">
        <f t="shared" si="10"/>
        <v>0</v>
      </c>
      <c r="X601">
        <f t="shared" si="11"/>
        <v>0</v>
      </c>
      <c r="Z601" s="8"/>
      <c r="AA601">
        <f t="shared" si="12"/>
        <v>0</v>
      </c>
      <c r="AB601">
        <f t="shared" si="13"/>
        <v>0</v>
      </c>
      <c r="AC601">
        <f t="shared" si="14"/>
        <v>0</v>
      </c>
    </row>
    <row r="602">
      <c r="O602" s="8"/>
      <c r="P602">
        <f t="shared" ref="P602:R602" si="856">B602+P603</f>
        <v>0</v>
      </c>
      <c r="Q602">
        <f t="shared" si="856"/>
        <v>0</v>
      </c>
      <c r="R602">
        <f t="shared" si="856"/>
        <v>0</v>
      </c>
      <c r="S602">
        <f t="shared" si="265"/>
        <v>0</v>
      </c>
      <c r="U602" s="8"/>
      <c r="V602">
        <f t="shared" si="9"/>
        <v>0</v>
      </c>
      <c r="W602">
        <f t="shared" si="10"/>
        <v>0</v>
      </c>
      <c r="X602">
        <f t="shared" si="11"/>
        <v>0</v>
      </c>
      <c r="Z602" s="8"/>
      <c r="AA602">
        <f t="shared" si="12"/>
        <v>0</v>
      </c>
      <c r="AB602">
        <f t="shared" si="13"/>
        <v>0</v>
      </c>
      <c r="AC602">
        <f t="shared" si="14"/>
        <v>0</v>
      </c>
    </row>
    <row r="603">
      <c r="O603" s="8"/>
      <c r="P603">
        <f t="shared" ref="P603:R603" si="857">B603+P604</f>
        <v>0</v>
      </c>
      <c r="Q603">
        <f t="shared" si="857"/>
        <v>0</v>
      </c>
      <c r="R603">
        <f t="shared" si="857"/>
        <v>0</v>
      </c>
      <c r="S603">
        <f t="shared" si="265"/>
        <v>0</v>
      </c>
      <c r="U603" s="8"/>
      <c r="V603">
        <f t="shared" si="9"/>
        <v>0</v>
      </c>
      <c r="W603">
        <f t="shared" si="10"/>
        <v>0</v>
      </c>
      <c r="X603">
        <f t="shared" si="11"/>
        <v>0</v>
      </c>
      <c r="Z603" s="8"/>
      <c r="AA603">
        <f t="shared" si="12"/>
        <v>0</v>
      </c>
      <c r="AB603">
        <f t="shared" si="13"/>
        <v>0</v>
      </c>
      <c r="AC603">
        <f t="shared" si="14"/>
        <v>0</v>
      </c>
    </row>
    <row r="604">
      <c r="O604" s="8"/>
      <c r="P604">
        <f t="shared" ref="P604:R604" si="858">B604+P605</f>
        <v>0</v>
      </c>
      <c r="Q604">
        <f t="shared" si="858"/>
        <v>0</v>
      </c>
      <c r="R604">
        <f t="shared" si="858"/>
        <v>0</v>
      </c>
      <c r="S604">
        <f t="shared" si="265"/>
        <v>0</v>
      </c>
      <c r="U604" s="8"/>
      <c r="V604">
        <f t="shared" si="9"/>
        <v>0</v>
      </c>
      <c r="W604">
        <f t="shared" si="10"/>
        <v>0</v>
      </c>
      <c r="X604">
        <f t="shared" si="11"/>
        <v>0</v>
      </c>
      <c r="Z604" s="8"/>
      <c r="AA604">
        <f t="shared" si="12"/>
        <v>0</v>
      </c>
      <c r="AB604">
        <f t="shared" si="13"/>
        <v>0</v>
      </c>
      <c r="AC604">
        <f t="shared" si="14"/>
        <v>0</v>
      </c>
    </row>
    <row r="605">
      <c r="O605" s="8"/>
      <c r="P605">
        <f t="shared" ref="P605:R605" si="859">B605+P606</f>
        <v>0</v>
      </c>
      <c r="Q605">
        <f t="shared" si="859"/>
        <v>0</v>
      </c>
      <c r="R605">
        <f t="shared" si="859"/>
        <v>0</v>
      </c>
      <c r="S605">
        <f t="shared" si="265"/>
        <v>0</v>
      </c>
      <c r="U605" s="8"/>
      <c r="V605">
        <f t="shared" si="9"/>
        <v>0</v>
      </c>
      <c r="W605">
        <f t="shared" si="10"/>
        <v>0</v>
      </c>
      <c r="X605">
        <f t="shared" si="11"/>
        <v>0</v>
      </c>
      <c r="Z605" s="8"/>
      <c r="AA605">
        <f t="shared" si="12"/>
        <v>0</v>
      </c>
      <c r="AB605">
        <f t="shared" si="13"/>
        <v>0</v>
      </c>
      <c r="AC605">
        <f t="shared" si="14"/>
        <v>0</v>
      </c>
    </row>
    <row r="606">
      <c r="O606" s="8"/>
      <c r="P606">
        <f t="shared" ref="P606:R606" si="860">B606+P607</f>
        <v>0</v>
      </c>
      <c r="Q606">
        <f t="shared" si="860"/>
        <v>0</v>
      </c>
      <c r="R606">
        <f t="shared" si="860"/>
        <v>0</v>
      </c>
      <c r="S606">
        <f t="shared" si="265"/>
        <v>0</v>
      </c>
      <c r="U606" s="8"/>
      <c r="V606">
        <f t="shared" si="9"/>
        <v>0</v>
      </c>
      <c r="W606">
        <f t="shared" si="10"/>
        <v>0</v>
      </c>
      <c r="X606">
        <f t="shared" si="11"/>
        <v>0</v>
      </c>
      <c r="Z606" s="8"/>
      <c r="AA606">
        <f t="shared" si="12"/>
        <v>0</v>
      </c>
      <c r="AB606">
        <f t="shared" si="13"/>
        <v>0</v>
      </c>
      <c r="AC606">
        <f t="shared" si="14"/>
        <v>0</v>
      </c>
    </row>
    <row r="607">
      <c r="O607" s="8"/>
      <c r="P607">
        <f t="shared" ref="P607:R607" si="861">B607+P608</f>
        <v>0</v>
      </c>
      <c r="Q607">
        <f t="shared" si="861"/>
        <v>0</v>
      </c>
      <c r="R607">
        <f t="shared" si="861"/>
        <v>0</v>
      </c>
      <c r="S607">
        <f t="shared" si="265"/>
        <v>0</v>
      </c>
      <c r="U607" s="8"/>
      <c r="V607">
        <f t="shared" si="9"/>
        <v>0</v>
      </c>
      <c r="W607">
        <f t="shared" si="10"/>
        <v>0</v>
      </c>
      <c r="X607">
        <f t="shared" si="11"/>
        <v>0</v>
      </c>
      <c r="Z607" s="8"/>
      <c r="AA607">
        <f t="shared" si="12"/>
        <v>0</v>
      </c>
      <c r="AB607">
        <f t="shared" si="13"/>
        <v>0</v>
      </c>
      <c r="AC607">
        <f t="shared" si="14"/>
        <v>0</v>
      </c>
    </row>
    <row r="608">
      <c r="O608" s="8"/>
      <c r="P608">
        <f t="shared" ref="P608:R608" si="862">B608+P609</f>
        <v>0</v>
      </c>
      <c r="Q608">
        <f t="shared" si="862"/>
        <v>0</v>
      </c>
      <c r="R608">
        <f t="shared" si="862"/>
        <v>0</v>
      </c>
      <c r="S608">
        <f t="shared" si="265"/>
        <v>0</v>
      </c>
      <c r="U608" s="8"/>
      <c r="V608">
        <f t="shared" si="9"/>
        <v>0</v>
      </c>
      <c r="W608">
        <f t="shared" si="10"/>
        <v>0</v>
      </c>
      <c r="X608">
        <f t="shared" si="11"/>
        <v>0</v>
      </c>
      <c r="Z608" s="8"/>
      <c r="AA608">
        <f t="shared" si="12"/>
        <v>0</v>
      </c>
      <c r="AB608">
        <f t="shared" si="13"/>
        <v>0</v>
      </c>
      <c r="AC608">
        <f t="shared" si="14"/>
        <v>0</v>
      </c>
    </row>
    <row r="609">
      <c r="O609" s="8"/>
      <c r="P609">
        <f t="shared" ref="P609:R609" si="863">B609+P610</f>
        <v>0</v>
      </c>
      <c r="Q609">
        <f t="shared" si="863"/>
        <v>0</v>
      </c>
      <c r="R609">
        <f t="shared" si="863"/>
        <v>0</v>
      </c>
      <c r="S609">
        <f t="shared" si="265"/>
        <v>0</v>
      </c>
      <c r="U609" s="8"/>
      <c r="V609">
        <f t="shared" si="9"/>
        <v>0</v>
      </c>
      <c r="W609">
        <f t="shared" si="10"/>
        <v>0</v>
      </c>
      <c r="X609">
        <f t="shared" si="11"/>
        <v>0</v>
      </c>
      <c r="Z609" s="8"/>
      <c r="AA609">
        <f t="shared" si="12"/>
        <v>0</v>
      </c>
      <c r="AB609">
        <f t="shared" si="13"/>
        <v>0</v>
      </c>
      <c r="AC609">
        <f t="shared" si="14"/>
        <v>0</v>
      </c>
    </row>
    <row r="610">
      <c r="O610" s="8"/>
      <c r="P610">
        <f t="shared" ref="P610:R610" si="864">B610+P611</f>
        <v>0</v>
      </c>
      <c r="Q610">
        <f t="shared" si="864"/>
        <v>0</v>
      </c>
      <c r="R610">
        <f t="shared" si="864"/>
        <v>0</v>
      </c>
      <c r="S610">
        <f t="shared" si="265"/>
        <v>0</v>
      </c>
      <c r="U610" s="8"/>
      <c r="V610">
        <f t="shared" si="9"/>
        <v>0</v>
      </c>
      <c r="W610">
        <f t="shared" si="10"/>
        <v>0</v>
      </c>
      <c r="X610">
        <f t="shared" si="11"/>
        <v>0</v>
      </c>
      <c r="Z610" s="8"/>
      <c r="AA610">
        <f t="shared" si="12"/>
        <v>0</v>
      </c>
      <c r="AB610">
        <f t="shared" si="13"/>
        <v>0</v>
      </c>
      <c r="AC610">
        <f t="shared" si="14"/>
        <v>0</v>
      </c>
    </row>
    <row r="611">
      <c r="O611" s="8"/>
      <c r="P611">
        <f t="shared" ref="P611:R611" si="865">B611+P612</f>
        <v>0</v>
      </c>
      <c r="Q611">
        <f t="shared" si="865"/>
        <v>0</v>
      </c>
      <c r="R611">
        <f t="shared" si="865"/>
        <v>0</v>
      </c>
      <c r="S611">
        <f t="shared" si="265"/>
        <v>0</v>
      </c>
      <c r="U611" s="8"/>
      <c r="V611">
        <f t="shared" si="9"/>
        <v>0</v>
      </c>
      <c r="W611">
        <f t="shared" si="10"/>
        <v>0</v>
      </c>
      <c r="X611">
        <f t="shared" si="11"/>
        <v>0</v>
      </c>
      <c r="Z611" s="8"/>
      <c r="AA611">
        <f t="shared" si="12"/>
        <v>0</v>
      </c>
      <c r="AB611">
        <f t="shared" si="13"/>
        <v>0</v>
      </c>
      <c r="AC611">
        <f t="shared" si="14"/>
        <v>0</v>
      </c>
    </row>
    <row r="612">
      <c r="O612" s="8"/>
      <c r="P612">
        <f t="shared" ref="P612:R612" si="866">B612+P613</f>
        <v>0</v>
      </c>
      <c r="Q612">
        <f t="shared" si="866"/>
        <v>0</v>
      </c>
      <c r="R612">
        <f t="shared" si="866"/>
        <v>0</v>
      </c>
      <c r="S612">
        <f t="shared" si="265"/>
        <v>0</v>
      </c>
      <c r="U612" s="8"/>
      <c r="V612">
        <f t="shared" si="9"/>
        <v>0</v>
      </c>
      <c r="W612">
        <f t="shared" si="10"/>
        <v>0</v>
      </c>
      <c r="X612">
        <f t="shared" si="11"/>
        <v>0</v>
      </c>
      <c r="Z612" s="8"/>
      <c r="AA612">
        <f t="shared" si="12"/>
        <v>0</v>
      </c>
      <c r="AB612">
        <f t="shared" si="13"/>
        <v>0</v>
      </c>
      <c r="AC612">
        <f t="shared" si="14"/>
        <v>0</v>
      </c>
    </row>
    <row r="613">
      <c r="O613" s="8"/>
      <c r="P613">
        <f t="shared" ref="P613:R613" si="867">B613+P614</f>
        <v>0</v>
      </c>
      <c r="Q613">
        <f t="shared" si="867"/>
        <v>0</v>
      </c>
      <c r="R613">
        <f t="shared" si="867"/>
        <v>0</v>
      </c>
      <c r="S613">
        <f t="shared" si="265"/>
        <v>0</v>
      </c>
      <c r="U613" s="8"/>
      <c r="V613">
        <f t="shared" si="9"/>
        <v>0</v>
      </c>
      <c r="W613">
        <f t="shared" si="10"/>
        <v>0</v>
      </c>
      <c r="X613">
        <f t="shared" si="11"/>
        <v>0</v>
      </c>
      <c r="Z613" s="8"/>
      <c r="AA613">
        <f t="shared" si="12"/>
        <v>0</v>
      </c>
      <c r="AB613">
        <f t="shared" si="13"/>
        <v>0</v>
      </c>
      <c r="AC613">
        <f t="shared" si="14"/>
        <v>0</v>
      </c>
    </row>
    <row r="614">
      <c r="O614" s="8"/>
      <c r="P614">
        <f t="shared" ref="P614:R614" si="868">B614+P615</f>
        <v>0</v>
      </c>
      <c r="Q614">
        <f t="shared" si="868"/>
        <v>0</v>
      </c>
      <c r="R614">
        <f t="shared" si="868"/>
        <v>0</v>
      </c>
      <c r="S614">
        <f t="shared" si="265"/>
        <v>0</v>
      </c>
      <c r="U614" s="8"/>
      <c r="V614">
        <f t="shared" si="9"/>
        <v>0</v>
      </c>
      <c r="W614">
        <f t="shared" si="10"/>
        <v>0</v>
      </c>
      <c r="X614">
        <f t="shared" si="11"/>
        <v>0</v>
      </c>
      <c r="Z614" s="8"/>
      <c r="AA614">
        <f t="shared" si="12"/>
        <v>0</v>
      </c>
      <c r="AB614">
        <f t="shared" si="13"/>
        <v>0</v>
      </c>
      <c r="AC614">
        <f t="shared" si="14"/>
        <v>0</v>
      </c>
    </row>
    <row r="615">
      <c r="O615" s="8"/>
      <c r="P615">
        <f t="shared" ref="P615:R615" si="869">B615+P616</f>
        <v>0</v>
      </c>
      <c r="Q615">
        <f t="shared" si="869"/>
        <v>0</v>
      </c>
      <c r="R615">
        <f t="shared" si="869"/>
        <v>0</v>
      </c>
      <c r="S615">
        <f t="shared" si="265"/>
        <v>0</v>
      </c>
      <c r="U615" s="8"/>
      <c r="V615">
        <f t="shared" si="9"/>
        <v>0</v>
      </c>
      <c r="W615">
        <f t="shared" si="10"/>
        <v>0</v>
      </c>
      <c r="X615">
        <f t="shared" si="11"/>
        <v>0</v>
      </c>
      <c r="Z615" s="8"/>
      <c r="AA615">
        <f t="shared" si="12"/>
        <v>0</v>
      </c>
      <c r="AB615">
        <f t="shared" si="13"/>
        <v>0</v>
      </c>
      <c r="AC615">
        <f t="shared" si="14"/>
        <v>0</v>
      </c>
    </row>
    <row r="616">
      <c r="O616" s="8"/>
      <c r="P616">
        <f t="shared" ref="P616:R616" si="870">B616+P617</f>
        <v>0</v>
      </c>
      <c r="Q616">
        <f t="shared" si="870"/>
        <v>0</v>
      </c>
      <c r="R616">
        <f t="shared" si="870"/>
        <v>0</v>
      </c>
      <c r="S616">
        <f t="shared" si="265"/>
        <v>0</v>
      </c>
      <c r="U616" s="8"/>
      <c r="V616">
        <f t="shared" si="9"/>
        <v>0</v>
      </c>
      <c r="W616">
        <f t="shared" si="10"/>
        <v>0</v>
      </c>
      <c r="X616">
        <f t="shared" si="11"/>
        <v>0</v>
      </c>
      <c r="Z616" s="8"/>
      <c r="AA616">
        <f t="shared" si="12"/>
        <v>0</v>
      </c>
      <c r="AB616">
        <f t="shared" si="13"/>
        <v>0</v>
      </c>
      <c r="AC616">
        <f t="shared" si="14"/>
        <v>0</v>
      </c>
    </row>
    <row r="617">
      <c r="O617" s="8"/>
      <c r="P617">
        <f t="shared" ref="P617:R617" si="871">B617+P618</f>
        <v>0</v>
      </c>
      <c r="Q617">
        <f t="shared" si="871"/>
        <v>0</v>
      </c>
      <c r="R617">
        <f t="shared" si="871"/>
        <v>0</v>
      </c>
      <c r="S617">
        <f t="shared" si="265"/>
        <v>0</v>
      </c>
      <c r="U617" s="8"/>
      <c r="V617">
        <f t="shared" si="9"/>
        <v>0</v>
      </c>
      <c r="W617">
        <f t="shared" si="10"/>
        <v>0</v>
      </c>
      <c r="X617">
        <f t="shared" si="11"/>
        <v>0</v>
      </c>
      <c r="Z617" s="8"/>
      <c r="AA617">
        <f t="shared" si="12"/>
        <v>0</v>
      </c>
      <c r="AB617">
        <f t="shared" si="13"/>
        <v>0</v>
      </c>
      <c r="AC617">
        <f t="shared" si="14"/>
        <v>0</v>
      </c>
    </row>
    <row r="618">
      <c r="O618" s="8"/>
      <c r="P618">
        <f t="shared" ref="P618:R618" si="872">B618+P619</f>
        <v>0</v>
      </c>
      <c r="Q618">
        <f t="shared" si="872"/>
        <v>0</v>
      </c>
      <c r="R618">
        <f t="shared" si="872"/>
        <v>0</v>
      </c>
      <c r="S618">
        <f t="shared" si="265"/>
        <v>0</v>
      </c>
      <c r="U618" s="8"/>
      <c r="V618">
        <f t="shared" si="9"/>
        <v>0</v>
      </c>
      <c r="W618">
        <f t="shared" si="10"/>
        <v>0</v>
      </c>
      <c r="X618">
        <f t="shared" si="11"/>
        <v>0</v>
      </c>
      <c r="Z618" s="8"/>
      <c r="AA618">
        <f t="shared" si="12"/>
        <v>0</v>
      </c>
      <c r="AB618">
        <f t="shared" si="13"/>
        <v>0</v>
      </c>
      <c r="AC618">
        <f t="shared" si="14"/>
        <v>0</v>
      </c>
    </row>
    <row r="619">
      <c r="O619" s="8"/>
      <c r="P619">
        <f t="shared" ref="P619:R619" si="873">B619+P620</f>
        <v>0</v>
      </c>
      <c r="Q619">
        <f t="shared" si="873"/>
        <v>0</v>
      </c>
      <c r="R619">
        <f t="shared" si="873"/>
        <v>0</v>
      </c>
      <c r="S619">
        <f t="shared" si="265"/>
        <v>0</v>
      </c>
      <c r="U619" s="8"/>
      <c r="V619">
        <f t="shared" si="9"/>
        <v>0</v>
      </c>
      <c r="W619">
        <f t="shared" si="10"/>
        <v>0</v>
      </c>
      <c r="X619">
        <f t="shared" si="11"/>
        <v>0</v>
      </c>
      <c r="Z619" s="8"/>
      <c r="AA619">
        <f t="shared" si="12"/>
        <v>0</v>
      </c>
      <c r="AB619">
        <f t="shared" si="13"/>
        <v>0</v>
      </c>
      <c r="AC619">
        <f t="shared" si="14"/>
        <v>0</v>
      </c>
    </row>
    <row r="620">
      <c r="O620" s="8"/>
      <c r="P620">
        <f t="shared" ref="P620:R620" si="874">B620+P621</f>
        <v>0</v>
      </c>
      <c r="Q620">
        <f t="shared" si="874"/>
        <v>0</v>
      </c>
      <c r="R620">
        <f t="shared" si="874"/>
        <v>0</v>
      </c>
      <c r="S620">
        <f t="shared" si="265"/>
        <v>0</v>
      </c>
      <c r="U620" s="8"/>
      <c r="V620">
        <f t="shared" si="9"/>
        <v>0</v>
      </c>
      <c r="W620">
        <f t="shared" si="10"/>
        <v>0</v>
      </c>
      <c r="X620">
        <f t="shared" si="11"/>
        <v>0</v>
      </c>
      <c r="Z620" s="8"/>
      <c r="AA620">
        <f t="shared" si="12"/>
        <v>0</v>
      </c>
      <c r="AB620">
        <f t="shared" si="13"/>
        <v>0</v>
      </c>
      <c r="AC620">
        <f t="shared" si="14"/>
        <v>0</v>
      </c>
    </row>
    <row r="621">
      <c r="O621" s="8"/>
      <c r="P621">
        <f t="shared" ref="P621:R621" si="875">B621+P622</f>
        <v>0</v>
      </c>
      <c r="Q621">
        <f t="shared" si="875"/>
        <v>0</v>
      </c>
      <c r="R621">
        <f t="shared" si="875"/>
        <v>0</v>
      </c>
      <c r="S621">
        <f t="shared" si="265"/>
        <v>0</v>
      </c>
      <c r="U621" s="8"/>
      <c r="V621">
        <f t="shared" si="9"/>
        <v>0</v>
      </c>
      <c r="W621">
        <f t="shared" si="10"/>
        <v>0</v>
      </c>
      <c r="X621">
        <f t="shared" si="11"/>
        <v>0</v>
      </c>
      <c r="Z621" s="8"/>
      <c r="AA621">
        <f t="shared" si="12"/>
        <v>0</v>
      </c>
      <c r="AB621">
        <f t="shared" si="13"/>
        <v>0</v>
      </c>
      <c r="AC621">
        <f t="shared" si="14"/>
        <v>0</v>
      </c>
    </row>
    <row r="622">
      <c r="O622" s="8"/>
      <c r="P622">
        <f t="shared" ref="P622:R622" si="876">B622+P623</f>
        <v>0</v>
      </c>
      <c r="Q622">
        <f t="shared" si="876"/>
        <v>0</v>
      </c>
      <c r="R622">
        <f t="shared" si="876"/>
        <v>0</v>
      </c>
      <c r="S622">
        <f t="shared" si="265"/>
        <v>0</v>
      </c>
      <c r="U622" s="8"/>
      <c r="V622">
        <f t="shared" si="9"/>
        <v>0</v>
      </c>
      <c r="W622">
        <f t="shared" si="10"/>
        <v>0</v>
      </c>
      <c r="X622">
        <f t="shared" si="11"/>
        <v>0</v>
      </c>
      <c r="Z622" s="8"/>
      <c r="AA622">
        <f t="shared" si="12"/>
        <v>0</v>
      </c>
      <c r="AB622">
        <f t="shared" si="13"/>
        <v>0</v>
      </c>
      <c r="AC622">
        <f t="shared" si="14"/>
        <v>0</v>
      </c>
    </row>
    <row r="623">
      <c r="O623" s="8"/>
      <c r="P623">
        <f t="shared" ref="P623:R623" si="877">B623+P624</f>
        <v>0</v>
      </c>
      <c r="Q623">
        <f t="shared" si="877"/>
        <v>0</v>
      </c>
      <c r="R623">
        <f t="shared" si="877"/>
        <v>0</v>
      </c>
      <c r="S623">
        <f t="shared" si="265"/>
        <v>0</v>
      </c>
      <c r="U623" s="8"/>
      <c r="V623">
        <f t="shared" si="9"/>
        <v>0</v>
      </c>
      <c r="W623">
        <f t="shared" si="10"/>
        <v>0</v>
      </c>
      <c r="X623">
        <f t="shared" si="11"/>
        <v>0</v>
      </c>
      <c r="Z623" s="8"/>
      <c r="AA623">
        <f t="shared" si="12"/>
        <v>0</v>
      </c>
      <c r="AB623">
        <f t="shared" si="13"/>
        <v>0</v>
      </c>
      <c r="AC623">
        <f t="shared" si="14"/>
        <v>0</v>
      </c>
    </row>
    <row r="624">
      <c r="O624" s="8"/>
      <c r="P624">
        <f t="shared" ref="P624:R624" si="878">B624+P625</f>
        <v>0</v>
      </c>
      <c r="Q624">
        <f t="shared" si="878"/>
        <v>0</v>
      </c>
      <c r="R624">
        <f t="shared" si="878"/>
        <v>0</v>
      </c>
      <c r="S624">
        <f t="shared" si="265"/>
        <v>0</v>
      </c>
      <c r="U624" s="8"/>
      <c r="V624">
        <f t="shared" si="9"/>
        <v>0</v>
      </c>
      <c r="W624">
        <f t="shared" si="10"/>
        <v>0</v>
      </c>
      <c r="X624">
        <f t="shared" si="11"/>
        <v>0</v>
      </c>
      <c r="Z624" s="8"/>
      <c r="AA624">
        <f t="shared" si="12"/>
        <v>0</v>
      </c>
      <c r="AB624">
        <f t="shared" si="13"/>
        <v>0</v>
      </c>
      <c r="AC624">
        <f t="shared" si="14"/>
        <v>0</v>
      </c>
    </row>
    <row r="625">
      <c r="O625" s="8"/>
      <c r="P625">
        <f t="shared" ref="P625:R625" si="879">B625+P626</f>
        <v>0</v>
      </c>
      <c r="Q625">
        <f t="shared" si="879"/>
        <v>0</v>
      </c>
      <c r="R625">
        <f t="shared" si="879"/>
        <v>0</v>
      </c>
      <c r="S625">
        <f t="shared" si="265"/>
        <v>0</v>
      </c>
      <c r="U625" s="8"/>
      <c r="V625">
        <f t="shared" si="9"/>
        <v>0</v>
      </c>
      <c r="W625">
        <f t="shared" si="10"/>
        <v>0</v>
      </c>
      <c r="X625">
        <f t="shared" si="11"/>
        <v>0</v>
      </c>
      <c r="Z625" s="8"/>
      <c r="AA625">
        <f t="shared" si="12"/>
        <v>0</v>
      </c>
      <c r="AB625">
        <f t="shared" si="13"/>
        <v>0</v>
      </c>
      <c r="AC625">
        <f t="shared" si="14"/>
        <v>0</v>
      </c>
    </row>
    <row r="626">
      <c r="O626" s="8"/>
      <c r="P626">
        <f t="shared" ref="P626:R626" si="880">B626+P627</f>
        <v>0</v>
      </c>
      <c r="Q626">
        <f t="shared" si="880"/>
        <v>0</v>
      </c>
      <c r="R626">
        <f t="shared" si="880"/>
        <v>0</v>
      </c>
      <c r="S626">
        <f t="shared" si="265"/>
        <v>0</v>
      </c>
      <c r="U626" s="8"/>
      <c r="V626">
        <f t="shared" si="9"/>
        <v>0</v>
      </c>
      <c r="W626">
        <f t="shared" si="10"/>
        <v>0</v>
      </c>
      <c r="X626">
        <f t="shared" si="11"/>
        <v>0</v>
      </c>
      <c r="Z626" s="8"/>
      <c r="AA626">
        <f t="shared" si="12"/>
        <v>0</v>
      </c>
      <c r="AB626">
        <f t="shared" si="13"/>
        <v>0</v>
      </c>
      <c r="AC626">
        <f t="shared" si="14"/>
        <v>0</v>
      </c>
    </row>
    <row r="627">
      <c r="O627" s="8"/>
      <c r="P627">
        <f t="shared" ref="P627:R627" si="881">B627+P628</f>
        <v>0</v>
      </c>
      <c r="Q627">
        <f t="shared" si="881"/>
        <v>0</v>
      </c>
      <c r="R627">
        <f t="shared" si="881"/>
        <v>0</v>
      </c>
      <c r="S627">
        <f t="shared" si="265"/>
        <v>0</v>
      </c>
      <c r="U627" s="8"/>
      <c r="V627">
        <f t="shared" si="9"/>
        <v>0</v>
      </c>
      <c r="W627">
        <f t="shared" si="10"/>
        <v>0</v>
      </c>
      <c r="X627">
        <f t="shared" si="11"/>
        <v>0</v>
      </c>
      <c r="Z627" s="8"/>
      <c r="AA627">
        <f t="shared" si="12"/>
        <v>0</v>
      </c>
      <c r="AB627">
        <f t="shared" si="13"/>
        <v>0</v>
      </c>
      <c r="AC627">
        <f t="shared" si="14"/>
        <v>0</v>
      </c>
    </row>
    <row r="628">
      <c r="O628" s="8"/>
      <c r="P628">
        <f t="shared" ref="P628:R628" si="882">B628+P629</f>
        <v>0</v>
      </c>
      <c r="Q628">
        <f t="shared" si="882"/>
        <v>0</v>
      </c>
      <c r="R628">
        <f t="shared" si="882"/>
        <v>0</v>
      </c>
      <c r="S628">
        <f t="shared" si="265"/>
        <v>0</v>
      </c>
      <c r="U628" s="8"/>
      <c r="V628">
        <f t="shared" si="9"/>
        <v>0</v>
      </c>
      <c r="W628">
        <f t="shared" si="10"/>
        <v>0</v>
      </c>
      <c r="X628">
        <f t="shared" si="11"/>
        <v>0</v>
      </c>
      <c r="Z628" s="8"/>
      <c r="AA628">
        <f t="shared" si="12"/>
        <v>0</v>
      </c>
      <c r="AB628">
        <f t="shared" si="13"/>
        <v>0</v>
      </c>
      <c r="AC628">
        <f t="shared" si="14"/>
        <v>0</v>
      </c>
    </row>
    <row r="629">
      <c r="O629" s="8"/>
      <c r="P629">
        <f t="shared" ref="P629:R629" si="883">B629+P630</f>
        <v>0</v>
      </c>
      <c r="Q629">
        <f t="shared" si="883"/>
        <v>0</v>
      </c>
      <c r="R629">
        <f t="shared" si="883"/>
        <v>0</v>
      </c>
      <c r="S629">
        <f t="shared" si="265"/>
        <v>0</v>
      </c>
      <c r="U629" s="8"/>
      <c r="V629">
        <f t="shared" si="9"/>
        <v>0</v>
      </c>
      <c r="W629">
        <f t="shared" si="10"/>
        <v>0</v>
      </c>
      <c r="X629">
        <f t="shared" si="11"/>
        <v>0</v>
      </c>
      <c r="Z629" s="8"/>
      <c r="AA629">
        <f t="shared" si="12"/>
        <v>0</v>
      </c>
      <c r="AB629">
        <f t="shared" si="13"/>
        <v>0</v>
      </c>
      <c r="AC629">
        <f t="shared" si="14"/>
        <v>0</v>
      </c>
    </row>
    <row r="630">
      <c r="O630" s="8"/>
      <c r="P630">
        <f t="shared" ref="P630:R630" si="884">B630+P631</f>
        <v>0</v>
      </c>
      <c r="Q630">
        <f t="shared" si="884"/>
        <v>0</v>
      </c>
      <c r="R630">
        <f t="shared" si="884"/>
        <v>0</v>
      </c>
      <c r="S630">
        <f t="shared" si="265"/>
        <v>0</v>
      </c>
      <c r="U630" s="8"/>
      <c r="V630">
        <f t="shared" si="9"/>
        <v>0</v>
      </c>
      <c r="W630">
        <f t="shared" si="10"/>
        <v>0</v>
      </c>
      <c r="X630">
        <f t="shared" si="11"/>
        <v>0</v>
      </c>
      <c r="Z630" s="8"/>
      <c r="AA630">
        <f t="shared" si="12"/>
        <v>0</v>
      </c>
      <c r="AB630">
        <f t="shared" si="13"/>
        <v>0</v>
      </c>
      <c r="AC630">
        <f t="shared" si="14"/>
        <v>0</v>
      </c>
    </row>
    <row r="631">
      <c r="O631" s="8"/>
      <c r="P631">
        <f t="shared" ref="P631:R631" si="885">B631+P632</f>
        <v>0</v>
      </c>
      <c r="Q631">
        <f t="shared" si="885"/>
        <v>0</v>
      </c>
      <c r="R631">
        <f t="shared" si="885"/>
        <v>0</v>
      </c>
      <c r="S631">
        <f t="shared" si="265"/>
        <v>0</v>
      </c>
      <c r="U631" s="8"/>
      <c r="V631">
        <f t="shared" si="9"/>
        <v>0</v>
      </c>
      <c r="W631">
        <f t="shared" si="10"/>
        <v>0</v>
      </c>
      <c r="X631">
        <f t="shared" si="11"/>
        <v>0</v>
      </c>
      <c r="Z631" s="8"/>
      <c r="AA631">
        <f t="shared" si="12"/>
        <v>0</v>
      </c>
      <c r="AB631">
        <f t="shared" si="13"/>
        <v>0</v>
      </c>
      <c r="AC631">
        <f t="shared" si="14"/>
        <v>0</v>
      </c>
    </row>
    <row r="632">
      <c r="O632" s="8"/>
      <c r="P632">
        <f t="shared" ref="P632:R632" si="886">B632+P633</f>
        <v>0</v>
      </c>
      <c r="Q632">
        <f t="shared" si="886"/>
        <v>0</v>
      </c>
      <c r="R632">
        <f t="shared" si="886"/>
        <v>0</v>
      </c>
      <c r="S632">
        <f t="shared" si="265"/>
        <v>0</v>
      </c>
      <c r="U632" s="8"/>
      <c r="V632">
        <f t="shared" si="9"/>
        <v>0</v>
      </c>
      <c r="W632">
        <f t="shared" si="10"/>
        <v>0</v>
      </c>
      <c r="X632">
        <f t="shared" si="11"/>
        <v>0</v>
      </c>
      <c r="Z632" s="8"/>
      <c r="AA632">
        <f t="shared" si="12"/>
        <v>0</v>
      </c>
      <c r="AB632">
        <f t="shared" si="13"/>
        <v>0</v>
      </c>
      <c r="AC632">
        <f t="shared" si="14"/>
        <v>0</v>
      </c>
    </row>
    <row r="633">
      <c r="O633" s="8"/>
      <c r="P633">
        <f t="shared" ref="P633:R633" si="887">B633+P634</f>
        <v>0</v>
      </c>
      <c r="Q633">
        <f t="shared" si="887"/>
        <v>0</v>
      </c>
      <c r="R633">
        <f t="shared" si="887"/>
        <v>0</v>
      </c>
      <c r="S633">
        <f t="shared" si="265"/>
        <v>0</v>
      </c>
      <c r="U633" s="8"/>
      <c r="V633">
        <f t="shared" si="9"/>
        <v>0</v>
      </c>
      <c r="W633">
        <f t="shared" si="10"/>
        <v>0</v>
      </c>
      <c r="X633">
        <f t="shared" si="11"/>
        <v>0</v>
      </c>
      <c r="Z633" s="8"/>
      <c r="AA633">
        <f t="shared" si="12"/>
        <v>0</v>
      </c>
      <c r="AB633">
        <f t="shared" si="13"/>
        <v>0</v>
      </c>
      <c r="AC633">
        <f t="shared" si="14"/>
        <v>0</v>
      </c>
    </row>
    <row r="634">
      <c r="O634" s="8"/>
      <c r="P634">
        <f t="shared" ref="P634:R634" si="888">B634+P635</f>
        <v>0</v>
      </c>
      <c r="Q634">
        <f t="shared" si="888"/>
        <v>0</v>
      </c>
      <c r="R634">
        <f t="shared" si="888"/>
        <v>0</v>
      </c>
      <c r="S634">
        <f t="shared" si="265"/>
        <v>0</v>
      </c>
      <c r="U634" s="8"/>
      <c r="V634">
        <f t="shared" si="9"/>
        <v>0</v>
      </c>
      <c r="W634">
        <f t="shared" si="10"/>
        <v>0</v>
      </c>
      <c r="X634">
        <f t="shared" si="11"/>
        <v>0</v>
      </c>
      <c r="Z634" s="8"/>
      <c r="AA634">
        <f t="shared" si="12"/>
        <v>0</v>
      </c>
      <c r="AB634">
        <f t="shared" si="13"/>
        <v>0</v>
      </c>
      <c r="AC634">
        <f t="shared" si="14"/>
        <v>0</v>
      </c>
    </row>
    <row r="635">
      <c r="O635" s="8"/>
      <c r="P635">
        <f t="shared" ref="P635:R635" si="889">B635+P636</f>
        <v>0</v>
      </c>
      <c r="Q635">
        <f t="shared" si="889"/>
        <v>0</v>
      </c>
      <c r="R635">
        <f t="shared" si="889"/>
        <v>0</v>
      </c>
      <c r="S635">
        <f t="shared" si="265"/>
        <v>0</v>
      </c>
      <c r="U635" s="8"/>
      <c r="V635">
        <f t="shared" si="9"/>
        <v>0</v>
      </c>
      <c r="W635">
        <f t="shared" si="10"/>
        <v>0</v>
      </c>
      <c r="X635">
        <f t="shared" si="11"/>
        <v>0</v>
      </c>
      <c r="Z635" s="8"/>
      <c r="AA635">
        <f t="shared" si="12"/>
        <v>0</v>
      </c>
      <c r="AB635">
        <f t="shared" si="13"/>
        <v>0</v>
      </c>
      <c r="AC635">
        <f t="shared" si="14"/>
        <v>0</v>
      </c>
    </row>
    <row r="636">
      <c r="O636" s="8"/>
      <c r="P636">
        <f t="shared" ref="P636:R636" si="890">B636+P637</f>
        <v>0</v>
      </c>
      <c r="Q636">
        <f t="shared" si="890"/>
        <v>0</v>
      </c>
      <c r="R636">
        <f t="shared" si="890"/>
        <v>0</v>
      </c>
      <c r="S636">
        <f t="shared" si="265"/>
        <v>0</v>
      </c>
      <c r="U636" s="8"/>
      <c r="V636">
        <f t="shared" si="9"/>
        <v>0</v>
      </c>
      <c r="W636">
        <f t="shared" si="10"/>
        <v>0</v>
      </c>
      <c r="X636">
        <f t="shared" si="11"/>
        <v>0</v>
      </c>
      <c r="Z636" s="8"/>
      <c r="AA636">
        <f t="shared" si="12"/>
        <v>0</v>
      </c>
      <c r="AB636">
        <f t="shared" si="13"/>
        <v>0</v>
      </c>
      <c r="AC636">
        <f t="shared" si="14"/>
        <v>0</v>
      </c>
    </row>
    <row r="637">
      <c r="O637" s="8"/>
      <c r="P637">
        <f t="shared" ref="P637:R637" si="891">B637+P638</f>
        <v>0</v>
      </c>
      <c r="Q637">
        <f t="shared" si="891"/>
        <v>0</v>
      </c>
      <c r="R637">
        <f t="shared" si="891"/>
        <v>0</v>
      </c>
      <c r="S637">
        <f t="shared" si="265"/>
        <v>0</v>
      </c>
      <c r="U637" s="8"/>
      <c r="V637">
        <f t="shared" si="9"/>
        <v>0</v>
      </c>
      <c r="W637">
        <f t="shared" si="10"/>
        <v>0</v>
      </c>
      <c r="X637">
        <f t="shared" si="11"/>
        <v>0</v>
      </c>
      <c r="Z637" s="8"/>
      <c r="AA637">
        <f t="shared" si="12"/>
        <v>0</v>
      </c>
      <c r="AB637">
        <f t="shared" si="13"/>
        <v>0</v>
      </c>
      <c r="AC637">
        <f t="shared" si="14"/>
        <v>0</v>
      </c>
    </row>
    <row r="638">
      <c r="O638" s="8"/>
      <c r="P638">
        <f t="shared" ref="P638:R638" si="892">B638+P639</f>
        <v>0</v>
      </c>
      <c r="Q638">
        <f t="shared" si="892"/>
        <v>0</v>
      </c>
      <c r="R638">
        <f t="shared" si="892"/>
        <v>0</v>
      </c>
      <c r="S638">
        <f t="shared" si="265"/>
        <v>0</v>
      </c>
      <c r="U638" s="8"/>
      <c r="V638">
        <f t="shared" si="9"/>
        <v>0</v>
      </c>
      <c r="W638">
        <f t="shared" si="10"/>
        <v>0</v>
      </c>
      <c r="X638">
        <f t="shared" si="11"/>
        <v>0</v>
      </c>
      <c r="Z638" s="8"/>
      <c r="AA638">
        <f t="shared" si="12"/>
        <v>0</v>
      </c>
      <c r="AB638">
        <f t="shared" si="13"/>
        <v>0</v>
      </c>
      <c r="AC638">
        <f t="shared" si="14"/>
        <v>0</v>
      </c>
    </row>
    <row r="639">
      <c r="O639" s="8"/>
      <c r="P639">
        <f t="shared" ref="P639:R639" si="893">B639+P640</f>
        <v>0</v>
      </c>
      <c r="Q639">
        <f t="shared" si="893"/>
        <v>0</v>
      </c>
      <c r="R639">
        <f t="shared" si="893"/>
        <v>0</v>
      </c>
      <c r="S639">
        <f t="shared" si="265"/>
        <v>0</v>
      </c>
      <c r="U639" s="8"/>
      <c r="V639">
        <f t="shared" si="9"/>
        <v>0</v>
      </c>
      <c r="W639">
        <f t="shared" si="10"/>
        <v>0</v>
      </c>
      <c r="X639">
        <f t="shared" si="11"/>
        <v>0</v>
      </c>
      <c r="Z639" s="8"/>
      <c r="AA639">
        <f t="shared" si="12"/>
        <v>0</v>
      </c>
      <c r="AB639">
        <f t="shared" si="13"/>
        <v>0</v>
      </c>
      <c r="AC639">
        <f t="shared" si="14"/>
        <v>0</v>
      </c>
    </row>
    <row r="640">
      <c r="O640" s="8"/>
      <c r="P640">
        <f t="shared" ref="P640:R640" si="894">B640+P641</f>
        <v>0</v>
      </c>
      <c r="Q640">
        <f t="shared" si="894"/>
        <v>0</v>
      </c>
      <c r="R640">
        <f t="shared" si="894"/>
        <v>0</v>
      </c>
      <c r="S640">
        <f t="shared" si="265"/>
        <v>0</v>
      </c>
      <c r="U640" s="8"/>
      <c r="V640">
        <f t="shared" si="9"/>
        <v>0</v>
      </c>
      <c r="W640">
        <f t="shared" si="10"/>
        <v>0</v>
      </c>
      <c r="X640">
        <f t="shared" si="11"/>
        <v>0</v>
      </c>
      <c r="Z640" s="8"/>
      <c r="AA640">
        <f t="shared" si="12"/>
        <v>0</v>
      </c>
      <c r="AB640">
        <f t="shared" si="13"/>
        <v>0</v>
      </c>
      <c r="AC640">
        <f t="shared" si="14"/>
        <v>0</v>
      </c>
    </row>
    <row r="641">
      <c r="O641" s="8"/>
      <c r="P641">
        <f t="shared" ref="P641:R641" si="895">B641+P642</f>
        <v>0</v>
      </c>
      <c r="Q641">
        <f t="shared" si="895"/>
        <v>0</v>
      </c>
      <c r="R641">
        <f t="shared" si="895"/>
        <v>0</v>
      </c>
      <c r="S641">
        <f t="shared" si="265"/>
        <v>0</v>
      </c>
      <c r="U641" s="8"/>
      <c r="V641">
        <f t="shared" si="9"/>
        <v>0</v>
      </c>
      <c r="W641">
        <f t="shared" si="10"/>
        <v>0</v>
      </c>
      <c r="X641">
        <f t="shared" si="11"/>
        <v>0</v>
      </c>
      <c r="Z641" s="8"/>
      <c r="AA641">
        <f t="shared" si="12"/>
        <v>0</v>
      </c>
      <c r="AB641">
        <f t="shared" si="13"/>
        <v>0</v>
      </c>
      <c r="AC641">
        <f t="shared" si="14"/>
        <v>0</v>
      </c>
    </row>
    <row r="642">
      <c r="O642" s="8"/>
      <c r="P642">
        <f t="shared" ref="P642:R642" si="896">B642+P643</f>
        <v>0</v>
      </c>
      <c r="Q642">
        <f t="shared" si="896"/>
        <v>0</v>
      </c>
      <c r="R642">
        <f t="shared" si="896"/>
        <v>0</v>
      </c>
      <c r="S642">
        <f t="shared" si="265"/>
        <v>0</v>
      </c>
      <c r="U642" s="8"/>
      <c r="V642">
        <f t="shared" si="9"/>
        <v>0</v>
      </c>
      <c r="W642">
        <f t="shared" si="10"/>
        <v>0</v>
      </c>
      <c r="X642">
        <f t="shared" si="11"/>
        <v>0</v>
      </c>
      <c r="Z642" s="8"/>
      <c r="AA642">
        <f t="shared" si="12"/>
        <v>0</v>
      </c>
      <c r="AB642">
        <f t="shared" si="13"/>
        <v>0</v>
      </c>
      <c r="AC642">
        <f t="shared" si="14"/>
        <v>0</v>
      </c>
    </row>
    <row r="643">
      <c r="O643" s="8"/>
      <c r="P643">
        <f t="shared" ref="P643:R643" si="897">B643+P644</f>
        <v>0</v>
      </c>
      <c r="Q643">
        <f t="shared" si="897"/>
        <v>0</v>
      </c>
      <c r="R643">
        <f t="shared" si="897"/>
        <v>0</v>
      </c>
      <c r="S643">
        <f t="shared" si="265"/>
        <v>0</v>
      </c>
      <c r="U643" s="8"/>
      <c r="V643">
        <f t="shared" si="9"/>
        <v>0</v>
      </c>
      <c r="W643">
        <f t="shared" si="10"/>
        <v>0</v>
      </c>
      <c r="X643">
        <f t="shared" si="11"/>
        <v>0</v>
      </c>
      <c r="Z643" s="8"/>
      <c r="AA643">
        <f t="shared" si="12"/>
        <v>0</v>
      </c>
      <c r="AB643">
        <f t="shared" si="13"/>
        <v>0</v>
      </c>
      <c r="AC643">
        <f t="shared" si="14"/>
        <v>0</v>
      </c>
    </row>
    <row r="644">
      <c r="O644" s="8"/>
      <c r="P644">
        <f t="shared" ref="P644:R644" si="898">B644+P645</f>
        <v>0</v>
      </c>
      <c r="Q644">
        <f t="shared" si="898"/>
        <v>0</v>
      </c>
      <c r="R644">
        <f t="shared" si="898"/>
        <v>0</v>
      </c>
      <c r="S644">
        <f t="shared" si="265"/>
        <v>0</v>
      </c>
      <c r="U644" s="8"/>
      <c r="V644">
        <f t="shared" si="9"/>
        <v>0</v>
      </c>
      <c r="W644">
        <f t="shared" si="10"/>
        <v>0</v>
      </c>
      <c r="X644">
        <f t="shared" si="11"/>
        <v>0</v>
      </c>
      <c r="Z644" s="8"/>
      <c r="AA644">
        <f t="shared" si="12"/>
        <v>0</v>
      </c>
      <c r="AB644">
        <f t="shared" si="13"/>
        <v>0</v>
      </c>
      <c r="AC644">
        <f t="shared" si="14"/>
        <v>0</v>
      </c>
    </row>
    <row r="645">
      <c r="O645" s="8"/>
      <c r="P645">
        <f t="shared" ref="P645:R645" si="899">B645+P646</f>
        <v>0</v>
      </c>
      <c r="Q645">
        <f t="shared" si="899"/>
        <v>0</v>
      </c>
      <c r="R645">
        <f t="shared" si="899"/>
        <v>0</v>
      </c>
      <c r="S645">
        <f t="shared" si="265"/>
        <v>0</v>
      </c>
      <c r="U645" s="8"/>
      <c r="V645">
        <f t="shared" si="9"/>
        <v>0</v>
      </c>
      <c r="W645">
        <f t="shared" si="10"/>
        <v>0</v>
      </c>
      <c r="X645">
        <f t="shared" si="11"/>
        <v>0</v>
      </c>
      <c r="Z645" s="8"/>
      <c r="AA645">
        <f t="shared" si="12"/>
        <v>0</v>
      </c>
      <c r="AB645">
        <f t="shared" si="13"/>
        <v>0</v>
      </c>
      <c r="AC645">
        <f t="shared" si="14"/>
        <v>0</v>
      </c>
    </row>
    <row r="646">
      <c r="O646" s="8"/>
      <c r="P646">
        <f t="shared" ref="P646:R646" si="900">B646+P647</f>
        <v>0</v>
      </c>
      <c r="Q646">
        <f t="shared" si="900"/>
        <v>0</v>
      </c>
      <c r="R646">
        <f t="shared" si="900"/>
        <v>0</v>
      </c>
      <c r="S646">
        <f t="shared" si="265"/>
        <v>0</v>
      </c>
      <c r="U646" s="8"/>
      <c r="V646">
        <f t="shared" si="9"/>
        <v>0</v>
      </c>
      <c r="W646">
        <f t="shared" si="10"/>
        <v>0</v>
      </c>
      <c r="X646">
        <f t="shared" si="11"/>
        <v>0</v>
      </c>
      <c r="Z646" s="8"/>
      <c r="AA646">
        <f t="shared" si="12"/>
        <v>0</v>
      </c>
      <c r="AB646">
        <f t="shared" si="13"/>
        <v>0</v>
      </c>
      <c r="AC646">
        <f t="shared" si="14"/>
        <v>0</v>
      </c>
    </row>
    <row r="647">
      <c r="O647" s="8"/>
      <c r="P647">
        <f t="shared" ref="P647:R647" si="901">B647+P648</f>
        <v>0</v>
      </c>
      <c r="Q647">
        <f t="shared" si="901"/>
        <v>0</v>
      </c>
      <c r="R647">
        <f t="shared" si="901"/>
        <v>0</v>
      </c>
      <c r="S647">
        <f t="shared" si="265"/>
        <v>0</v>
      </c>
      <c r="U647" s="8"/>
      <c r="V647">
        <f t="shared" si="9"/>
        <v>0</v>
      </c>
      <c r="W647">
        <f t="shared" si="10"/>
        <v>0</v>
      </c>
      <c r="X647">
        <f t="shared" si="11"/>
        <v>0</v>
      </c>
      <c r="Z647" s="8"/>
      <c r="AA647">
        <f t="shared" si="12"/>
        <v>0</v>
      </c>
      <c r="AB647">
        <f t="shared" si="13"/>
        <v>0</v>
      </c>
      <c r="AC647">
        <f t="shared" si="14"/>
        <v>0</v>
      </c>
    </row>
    <row r="648">
      <c r="O648" s="8"/>
      <c r="P648">
        <f t="shared" ref="P648:R648" si="902">B648+P649</f>
        <v>0</v>
      </c>
      <c r="Q648">
        <f t="shared" si="902"/>
        <v>0</v>
      </c>
      <c r="R648">
        <f t="shared" si="902"/>
        <v>0</v>
      </c>
      <c r="S648">
        <f t="shared" si="265"/>
        <v>0</v>
      </c>
      <c r="U648" s="8"/>
      <c r="V648">
        <f t="shared" si="9"/>
        <v>0</v>
      </c>
      <c r="W648">
        <f t="shared" si="10"/>
        <v>0</v>
      </c>
      <c r="X648">
        <f t="shared" si="11"/>
        <v>0</v>
      </c>
      <c r="Z648" s="8"/>
      <c r="AA648">
        <f t="shared" si="12"/>
        <v>0</v>
      </c>
      <c r="AB648">
        <f t="shared" si="13"/>
        <v>0</v>
      </c>
      <c r="AC648">
        <f t="shared" si="14"/>
        <v>0</v>
      </c>
    </row>
    <row r="649">
      <c r="O649" s="8"/>
      <c r="P649">
        <f t="shared" ref="P649:R649" si="903">B649+P650</f>
        <v>0</v>
      </c>
      <c r="Q649">
        <f t="shared" si="903"/>
        <v>0</v>
      </c>
      <c r="R649">
        <f t="shared" si="903"/>
        <v>0</v>
      </c>
      <c r="S649">
        <f t="shared" si="265"/>
        <v>0</v>
      </c>
      <c r="U649" s="8"/>
      <c r="V649">
        <f t="shared" si="9"/>
        <v>0</v>
      </c>
      <c r="W649">
        <f t="shared" si="10"/>
        <v>0</v>
      </c>
      <c r="X649">
        <f t="shared" si="11"/>
        <v>0</v>
      </c>
      <c r="Z649" s="8"/>
      <c r="AA649">
        <f t="shared" si="12"/>
        <v>0</v>
      </c>
      <c r="AB649">
        <f t="shared" si="13"/>
        <v>0</v>
      </c>
      <c r="AC649">
        <f t="shared" si="14"/>
        <v>0</v>
      </c>
    </row>
    <row r="650">
      <c r="O650" s="8"/>
      <c r="P650">
        <f t="shared" ref="P650:R650" si="904">B650+P651</f>
        <v>0</v>
      </c>
      <c r="Q650">
        <f t="shared" si="904"/>
        <v>0</v>
      </c>
      <c r="R650">
        <f t="shared" si="904"/>
        <v>0</v>
      </c>
      <c r="S650">
        <f t="shared" si="265"/>
        <v>0</v>
      </c>
      <c r="U650" s="8"/>
      <c r="V650">
        <f t="shared" si="9"/>
        <v>0</v>
      </c>
      <c r="W650">
        <f t="shared" si="10"/>
        <v>0</v>
      </c>
      <c r="X650">
        <f t="shared" si="11"/>
        <v>0</v>
      </c>
      <c r="Z650" s="8"/>
      <c r="AA650">
        <f t="shared" si="12"/>
        <v>0</v>
      </c>
      <c r="AB650">
        <f t="shared" si="13"/>
        <v>0</v>
      </c>
      <c r="AC650">
        <f t="shared" si="14"/>
        <v>0</v>
      </c>
    </row>
    <row r="651">
      <c r="O651" s="8"/>
      <c r="P651">
        <f t="shared" ref="P651:R651" si="905">B651+P652</f>
        <v>0</v>
      </c>
      <c r="Q651">
        <f t="shared" si="905"/>
        <v>0</v>
      </c>
      <c r="R651">
        <f t="shared" si="905"/>
        <v>0</v>
      </c>
      <c r="S651">
        <f t="shared" si="265"/>
        <v>0</v>
      </c>
      <c r="U651" s="8"/>
      <c r="V651">
        <f t="shared" si="9"/>
        <v>0</v>
      </c>
      <c r="W651">
        <f t="shared" si="10"/>
        <v>0</v>
      </c>
      <c r="X651">
        <f t="shared" si="11"/>
        <v>0</v>
      </c>
      <c r="Z651" s="8"/>
      <c r="AA651">
        <f t="shared" si="12"/>
        <v>0</v>
      </c>
      <c r="AB651">
        <f t="shared" si="13"/>
        <v>0</v>
      </c>
      <c r="AC651">
        <f t="shared" si="14"/>
        <v>0</v>
      </c>
    </row>
    <row r="652">
      <c r="O652" s="8"/>
      <c r="P652">
        <f t="shared" ref="P652:R652" si="906">B652+P653</f>
        <v>0</v>
      </c>
      <c r="Q652">
        <f t="shared" si="906"/>
        <v>0</v>
      </c>
      <c r="R652">
        <f t="shared" si="906"/>
        <v>0</v>
      </c>
      <c r="S652">
        <f t="shared" si="265"/>
        <v>0</v>
      </c>
      <c r="U652" s="8"/>
      <c r="V652">
        <f t="shared" si="9"/>
        <v>0</v>
      </c>
      <c r="W652">
        <f t="shared" si="10"/>
        <v>0</v>
      </c>
      <c r="X652">
        <f t="shared" si="11"/>
        <v>0</v>
      </c>
      <c r="Z652" s="8"/>
      <c r="AA652">
        <f t="shared" si="12"/>
        <v>0</v>
      </c>
      <c r="AB652">
        <f t="shared" si="13"/>
        <v>0</v>
      </c>
      <c r="AC652">
        <f t="shared" si="14"/>
        <v>0</v>
      </c>
    </row>
    <row r="653">
      <c r="O653" s="8"/>
      <c r="P653">
        <f t="shared" ref="P653:R653" si="907">B653+P654</f>
        <v>0</v>
      </c>
      <c r="Q653">
        <f t="shared" si="907"/>
        <v>0</v>
      </c>
      <c r="R653">
        <f t="shared" si="907"/>
        <v>0</v>
      </c>
      <c r="S653">
        <f t="shared" si="265"/>
        <v>0</v>
      </c>
      <c r="U653" s="8"/>
      <c r="V653">
        <f t="shared" si="9"/>
        <v>0</v>
      </c>
      <c r="W653">
        <f t="shared" si="10"/>
        <v>0</v>
      </c>
      <c r="X653">
        <f t="shared" si="11"/>
        <v>0</v>
      </c>
      <c r="Z653" s="8"/>
      <c r="AA653">
        <f t="shared" si="12"/>
        <v>0</v>
      </c>
      <c r="AB653">
        <f t="shared" si="13"/>
        <v>0</v>
      </c>
      <c r="AC653">
        <f t="shared" si="14"/>
        <v>0</v>
      </c>
    </row>
    <row r="654">
      <c r="O654" s="8"/>
      <c r="P654">
        <f t="shared" ref="P654:R654" si="908">B654+P655</f>
        <v>0</v>
      </c>
      <c r="Q654">
        <f t="shared" si="908"/>
        <v>0</v>
      </c>
      <c r="R654">
        <f t="shared" si="908"/>
        <v>0</v>
      </c>
      <c r="S654">
        <f t="shared" si="265"/>
        <v>0</v>
      </c>
      <c r="U654" s="8"/>
      <c r="V654">
        <f t="shared" si="9"/>
        <v>0</v>
      </c>
      <c r="W654">
        <f t="shared" si="10"/>
        <v>0</v>
      </c>
      <c r="X654">
        <f t="shared" si="11"/>
        <v>0</v>
      </c>
      <c r="Z654" s="8"/>
      <c r="AA654">
        <f t="shared" si="12"/>
        <v>0</v>
      </c>
      <c r="AB654">
        <f t="shared" si="13"/>
        <v>0</v>
      </c>
      <c r="AC654">
        <f t="shared" si="14"/>
        <v>0</v>
      </c>
    </row>
    <row r="655">
      <c r="O655" s="8"/>
      <c r="P655">
        <f t="shared" ref="P655:R655" si="909">B655+P656</f>
        <v>0</v>
      </c>
      <c r="Q655">
        <f t="shared" si="909"/>
        <v>0</v>
      </c>
      <c r="R655">
        <f t="shared" si="909"/>
        <v>0</v>
      </c>
      <c r="S655">
        <f t="shared" si="265"/>
        <v>0</v>
      </c>
      <c r="U655" s="8"/>
      <c r="V655">
        <f t="shared" si="9"/>
        <v>0</v>
      </c>
      <c r="W655">
        <f t="shared" si="10"/>
        <v>0</v>
      </c>
      <c r="X655">
        <f t="shared" si="11"/>
        <v>0</v>
      </c>
      <c r="Z655" s="8"/>
      <c r="AA655">
        <f t="shared" si="12"/>
        <v>0</v>
      </c>
      <c r="AB655">
        <f t="shared" si="13"/>
        <v>0</v>
      </c>
      <c r="AC655">
        <f t="shared" si="14"/>
        <v>0</v>
      </c>
    </row>
    <row r="656">
      <c r="O656" s="8"/>
      <c r="P656">
        <f t="shared" ref="P656:R656" si="910">B656+P657</f>
        <v>0</v>
      </c>
      <c r="Q656">
        <f t="shared" si="910"/>
        <v>0</v>
      </c>
      <c r="R656">
        <f t="shared" si="910"/>
        <v>0</v>
      </c>
      <c r="S656">
        <f t="shared" si="265"/>
        <v>0</v>
      </c>
      <c r="U656" s="8"/>
      <c r="V656">
        <f t="shared" si="9"/>
        <v>0</v>
      </c>
      <c r="W656">
        <f t="shared" si="10"/>
        <v>0</v>
      </c>
      <c r="X656">
        <f t="shared" si="11"/>
        <v>0</v>
      </c>
      <c r="Z656" s="8"/>
      <c r="AA656">
        <f t="shared" si="12"/>
        <v>0</v>
      </c>
      <c r="AB656">
        <f t="shared" si="13"/>
        <v>0</v>
      </c>
      <c r="AC656">
        <f t="shared" si="14"/>
        <v>0</v>
      </c>
    </row>
    <row r="657">
      <c r="O657" s="8"/>
      <c r="P657">
        <f t="shared" ref="P657:R657" si="911">B657+P658</f>
        <v>0</v>
      </c>
      <c r="Q657">
        <f t="shared" si="911"/>
        <v>0</v>
      </c>
      <c r="R657">
        <f t="shared" si="911"/>
        <v>0</v>
      </c>
      <c r="S657">
        <f t="shared" si="265"/>
        <v>0</v>
      </c>
      <c r="U657" s="8"/>
      <c r="V657">
        <f t="shared" si="9"/>
        <v>0</v>
      </c>
      <c r="W657">
        <f t="shared" si="10"/>
        <v>0</v>
      </c>
      <c r="X657">
        <f t="shared" si="11"/>
        <v>0</v>
      </c>
      <c r="Z657" s="8"/>
      <c r="AA657">
        <f t="shared" si="12"/>
        <v>0</v>
      </c>
      <c r="AB657">
        <f t="shared" si="13"/>
        <v>0</v>
      </c>
      <c r="AC657">
        <f t="shared" si="14"/>
        <v>0</v>
      </c>
    </row>
    <row r="658">
      <c r="O658" s="8"/>
      <c r="P658">
        <f t="shared" ref="P658:R658" si="912">B658+P659</f>
        <v>0</v>
      </c>
      <c r="Q658">
        <f t="shared" si="912"/>
        <v>0</v>
      </c>
      <c r="R658">
        <f t="shared" si="912"/>
        <v>0</v>
      </c>
      <c r="S658">
        <f t="shared" si="265"/>
        <v>0</v>
      </c>
      <c r="U658" s="8"/>
      <c r="V658">
        <f t="shared" si="9"/>
        <v>0</v>
      </c>
      <c r="W658">
        <f t="shared" si="10"/>
        <v>0</v>
      </c>
      <c r="X658">
        <f t="shared" si="11"/>
        <v>0</v>
      </c>
      <c r="Z658" s="8"/>
      <c r="AA658">
        <f t="shared" si="12"/>
        <v>0</v>
      </c>
      <c r="AB658">
        <f t="shared" si="13"/>
        <v>0</v>
      </c>
      <c r="AC658">
        <f t="shared" si="14"/>
        <v>0</v>
      </c>
    </row>
    <row r="659">
      <c r="O659" s="8"/>
      <c r="P659">
        <f t="shared" ref="P659:R659" si="913">B659+P660</f>
        <v>0</v>
      </c>
      <c r="Q659">
        <f t="shared" si="913"/>
        <v>0</v>
      </c>
      <c r="R659">
        <f t="shared" si="913"/>
        <v>0</v>
      </c>
      <c r="S659">
        <f t="shared" si="265"/>
        <v>0</v>
      </c>
      <c r="U659" s="8"/>
      <c r="V659">
        <f t="shared" si="9"/>
        <v>0</v>
      </c>
      <c r="W659">
        <f t="shared" si="10"/>
        <v>0</v>
      </c>
      <c r="X659">
        <f t="shared" si="11"/>
        <v>0</v>
      </c>
      <c r="Z659" s="8"/>
      <c r="AA659">
        <f t="shared" si="12"/>
        <v>0</v>
      </c>
      <c r="AB659">
        <f t="shared" si="13"/>
        <v>0</v>
      </c>
      <c r="AC659">
        <f t="shared" si="14"/>
        <v>0</v>
      </c>
    </row>
    <row r="660">
      <c r="O660" s="8"/>
      <c r="P660">
        <f t="shared" ref="P660:R660" si="914">B660+P661</f>
        <v>0</v>
      </c>
      <c r="Q660">
        <f t="shared" si="914"/>
        <v>0</v>
      </c>
      <c r="R660">
        <f t="shared" si="914"/>
        <v>0</v>
      </c>
      <c r="S660">
        <f t="shared" si="265"/>
        <v>0</v>
      </c>
      <c r="U660" s="8"/>
      <c r="V660">
        <f t="shared" si="9"/>
        <v>0</v>
      </c>
      <c r="W660">
        <f t="shared" si="10"/>
        <v>0</v>
      </c>
      <c r="X660">
        <f t="shared" si="11"/>
        <v>0</v>
      </c>
      <c r="Z660" s="8"/>
      <c r="AA660">
        <f t="shared" si="12"/>
        <v>0</v>
      </c>
      <c r="AB660">
        <f t="shared" si="13"/>
        <v>0</v>
      </c>
      <c r="AC660">
        <f t="shared" si="14"/>
        <v>0</v>
      </c>
    </row>
    <row r="661">
      <c r="O661" s="8"/>
      <c r="P661">
        <f t="shared" ref="P661:R661" si="915">B661+P662</f>
        <v>0</v>
      </c>
      <c r="Q661">
        <f t="shared" si="915"/>
        <v>0</v>
      </c>
      <c r="R661">
        <f t="shared" si="915"/>
        <v>0</v>
      </c>
      <c r="S661">
        <f t="shared" si="265"/>
        <v>0</v>
      </c>
      <c r="U661" s="8"/>
      <c r="V661">
        <f t="shared" si="9"/>
        <v>0</v>
      </c>
      <c r="W661">
        <f t="shared" si="10"/>
        <v>0</v>
      </c>
      <c r="X661">
        <f t="shared" si="11"/>
        <v>0</v>
      </c>
      <c r="Z661" s="8"/>
      <c r="AA661">
        <f t="shared" si="12"/>
        <v>0</v>
      </c>
      <c r="AB661">
        <f t="shared" si="13"/>
        <v>0</v>
      </c>
      <c r="AC661">
        <f t="shared" si="14"/>
        <v>0</v>
      </c>
    </row>
    <row r="662">
      <c r="O662" s="8"/>
      <c r="P662">
        <f t="shared" ref="P662:R662" si="916">B662+P663</f>
        <v>0</v>
      </c>
      <c r="Q662">
        <f t="shared" si="916"/>
        <v>0</v>
      </c>
      <c r="R662">
        <f t="shared" si="916"/>
        <v>0</v>
      </c>
      <c r="S662">
        <f t="shared" si="265"/>
        <v>0</v>
      </c>
      <c r="U662" s="8"/>
      <c r="V662">
        <f t="shared" si="9"/>
        <v>0</v>
      </c>
      <c r="W662">
        <f t="shared" si="10"/>
        <v>0</v>
      </c>
      <c r="X662">
        <f t="shared" si="11"/>
        <v>0</v>
      </c>
      <c r="Z662" s="8"/>
      <c r="AA662">
        <f t="shared" si="12"/>
        <v>0</v>
      </c>
      <c r="AB662">
        <f t="shared" si="13"/>
        <v>0</v>
      </c>
      <c r="AC662">
        <f t="shared" si="14"/>
        <v>0</v>
      </c>
    </row>
    <row r="663">
      <c r="O663" s="8"/>
      <c r="P663">
        <f t="shared" ref="P663:R663" si="917">B663+P664</f>
        <v>0</v>
      </c>
      <c r="Q663">
        <f t="shared" si="917"/>
        <v>0</v>
      </c>
      <c r="R663">
        <f t="shared" si="917"/>
        <v>0</v>
      </c>
      <c r="S663">
        <f t="shared" si="265"/>
        <v>0</v>
      </c>
      <c r="U663" s="8"/>
      <c r="V663">
        <f t="shared" si="9"/>
        <v>0</v>
      </c>
      <c r="W663">
        <f t="shared" si="10"/>
        <v>0</v>
      </c>
      <c r="X663">
        <f t="shared" si="11"/>
        <v>0</v>
      </c>
      <c r="Z663" s="8"/>
      <c r="AA663">
        <f t="shared" si="12"/>
        <v>0</v>
      </c>
      <c r="AB663">
        <f t="shared" si="13"/>
        <v>0</v>
      </c>
      <c r="AC663">
        <f t="shared" si="14"/>
        <v>0</v>
      </c>
    </row>
    <row r="664">
      <c r="O664" s="8"/>
      <c r="P664">
        <f t="shared" ref="P664:R664" si="918">B664+P665</f>
        <v>0</v>
      </c>
      <c r="Q664">
        <f t="shared" si="918"/>
        <v>0</v>
      </c>
      <c r="R664">
        <f t="shared" si="918"/>
        <v>0</v>
      </c>
      <c r="S664">
        <f t="shared" si="265"/>
        <v>0</v>
      </c>
      <c r="U664" s="8"/>
      <c r="V664">
        <f t="shared" si="9"/>
        <v>0</v>
      </c>
      <c r="W664">
        <f t="shared" si="10"/>
        <v>0</v>
      </c>
      <c r="X664">
        <f t="shared" si="11"/>
        <v>0</v>
      </c>
      <c r="Z664" s="8"/>
      <c r="AA664">
        <f t="shared" si="12"/>
        <v>0</v>
      </c>
      <c r="AB664">
        <f t="shared" si="13"/>
        <v>0</v>
      </c>
      <c r="AC664">
        <f t="shared" si="14"/>
        <v>0</v>
      </c>
    </row>
    <row r="665">
      <c r="O665" s="8"/>
      <c r="P665">
        <f t="shared" ref="P665:R665" si="919">B665+P666</f>
        <v>0</v>
      </c>
      <c r="Q665">
        <f t="shared" si="919"/>
        <v>0</v>
      </c>
      <c r="R665">
        <f t="shared" si="919"/>
        <v>0</v>
      </c>
      <c r="S665">
        <f t="shared" si="265"/>
        <v>0</v>
      </c>
      <c r="U665" s="8"/>
      <c r="V665">
        <f t="shared" si="9"/>
        <v>0</v>
      </c>
      <c r="W665">
        <f t="shared" si="10"/>
        <v>0</v>
      </c>
      <c r="X665">
        <f t="shared" si="11"/>
        <v>0</v>
      </c>
      <c r="Z665" s="8"/>
      <c r="AA665">
        <f t="shared" si="12"/>
        <v>0</v>
      </c>
      <c r="AB665">
        <f t="shared" si="13"/>
        <v>0</v>
      </c>
      <c r="AC665">
        <f t="shared" si="14"/>
        <v>0</v>
      </c>
    </row>
    <row r="666">
      <c r="O666" s="8"/>
      <c r="P666">
        <f t="shared" ref="P666:R666" si="920">B666+P667</f>
        <v>0</v>
      </c>
      <c r="Q666">
        <f t="shared" si="920"/>
        <v>0</v>
      </c>
      <c r="R666">
        <f t="shared" si="920"/>
        <v>0</v>
      </c>
      <c r="S666">
        <f t="shared" si="265"/>
        <v>0</v>
      </c>
      <c r="U666" s="8"/>
      <c r="V666">
        <f t="shared" si="9"/>
        <v>0</v>
      </c>
      <c r="W666">
        <f t="shared" si="10"/>
        <v>0</v>
      </c>
      <c r="X666">
        <f t="shared" si="11"/>
        <v>0</v>
      </c>
      <c r="Z666" s="8"/>
      <c r="AA666">
        <f t="shared" si="12"/>
        <v>0</v>
      </c>
      <c r="AB666">
        <f t="shared" si="13"/>
        <v>0</v>
      </c>
      <c r="AC666">
        <f t="shared" si="14"/>
        <v>0</v>
      </c>
    </row>
    <row r="667">
      <c r="O667" s="8"/>
      <c r="P667">
        <f t="shared" ref="P667:R667" si="921">B667+P668</f>
        <v>0</v>
      </c>
      <c r="Q667">
        <f t="shared" si="921"/>
        <v>0</v>
      </c>
      <c r="R667">
        <f t="shared" si="921"/>
        <v>0</v>
      </c>
      <c r="S667">
        <f t="shared" si="265"/>
        <v>0</v>
      </c>
      <c r="U667" s="8"/>
      <c r="V667">
        <f t="shared" si="9"/>
        <v>0</v>
      </c>
      <c r="W667">
        <f t="shared" si="10"/>
        <v>0</v>
      </c>
      <c r="X667">
        <f t="shared" si="11"/>
        <v>0</v>
      </c>
      <c r="Z667" s="8"/>
      <c r="AA667">
        <f t="shared" si="12"/>
        <v>0</v>
      </c>
      <c r="AB667">
        <f t="shared" si="13"/>
        <v>0</v>
      </c>
      <c r="AC667">
        <f t="shared" si="14"/>
        <v>0</v>
      </c>
    </row>
    <row r="668">
      <c r="O668" s="8"/>
      <c r="P668">
        <f t="shared" ref="P668:R668" si="922">B668+P669</f>
        <v>0</v>
      </c>
      <c r="Q668">
        <f t="shared" si="922"/>
        <v>0</v>
      </c>
      <c r="R668">
        <f t="shared" si="922"/>
        <v>0</v>
      </c>
      <c r="S668">
        <f t="shared" si="265"/>
        <v>0</v>
      </c>
      <c r="U668" s="8"/>
      <c r="V668">
        <f t="shared" si="9"/>
        <v>0</v>
      </c>
      <c r="W668">
        <f t="shared" si="10"/>
        <v>0</v>
      </c>
      <c r="X668">
        <f t="shared" si="11"/>
        <v>0</v>
      </c>
      <c r="Z668" s="8"/>
      <c r="AA668">
        <f t="shared" si="12"/>
        <v>0</v>
      </c>
      <c r="AB668">
        <f t="shared" si="13"/>
        <v>0</v>
      </c>
      <c r="AC668">
        <f t="shared" si="14"/>
        <v>0</v>
      </c>
    </row>
    <row r="669">
      <c r="O669" s="8"/>
      <c r="P669">
        <f t="shared" ref="P669:R669" si="923">B669+P670</f>
        <v>0</v>
      </c>
      <c r="Q669">
        <f t="shared" si="923"/>
        <v>0</v>
      </c>
      <c r="R669">
        <f t="shared" si="923"/>
        <v>0</v>
      </c>
      <c r="S669">
        <f t="shared" si="265"/>
        <v>0</v>
      </c>
      <c r="U669" s="8"/>
      <c r="V669">
        <f t="shared" si="9"/>
        <v>0</v>
      </c>
      <c r="W669">
        <f t="shared" si="10"/>
        <v>0</v>
      </c>
      <c r="X669">
        <f t="shared" si="11"/>
        <v>0</v>
      </c>
      <c r="Z669" s="8"/>
      <c r="AA669">
        <f t="shared" si="12"/>
        <v>0</v>
      </c>
      <c r="AB669">
        <f t="shared" si="13"/>
        <v>0</v>
      </c>
      <c r="AC669">
        <f t="shared" si="14"/>
        <v>0</v>
      </c>
    </row>
    <row r="670">
      <c r="O670" s="8"/>
      <c r="P670">
        <f t="shared" ref="P670:R670" si="924">B670+P671</f>
        <v>0</v>
      </c>
      <c r="Q670">
        <f t="shared" si="924"/>
        <v>0</v>
      </c>
      <c r="R670">
        <f t="shared" si="924"/>
        <v>0</v>
      </c>
      <c r="S670">
        <f t="shared" si="265"/>
        <v>0</v>
      </c>
      <c r="U670" s="8"/>
      <c r="V670">
        <f t="shared" si="9"/>
        <v>0</v>
      </c>
      <c r="W670">
        <f t="shared" si="10"/>
        <v>0</v>
      </c>
      <c r="X670">
        <f t="shared" si="11"/>
        <v>0</v>
      </c>
      <c r="Z670" s="8"/>
      <c r="AA670">
        <f t="shared" si="12"/>
        <v>0</v>
      </c>
      <c r="AB670">
        <f t="shared" si="13"/>
        <v>0</v>
      </c>
      <c r="AC670">
        <f t="shared" si="14"/>
        <v>0</v>
      </c>
    </row>
    <row r="671">
      <c r="O671" s="8"/>
      <c r="P671">
        <f t="shared" ref="P671:R671" si="925">B671+P672</f>
        <v>0</v>
      </c>
      <c r="Q671">
        <f t="shared" si="925"/>
        <v>0</v>
      </c>
      <c r="R671">
        <f t="shared" si="925"/>
        <v>0</v>
      </c>
      <c r="S671">
        <f t="shared" si="265"/>
        <v>0</v>
      </c>
      <c r="U671" s="8"/>
      <c r="V671">
        <f t="shared" si="9"/>
        <v>0</v>
      </c>
      <c r="W671">
        <f t="shared" si="10"/>
        <v>0</v>
      </c>
      <c r="X671">
        <f t="shared" si="11"/>
        <v>0</v>
      </c>
      <c r="Z671" s="8"/>
      <c r="AA671">
        <f t="shared" si="12"/>
        <v>0</v>
      </c>
      <c r="AB671">
        <f t="shared" si="13"/>
        <v>0</v>
      </c>
      <c r="AC671">
        <f t="shared" si="14"/>
        <v>0</v>
      </c>
    </row>
    <row r="672">
      <c r="O672" s="8"/>
      <c r="P672">
        <f t="shared" ref="P672:R672" si="926">B672+P673</f>
        <v>0</v>
      </c>
      <c r="Q672">
        <f t="shared" si="926"/>
        <v>0</v>
      </c>
      <c r="R672">
        <f t="shared" si="926"/>
        <v>0</v>
      </c>
      <c r="S672">
        <f t="shared" si="265"/>
        <v>0</v>
      </c>
      <c r="U672" s="8"/>
      <c r="V672">
        <f t="shared" si="9"/>
        <v>0</v>
      </c>
      <c r="W672">
        <f t="shared" si="10"/>
        <v>0</v>
      </c>
      <c r="X672">
        <f t="shared" si="11"/>
        <v>0</v>
      </c>
      <c r="Z672" s="8"/>
      <c r="AA672">
        <f t="shared" si="12"/>
        <v>0</v>
      </c>
      <c r="AB672">
        <f t="shared" si="13"/>
        <v>0</v>
      </c>
      <c r="AC672">
        <f t="shared" si="14"/>
        <v>0</v>
      </c>
    </row>
    <row r="673">
      <c r="O673" s="8"/>
      <c r="P673">
        <f t="shared" ref="P673:R673" si="927">B673+P674</f>
        <v>0</v>
      </c>
      <c r="Q673">
        <f t="shared" si="927"/>
        <v>0</v>
      </c>
      <c r="R673">
        <f t="shared" si="927"/>
        <v>0</v>
      </c>
      <c r="S673">
        <f t="shared" si="265"/>
        <v>0</v>
      </c>
      <c r="U673" s="8"/>
      <c r="V673">
        <f t="shared" si="9"/>
        <v>0</v>
      </c>
      <c r="W673">
        <f t="shared" si="10"/>
        <v>0</v>
      </c>
      <c r="X673">
        <f t="shared" si="11"/>
        <v>0</v>
      </c>
      <c r="Z673" s="8"/>
      <c r="AA673">
        <f t="shared" si="12"/>
        <v>0</v>
      </c>
      <c r="AB673">
        <f t="shared" si="13"/>
        <v>0</v>
      </c>
      <c r="AC673">
        <f t="shared" si="14"/>
        <v>0</v>
      </c>
    </row>
    <row r="674">
      <c r="O674" s="8"/>
      <c r="P674">
        <f t="shared" ref="P674:R674" si="928">B674+P675</f>
        <v>0</v>
      </c>
      <c r="Q674">
        <f t="shared" si="928"/>
        <v>0</v>
      </c>
      <c r="R674">
        <f t="shared" si="928"/>
        <v>0</v>
      </c>
      <c r="S674">
        <f t="shared" si="265"/>
        <v>0</v>
      </c>
      <c r="U674" s="8"/>
      <c r="V674">
        <f t="shared" si="9"/>
        <v>0</v>
      </c>
      <c r="W674">
        <f t="shared" si="10"/>
        <v>0</v>
      </c>
      <c r="X674">
        <f t="shared" si="11"/>
        <v>0</v>
      </c>
      <c r="Z674" s="8"/>
      <c r="AA674">
        <f t="shared" si="12"/>
        <v>0</v>
      </c>
      <c r="AB674">
        <f t="shared" si="13"/>
        <v>0</v>
      </c>
      <c r="AC674">
        <f t="shared" si="14"/>
        <v>0</v>
      </c>
    </row>
    <row r="675">
      <c r="O675" s="8"/>
      <c r="P675">
        <f t="shared" ref="P675:R675" si="929">B675+P676</f>
        <v>0</v>
      </c>
      <c r="Q675">
        <f t="shared" si="929"/>
        <v>0</v>
      </c>
      <c r="R675">
        <f t="shared" si="929"/>
        <v>0</v>
      </c>
      <c r="S675">
        <f t="shared" si="265"/>
        <v>0</v>
      </c>
      <c r="U675" s="8"/>
      <c r="V675">
        <f t="shared" si="9"/>
        <v>0</v>
      </c>
      <c r="W675">
        <f t="shared" si="10"/>
        <v>0</v>
      </c>
      <c r="X675">
        <f t="shared" si="11"/>
        <v>0</v>
      </c>
      <c r="Z675" s="8"/>
      <c r="AA675">
        <f t="shared" si="12"/>
        <v>0</v>
      </c>
      <c r="AB675">
        <f t="shared" si="13"/>
        <v>0</v>
      </c>
      <c r="AC675">
        <f t="shared" si="14"/>
        <v>0</v>
      </c>
    </row>
    <row r="676">
      <c r="O676" s="8"/>
      <c r="P676">
        <f t="shared" ref="P676:R676" si="930">B676+P677</f>
        <v>0</v>
      </c>
      <c r="Q676">
        <f t="shared" si="930"/>
        <v>0</v>
      </c>
      <c r="R676">
        <f t="shared" si="930"/>
        <v>0</v>
      </c>
      <c r="S676">
        <f t="shared" si="265"/>
        <v>0</v>
      </c>
      <c r="U676" s="8"/>
      <c r="V676">
        <f t="shared" si="9"/>
        <v>0</v>
      </c>
      <c r="W676">
        <f t="shared" si="10"/>
        <v>0</v>
      </c>
      <c r="X676">
        <f t="shared" si="11"/>
        <v>0</v>
      </c>
      <c r="Z676" s="8"/>
      <c r="AA676">
        <f t="shared" si="12"/>
        <v>0</v>
      </c>
      <c r="AB676">
        <f t="shared" si="13"/>
        <v>0</v>
      </c>
      <c r="AC676">
        <f t="shared" si="14"/>
        <v>0</v>
      </c>
    </row>
    <row r="677">
      <c r="O677" s="8"/>
      <c r="P677">
        <f t="shared" ref="P677:R677" si="931">B677+P678</f>
        <v>0</v>
      </c>
      <c r="Q677">
        <f t="shared" si="931"/>
        <v>0</v>
      </c>
      <c r="R677">
        <f t="shared" si="931"/>
        <v>0</v>
      </c>
      <c r="S677">
        <f t="shared" si="265"/>
        <v>0</v>
      </c>
      <c r="U677" s="8"/>
      <c r="V677">
        <f t="shared" si="9"/>
        <v>0</v>
      </c>
      <c r="W677">
        <f t="shared" si="10"/>
        <v>0</v>
      </c>
      <c r="X677">
        <f t="shared" si="11"/>
        <v>0</v>
      </c>
      <c r="Z677" s="8"/>
      <c r="AA677">
        <f t="shared" si="12"/>
        <v>0</v>
      </c>
      <c r="AB677">
        <f t="shared" si="13"/>
        <v>0</v>
      </c>
      <c r="AC677">
        <f t="shared" si="14"/>
        <v>0</v>
      </c>
    </row>
    <row r="678">
      <c r="O678" s="8"/>
      <c r="P678">
        <f t="shared" ref="P678:R678" si="932">B678+P679</f>
        <v>0</v>
      </c>
      <c r="Q678">
        <f t="shared" si="932"/>
        <v>0</v>
      </c>
      <c r="R678">
        <f t="shared" si="932"/>
        <v>0</v>
      </c>
      <c r="S678">
        <f t="shared" si="265"/>
        <v>0</v>
      </c>
      <c r="U678" s="8"/>
      <c r="V678">
        <f t="shared" si="9"/>
        <v>0</v>
      </c>
      <c r="W678">
        <f t="shared" si="10"/>
        <v>0</v>
      </c>
      <c r="X678">
        <f t="shared" si="11"/>
        <v>0</v>
      </c>
      <c r="Z678" s="8"/>
      <c r="AA678">
        <f t="shared" si="12"/>
        <v>0</v>
      </c>
      <c r="AB678">
        <f t="shared" si="13"/>
        <v>0</v>
      </c>
      <c r="AC678">
        <f t="shared" si="14"/>
        <v>0</v>
      </c>
    </row>
    <row r="679">
      <c r="O679" s="8"/>
      <c r="P679">
        <f t="shared" ref="P679:R679" si="933">B679+P680</f>
        <v>0</v>
      </c>
      <c r="Q679">
        <f t="shared" si="933"/>
        <v>0</v>
      </c>
      <c r="R679">
        <f t="shared" si="933"/>
        <v>0</v>
      </c>
      <c r="S679">
        <f t="shared" si="265"/>
        <v>0</v>
      </c>
      <c r="U679" s="8"/>
      <c r="V679">
        <f t="shared" si="9"/>
        <v>0</v>
      </c>
      <c r="W679">
        <f t="shared" si="10"/>
        <v>0</v>
      </c>
      <c r="X679">
        <f t="shared" si="11"/>
        <v>0</v>
      </c>
      <c r="Z679" s="8"/>
      <c r="AA679">
        <f t="shared" si="12"/>
        <v>0</v>
      </c>
      <c r="AB679">
        <f t="shared" si="13"/>
        <v>0</v>
      </c>
      <c r="AC679">
        <f t="shared" si="14"/>
        <v>0</v>
      </c>
    </row>
    <row r="680">
      <c r="O680" s="8"/>
      <c r="P680">
        <f t="shared" ref="P680:R680" si="934">B680+P681</f>
        <v>0</v>
      </c>
      <c r="Q680">
        <f t="shared" si="934"/>
        <v>0</v>
      </c>
      <c r="R680">
        <f t="shared" si="934"/>
        <v>0</v>
      </c>
      <c r="S680">
        <f t="shared" si="265"/>
        <v>0</v>
      </c>
      <c r="U680" s="8"/>
      <c r="V680">
        <f t="shared" si="9"/>
        <v>0</v>
      </c>
      <c r="W680">
        <f t="shared" si="10"/>
        <v>0</v>
      </c>
      <c r="X680">
        <f t="shared" si="11"/>
        <v>0</v>
      </c>
      <c r="Z680" s="8"/>
      <c r="AA680">
        <f t="shared" si="12"/>
        <v>0</v>
      </c>
      <c r="AB680">
        <f t="shared" si="13"/>
        <v>0</v>
      </c>
      <c r="AC680">
        <f t="shared" si="14"/>
        <v>0</v>
      </c>
    </row>
    <row r="681">
      <c r="O681" s="8"/>
      <c r="P681">
        <f t="shared" ref="P681:R681" si="935">B681+P682</f>
        <v>0</v>
      </c>
      <c r="Q681">
        <f t="shared" si="935"/>
        <v>0</v>
      </c>
      <c r="R681">
        <f t="shared" si="935"/>
        <v>0</v>
      </c>
      <c r="S681">
        <f t="shared" si="265"/>
        <v>0</v>
      </c>
      <c r="U681" s="8"/>
      <c r="V681">
        <f t="shared" si="9"/>
        <v>0</v>
      </c>
      <c r="W681">
        <f t="shared" si="10"/>
        <v>0</v>
      </c>
      <c r="X681">
        <f t="shared" si="11"/>
        <v>0</v>
      </c>
      <c r="Z681" s="8"/>
      <c r="AA681">
        <f t="shared" si="12"/>
        <v>0</v>
      </c>
      <c r="AB681">
        <f t="shared" si="13"/>
        <v>0</v>
      </c>
      <c r="AC681">
        <f t="shared" si="14"/>
        <v>0</v>
      </c>
    </row>
    <row r="682">
      <c r="O682" s="8"/>
      <c r="P682">
        <f t="shared" ref="P682:R682" si="936">B682+P683</f>
        <v>0</v>
      </c>
      <c r="Q682">
        <f t="shared" si="936"/>
        <v>0</v>
      </c>
      <c r="R682">
        <f t="shared" si="936"/>
        <v>0</v>
      </c>
      <c r="S682">
        <f t="shared" si="265"/>
        <v>0</v>
      </c>
      <c r="U682" s="8"/>
      <c r="V682">
        <f t="shared" si="9"/>
        <v>0</v>
      </c>
      <c r="W682">
        <f t="shared" si="10"/>
        <v>0</v>
      </c>
      <c r="X682">
        <f t="shared" si="11"/>
        <v>0</v>
      </c>
      <c r="Z682" s="8"/>
      <c r="AA682">
        <f t="shared" si="12"/>
        <v>0</v>
      </c>
      <c r="AB682">
        <f t="shared" si="13"/>
        <v>0</v>
      </c>
      <c r="AC682">
        <f t="shared" si="14"/>
        <v>0</v>
      </c>
    </row>
    <row r="683">
      <c r="O683" s="8"/>
      <c r="P683">
        <f t="shared" ref="P683:R683" si="937">B683+P684</f>
        <v>0</v>
      </c>
      <c r="Q683">
        <f t="shared" si="937"/>
        <v>0</v>
      </c>
      <c r="R683">
        <f t="shared" si="937"/>
        <v>0</v>
      </c>
      <c r="S683">
        <f t="shared" si="265"/>
        <v>0</v>
      </c>
      <c r="U683" s="8"/>
      <c r="V683">
        <f t="shared" si="9"/>
        <v>0</v>
      </c>
      <c r="W683">
        <f t="shared" si="10"/>
        <v>0</v>
      </c>
      <c r="X683">
        <f t="shared" si="11"/>
        <v>0</v>
      </c>
      <c r="Z683" s="8"/>
      <c r="AA683">
        <f t="shared" si="12"/>
        <v>0</v>
      </c>
      <c r="AB683">
        <f t="shared" si="13"/>
        <v>0</v>
      </c>
      <c r="AC683">
        <f t="shared" si="14"/>
        <v>0</v>
      </c>
    </row>
    <row r="684">
      <c r="O684" s="8"/>
      <c r="P684">
        <f t="shared" ref="P684:R684" si="938">B684+P685</f>
        <v>0</v>
      </c>
      <c r="Q684">
        <f t="shared" si="938"/>
        <v>0</v>
      </c>
      <c r="R684">
        <f t="shared" si="938"/>
        <v>0</v>
      </c>
      <c r="S684">
        <f t="shared" si="265"/>
        <v>0</v>
      </c>
      <c r="U684" s="8"/>
      <c r="V684">
        <f t="shared" si="9"/>
        <v>0</v>
      </c>
      <c r="W684">
        <f t="shared" si="10"/>
        <v>0</v>
      </c>
      <c r="X684">
        <f t="shared" si="11"/>
        <v>0</v>
      </c>
      <c r="Z684" s="8"/>
      <c r="AA684">
        <f t="shared" si="12"/>
        <v>0</v>
      </c>
      <c r="AB684">
        <f t="shared" si="13"/>
        <v>0</v>
      </c>
      <c r="AC684">
        <f t="shared" si="14"/>
        <v>0</v>
      </c>
    </row>
    <row r="685">
      <c r="O685" s="8"/>
      <c r="P685">
        <f t="shared" ref="P685:R685" si="939">B685+P686</f>
        <v>0</v>
      </c>
      <c r="Q685">
        <f t="shared" si="939"/>
        <v>0</v>
      </c>
      <c r="R685">
        <f t="shared" si="939"/>
        <v>0</v>
      </c>
      <c r="S685">
        <f t="shared" si="265"/>
        <v>0</v>
      </c>
      <c r="U685" s="8"/>
      <c r="V685">
        <f t="shared" si="9"/>
        <v>0</v>
      </c>
      <c r="W685">
        <f t="shared" si="10"/>
        <v>0</v>
      </c>
      <c r="X685">
        <f t="shared" si="11"/>
        <v>0</v>
      </c>
      <c r="Z685" s="8"/>
      <c r="AA685">
        <f t="shared" si="12"/>
        <v>0</v>
      </c>
      <c r="AB685">
        <f t="shared" si="13"/>
        <v>0</v>
      </c>
      <c r="AC685">
        <f t="shared" si="14"/>
        <v>0</v>
      </c>
    </row>
    <row r="686">
      <c r="O686" s="8"/>
      <c r="P686">
        <f t="shared" ref="P686:R686" si="940">B686+P687</f>
        <v>0</v>
      </c>
      <c r="Q686">
        <f t="shared" si="940"/>
        <v>0</v>
      </c>
      <c r="R686">
        <f t="shared" si="940"/>
        <v>0</v>
      </c>
      <c r="S686">
        <f t="shared" si="265"/>
        <v>0</v>
      </c>
      <c r="U686" s="8"/>
      <c r="V686">
        <f t="shared" si="9"/>
        <v>0</v>
      </c>
      <c r="W686">
        <f t="shared" si="10"/>
        <v>0</v>
      </c>
      <c r="X686">
        <f t="shared" si="11"/>
        <v>0</v>
      </c>
      <c r="Z686" s="8"/>
      <c r="AA686">
        <f t="shared" si="12"/>
        <v>0</v>
      </c>
      <c r="AB686">
        <f t="shared" si="13"/>
        <v>0</v>
      </c>
      <c r="AC686">
        <f t="shared" si="14"/>
        <v>0</v>
      </c>
    </row>
    <row r="687">
      <c r="O687" s="8"/>
      <c r="P687">
        <f t="shared" ref="P687:R687" si="941">B687+P688</f>
        <v>0</v>
      </c>
      <c r="Q687">
        <f t="shared" si="941"/>
        <v>0</v>
      </c>
      <c r="R687">
        <f t="shared" si="941"/>
        <v>0</v>
      </c>
      <c r="S687">
        <f t="shared" si="265"/>
        <v>0</v>
      </c>
      <c r="U687" s="8"/>
      <c r="V687">
        <f t="shared" si="9"/>
        <v>0</v>
      </c>
      <c r="W687">
        <f t="shared" si="10"/>
        <v>0</v>
      </c>
      <c r="X687">
        <f t="shared" si="11"/>
        <v>0</v>
      </c>
      <c r="Z687" s="8"/>
      <c r="AA687">
        <f t="shared" si="12"/>
        <v>0</v>
      </c>
      <c r="AB687">
        <f t="shared" si="13"/>
        <v>0</v>
      </c>
      <c r="AC687">
        <f t="shared" si="14"/>
        <v>0</v>
      </c>
    </row>
    <row r="688">
      <c r="O688" s="8"/>
      <c r="P688">
        <f t="shared" ref="P688:R688" si="942">B688+P689</f>
        <v>0</v>
      </c>
      <c r="Q688">
        <f t="shared" si="942"/>
        <v>0</v>
      </c>
      <c r="R688">
        <f t="shared" si="942"/>
        <v>0</v>
      </c>
      <c r="S688">
        <f t="shared" si="265"/>
        <v>0</v>
      </c>
      <c r="U688" s="8"/>
      <c r="V688">
        <f t="shared" si="9"/>
        <v>0</v>
      </c>
      <c r="W688">
        <f t="shared" si="10"/>
        <v>0</v>
      </c>
      <c r="X688">
        <f t="shared" si="11"/>
        <v>0</v>
      </c>
      <c r="Z688" s="8"/>
      <c r="AA688">
        <f t="shared" si="12"/>
        <v>0</v>
      </c>
      <c r="AB688">
        <f t="shared" si="13"/>
        <v>0</v>
      </c>
      <c r="AC688">
        <f t="shared" si="14"/>
        <v>0</v>
      </c>
    </row>
    <row r="689">
      <c r="O689" s="8"/>
      <c r="P689">
        <f t="shared" ref="P689:R689" si="943">B689+P690</f>
        <v>0</v>
      </c>
      <c r="Q689">
        <f t="shared" si="943"/>
        <v>0</v>
      </c>
      <c r="R689">
        <f t="shared" si="943"/>
        <v>0</v>
      </c>
      <c r="S689">
        <f t="shared" si="265"/>
        <v>0</v>
      </c>
      <c r="U689" s="8"/>
      <c r="V689">
        <f t="shared" si="9"/>
        <v>0</v>
      </c>
      <c r="W689">
        <f t="shared" si="10"/>
        <v>0</v>
      </c>
      <c r="X689">
        <f t="shared" si="11"/>
        <v>0</v>
      </c>
      <c r="Z689" s="8"/>
      <c r="AA689">
        <f t="shared" si="12"/>
        <v>0</v>
      </c>
      <c r="AB689">
        <f t="shared" si="13"/>
        <v>0</v>
      </c>
      <c r="AC689">
        <f t="shared" si="14"/>
        <v>0</v>
      </c>
    </row>
    <row r="690">
      <c r="O690" s="8"/>
      <c r="P690">
        <f t="shared" ref="P690:R690" si="944">B690+P691</f>
        <v>0</v>
      </c>
      <c r="Q690">
        <f t="shared" si="944"/>
        <v>0</v>
      </c>
      <c r="R690">
        <f t="shared" si="944"/>
        <v>0</v>
      </c>
      <c r="S690">
        <f t="shared" si="265"/>
        <v>0</v>
      </c>
      <c r="U690" s="8"/>
      <c r="V690">
        <f t="shared" si="9"/>
        <v>0</v>
      </c>
      <c r="W690">
        <f t="shared" si="10"/>
        <v>0</v>
      </c>
      <c r="X690">
        <f t="shared" si="11"/>
        <v>0</v>
      </c>
      <c r="Z690" s="8"/>
      <c r="AA690">
        <f t="shared" si="12"/>
        <v>0</v>
      </c>
      <c r="AB690">
        <f t="shared" si="13"/>
        <v>0</v>
      </c>
      <c r="AC690">
        <f t="shared" si="14"/>
        <v>0</v>
      </c>
    </row>
    <row r="691">
      <c r="O691" s="8"/>
      <c r="P691">
        <f t="shared" ref="P691:R691" si="945">B691+P692</f>
        <v>0</v>
      </c>
      <c r="Q691">
        <f t="shared" si="945"/>
        <v>0</v>
      </c>
      <c r="R691">
        <f t="shared" si="945"/>
        <v>0</v>
      </c>
      <c r="S691">
        <f t="shared" si="265"/>
        <v>0</v>
      </c>
      <c r="U691" s="8"/>
      <c r="V691">
        <f t="shared" si="9"/>
        <v>0</v>
      </c>
      <c r="W691">
        <f t="shared" si="10"/>
        <v>0</v>
      </c>
      <c r="X691">
        <f t="shared" si="11"/>
        <v>0</v>
      </c>
      <c r="Z691" s="8"/>
      <c r="AA691">
        <f t="shared" si="12"/>
        <v>0</v>
      </c>
      <c r="AB691">
        <f t="shared" si="13"/>
        <v>0</v>
      </c>
      <c r="AC691">
        <f t="shared" si="14"/>
        <v>0</v>
      </c>
    </row>
    <row r="692">
      <c r="O692" s="8"/>
      <c r="P692">
        <f t="shared" ref="P692:R692" si="946">B692+P693</f>
        <v>0</v>
      </c>
      <c r="Q692">
        <f t="shared" si="946"/>
        <v>0</v>
      </c>
      <c r="R692">
        <f t="shared" si="946"/>
        <v>0</v>
      </c>
      <c r="S692">
        <f t="shared" si="265"/>
        <v>0</v>
      </c>
      <c r="U692" s="8"/>
      <c r="V692">
        <f t="shared" si="9"/>
        <v>0</v>
      </c>
      <c r="W692">
        <f t="shared" si="10"/>
        <v>0</v>
      </c>
      <c r="X692">
        <f t="shared" si="11"/>
        <v>0</v>
      </c>
      <c r="Z692" s="8"/>
      <c r="AA692">
        <f t="shared" si="12"/>
        <v>0</v>
      </c>
      <c r="AB692">
        <f t="shared" si="13"/>
        <v>0</v>
      </c>
      <c r="AC692">
        <f t="shared" si="14"/>
        <v>0</v>
      </c>
    </row>
    <row r="693">
      <c r="O693" s="8"/>
      <c r="P693">
        <f t="shared" ref="P693:R693" si="947">B693+P694</f>
        <v>0</v>
      </c>
      <c r="Q693">
        <f t="shared" si="947"/>
        <v>0</v>
      </c>
      <c r="R693">
        <f t="shared" si="947"/>
        <v>0</v>
      </c>
      <c r="S693">
        <f t="shared" si="265"/>
        <v>0</v>
      </c>
      <c r="U693" s="8"/>
      <c r="V693">
        <f t="shared" si="9"/>
        <v>0</v>
      </c>
      <c r="W693">
        <f t="shared" si="10"/>
        <v>0</v>
      </c>
      <c r="X693">
        <f t="shared" si="11"/>
        <v>0</v>
      </c>
      <c r="Z693" s="8"/>
      <c r="AA693">
        <f t="shared" si="12"/>
        <v>0</v>
      </c>
      <c r="AB693">
        <f t="shared" si="13"/>
        <v>0</v>
      </c>
      <c r="AC693">
        <f t="shared" si="14"/>
        <v>0</v>
      </c>
    </row>
    <row r="694">
      <c r="O694" s="8"/>
      <c r="P694">
        <f t="shared" ref="P694:R694" si="948">B694+P695</f>
        <v>0</v>
      </c>
      <c r="Q694">
        <f t="shared" si="948"/>
        <v>0</v>
      </c>
      <c r="R694">
        <f t="shared" si="948"/>
        <v>0</v>
      </c>
      <c r="S694">
        <f t="shared" si="265"/>
        <v>0</v>
      </c>
      <c r="U694" s="8"/>
      <c r="V694">
        <f t="shared" si="9"/>
        <v>0</v>
      </c>
      <c r="W694">
        <f t="shared" si="10"/>
        <v>0</v>
      </c>
      <c r="X694">
        <f t="shared" si="11"/>
        <v>0</v>
      </c>
      <c r="Z694" s="8"/>
      <c r="AA694">
        <f t="shared" si="12"/>
        <v>0</v>
      </c>
      <c r="AB694">
        <f t="shared" si="13"/>
        <v>0</v>
      </c>
      <c r="AC694">
        <f t="shared" si="14"/>
        <v>0</v>
      </c>
    </row>
    <row r="695">
      <c r="O695" s="8"/>
      <c r="P695">
        <f t="shared" ref="P695:R695" si="949">B695+P696</f>
        <v>0</v>
      </c>
      <c r="Q695">
        <f t="shared" si="949"/>
        <v>0</v>
      </c>
      <c r="R695">
        <f t="shared" si="949"/>
        <v>0</v>
      </c>
      <c r="S695">
        <f t="shared" si="265"/>
        <v>0</v>
      </c>
      <c r="U695" s="8"/>
      <c r="V695">
        <f t="shared" si="9"/>
        <v>0</v>
      </c>
      <c r="W695">
        <f t="shared" si="10"/>
        <v>0</v>
      </c>
      <c r="X695">
        <f t="shared" si="11"/>
        <v>0</v>
      </c>
      <c r="Z695" s="8"/>
      <c r="AA695">
        <f t="shared" si="12"/>
        <v>0</v>
      </c>
      <c r="AB695">
        <f t="shared" si="13"/>
        <v>0</v>
      </c>
      <c r="AC695">
        <f t="shared" si="14"/>
        <v>0</v>
      </c>
    </row>
    <row r="696">
      <c r="O696" s="8"/>
      <c r="P696">
        <f t="shared" ref="P696:R696" si="950">B696+P697</f>
        <v>0</v>
      </c>
      <c r="Q696">
        <f t="shared" si="950"/>
        <v>0</v>
      </c>
      <c r="R696">
        <f t="shared" si="950"/>
        <v>0</v>
      </c>
      <c r="S696">
        <f t="shared" si="265"/>
        <v>0</v>
      </c>
      <c r="U696" s="8"/>
      <c r="V696">
        <f t="shared" si="9"/>
        <v>0</v>
      </c>
      <c r="W696">
        <f t="shared" si="10"/>
        <v>0</v>
      </c>
      <c r="X696">
        <f t="shared" si="11"/>
        <v>0</v>
      </c>
      <c r="Z696" s="8"/>
      <c r="AA696">
        <f t="shared" si="12"/>
        <v>0</v>
      </c>
      <c r="AB696">
        <f t="shared" si="13"/>
        <v>0</v>
      </c>
      <c r="AC696">
        <f t="shared" si="14"/>
        <v>0</v>
      </c>
    </row>
    <row r="697">
      <c r="O697" s="8"/>
      <c r="P697">
        <f t="shared" ref="P697:R697" si="951">B697+P698</f>
        <v>0</v>
      </c>
      <c r="Q697">
        <f t="shared" si="951"/>
        <v>0</v>
      </c>
      <c r="R697">
        <f t="shared" si="951"/>
        <v>0</v>
      </c>
      <c r="S697">
        <f t="shared" si="265"/>
        <v>0</v>
      </c>
      <c r="U697" s="8"/>
      <c r="V697">
        <f t="shared" si="9"/>
        <v>0</v>
      </c>
      <c r="W697">
        <f t="shared" si="10"/>
        <v>0</v>
      </c>
      <c r="X697">
        <f t="shared" si="11"/>
        <v>0</v>
      </c>
      <c r="Z697" s="8"/>
      <c r="AA697">
        <f t="shared" si="12"/>
        <v>0</v>
      </c>
      <c r="AB697">
        <f t="shared" si="13"/>
        <v>0</v>
      </c>
      <c r="AC697">
        <f t="shared" si="14"/>
        <v>0</v>
      </c>
    </row>
    <row r="698">
      <c r="O698" s="8"/>
      <c r="P698">
        <f t="shared" ref="P698:R698" si="952">B698+P699</f>
        <v>0</v>
      </c>
      <c r="Q698">
        <f t="shared" si="952"/>
        <v>0</v>
      </c>
      <c r="R698">
        <f t="shared" si="952"/>
        <v>0</v>
      </c>
      <c r="S698">
        <f t="shared" si="265"/>
        <v>0</v>
      </c>
      <c r="U698" s="8"/>
      <c r="V698">
        <f t="shared" si="9"/>
        <v>0</v>
      </c>
      <c r="W698">
        <f t="shared" si="10"/>
        <v>0</v>
      </c>
      <c r="X698">
        <f t="shared" si="11"/>
        <v>0</v>
      </c>
      <c r="Z698" s="8"/>
      <c r="AA698">
        <f t="shared" si="12"/>
        <v>0</v>
      </c>
      <c r="AB698">
        <f t="shared" si="13"/>
        <v>0</v>
      </c>
      <c r="AC698">
        <f t="shared" si="14"/>
        <v>0</v>
      </c>
    </row>
    <row r="699">
      <c r="O699" s="8"/>
      <c r="P699">
        <f t="shared" ref="P699:R699" si="953">B699+P700</f>
        <v>0</v>
      </c>
      <c r="Q699">
        <f t="shared" si="953"/>
        <v>0</v>
      </c>
      <c r="R699">
        <f t="shared" si="953"/>
        <v>0</v>
      </c>
      <c r="S699">
        <f t="shared" si="265"/>
        <v>0</v>
      </c>
      <c r="U699" s="8"/>
      <c r="V699">
        <f t="shared" si="9"/>
        <v>0</v>
      </c>
      <c r="W699">
        <f t="shared" si="10"/>
        <v>0</v>
      </c>
      <c r="X699">
        <f t="shared" si="11"/>
        <v>0</v>
      </c>
      <c r="Z699" s="8"/>
      <c r="AA699">
        <f t="shared" si="12"/>
        <v>0</v>
      </c>
      <c r="AB699">
        <f t="shared" si="13"/>
        <v>0</v>
      </c>
      <c r="AC699">
        <f t="shared" si="14"/>
        <v>0</v>
      </c>
    </row>
    <row r="700">
      <c r="O700" s="8"/>
      <c r="P700">
        <f t="shared" ref="P700:R700" si="954">B700+P701</f>
        <v>0</v>
      </c>
      <c r="Q700">
        <f t="shared" si="954"/>
        <v>0</v>
      </c>
      <c r="R700">
        <f t="shared" si="954"/>
        <v>0</v>
      </c>
      <c r="S700">
        <f t="shared" si="265"/>
        <v>0</v>
      </c>
      <c r="U700" s="8"/>
      <c r="V700">
        <f t="shared" si="9"/>
        <v>0</v>
      </c>
      <c r="W700">
        <f t="shared" si="10"/>
        <v>0</v>
      </c>
      <c r="X700">
        <f t="shared" si="11"/>
        <v>0</v>
      </c>
      <c r="Z700" s="8"/>
      <c r="AA700">
        <f t="shared" si="12"/>
        <v>0</v>
      </c>
      <c r="AB700">
        <f t="shared" si="13"/>
        <v>0</v>
      </c>
      <c r="AC700">
        <f t="shared" si="14"/>
        <v>0</v>
      </c>
    </row>
    <row r="701">
      <c r="O701" s="8"/>
      <c r="P701">
        <f t="shared" ref="P701:R701" si="955">B701+P702</f>
        <v>0</v>
      </c>
      <c r="Q701">
        <f t="shared" si="955"/>
        <v>0</v>
      </c>
      <c r="R701">
        <f t="shared" si="955"/>
        <v>0</v>
      </c>
      <c r="S701">
        <f t="shared" si="265"/>
        <v>0</v>
      </c>
      <c r="U701" s="8"/>
      <c r="V701">
        <f t="shared" si="9"/>
        <v>0</v>
      </c>
      <c r="W701">
        <f t="shared" si="10"/>
        <v>0</v>
      </c>
      <c r="X701">
        <f t="shared" si="11"/>
        <v>0</v>
      </c>
      <c r="Z701" s="8"/>
      <c r="AA701">
        <f t="shared" si="12"/>
        <v>0</v>
      </c>
      <c r="AB701">
        <f t="shared" si="13"/>
        <v>0</v>
      </c>
      <c r="AC701">
        <f t="shared" si="14"/>
        <v>0</v>
      </c>
    </row>
    <row r="702">
      <c r="O702" s="8"/>
      <c r="P702">
        <f t="shared" ref="P702:R702" si="956">B702+P703</f>
        <v>0</v>
      </c>
      <c r="Q702">
        <f t="shared" si="956"/>
        <v>0</v>
      </c>
      <c r="R702">
        <f t="shared" si="956"/>
        <v>0</v>
      </c>
      <c r="S702">
        <f t="shared" si="265"/>
        <v>0</v>
      </c>
      <c r="U702" s="8"/>
      <c r="V702">
        <f t="shared" si="9"/>
        <v>0</v>
      </c>
      <c r="W702">
        <f t="shared" si="10"/>
        <v>0</v>
      </c>
      <c r="X702">
        <f t="shared" si="11"/>
        <v>0</v>
      </c>
      <c r="Z702" s="8"/>
      <c r="AA702">
        <f t="shared" si="12"/>
        <v>0</v>
      </c>
      <c r="AB702">
        <f t="shared" si="13"/>
        <v>0</v>
      </c>
      <c r="AC702">
        <f t="shared" si="14"/>
        <v>0</v>
      </c>
    </row>
    <row r="703">
      <c r="O703" s="8"/>
      <c r="P703">
        <f t="shared" ref="P703:R703" si="957">B703+P704</f>
        <v>0</v>
      </c>
      <c r="Q703">
        <f t="shared" si="957"/>
        <v>0</v>
      </c>
      <c r="R703">
        <f t="shared" si="957"/>
        <v>0</v>
      </c>
      <c r="S703">
        <f t="shared" si="265"/>
        <v>0</v>
      </c>
      <c r="U703" s="8"/>
      <c r="V703">
        <f t="shared" si="9"/>
        <v>0</v>
      </c>
      <c r="W703">
        <f t="shared" si="10"/>
        <v>0</v>
      </c>
      <c r="X703">
        <f t="shared" si="11"/>
        <v>0</v>
      </c>
      <c r="Z703" s="8"/>
      <c r="AA703">
        <f t="shared" si="12"/>
        <v>0</v>
      </c>
      <c r="AB703">
        <f t="shared" si="13"/>
        <v>0</v>
      </c>
      <c r="AC703">
        <f t="shared" si="14"/>
        <v>0</v>
      </c>
    </row>
    <row r="704">
      <c r="O704" s="8"/>
      <c r="P704">
        <f t="shared" ref="P704:R704" si="958">B704+P705</f>
        <v>0</v>
      </c>
      <c r="Q704">
        <f t="shared" si="958"/>
        <v>0</v>
      </c>
      <c r="R704">
        <f t="shared" si="958"/>
        <v>0</v>
      </c>
      <c r="S704">
        <f t="shared" si="265"/>
        <v>0</v>
      </c>
      <c r="U704" s="8"/>
      <c r="V704">
        <f t="shared" si="9"/>
        <v>0</v>
      </c>
      <c r="W704">
        <f t="shared" si="10"/>
        <v>0</v>
      </c>
      <c r="X704">
        <f t="shared" si="11"/>
        <v>0</v>
      </c>
      <c r="Z704" s="8"/>
      <c r="AA704">
        <f t="shared" si="12"/>
        <v>0</v>
      </c>
      <c r="AB704">
        <f t="shared" si="13"/>
        <v>0</v>
      </c>
      <c r="AC704">
        <f t="shared" si="14"/>
        <v>0</v>
      </c>
    </row>
    <row r="705">
      <c r="O705" s="8"/>
      <c r="P705">
        <f t="shared" ref="P705:R705" si="959">B705+P706</f>
        <v>0</v>
      </c>
      <c r="Q705">
        <f t="shared" si="959"/>
        <v>0</v>
      </c>
      <c r="R705">
        <f t="shared" si="959"/>
        <v>0</v>
      </c>
      <c r="S705">
        <f t="shared" si="265"/>
        <v>0</v>
      </c>
      <c r="U705" s="8"/>
      <c r="V705">
        <f t="shared" si="9"/>
        <v>0</v>
      </c>
      <c r="W705">
        <f t="shared" si="10"/>
        <v>0</v>
      </c>
      <c r="X705">
        <f t="shared" si="11"/>
        <v>0</v>
      </c>
      <c r="Z705" s="8"/>
      <c r="AA705">
        <f t="shared" si="12"/>
        <v>0</v>
      </c>
      <c r="AB705">
        <f t="shared" si="13"/>
        <v>0</v>
      </c>
      <c r="AC705">
        <f t="shared" si="14"/>
        <v>0</v>
      </c>
    </row>
    <row r="706">
      <c r="O706" s="8"/>
      <c r="P706">
        <f t="shared" ref="P706:R706" si="960">B706+P707</f>
        <v>0</v>
      </c>
      <c r="Q706">
        <f t="shared" si="960"/>
        <v>0</v>
      </c>
      <c r="R706">
        <f t="shared" si="960"/>
        <v>0</v>
      </c>
      <c r="S706">
        <f t="shared" si="265"/>
        <v>0</v>
      </c>
      <c r="U706" s="8"/>
      <c r="V706">
        <f t="shared" si="9"/>
        <v>0</v>
      </c>
      <c r="W706">
        <f t="shared" si="10"/>
        <v>0</v>
      </c>
      <c r="X706">
        <f t="shared" si="11"/>
        <v>0</v>
      </c>
      <c r="Z706" s="8"/>
      <c r="AA706">
        <f t="shared" si="12"/>
        <v>0</v>
      </c>
      <c r="AB706">
        <f t="shared" si="13"/>
        <v>0</v>
      </c>
      <c r="AC706">
        <f t="shared" si="14"/>
        <v>0</v>
      </c>
    </row>
    <row r="707">
      <c r="O707" s="8"/>
      <c r="P707">
        <f t="shared" ref="P707:R707" si="961">B707+P708</f>
        <v>0</v>
      </c>
      <c r="Q707">
        <f t="shared" si="961"/>
        <v>0</v>
      </c>
      <c r="R707">
        <f t="shared" si="961"/>
        <v>0</v>
      </c>
      <c r="S707">
        <f t="shared" si="265"/>
        <v>0</v>
      </c>
      <c r="U707" s="8"/>
      <c r="V707">
        <f t="shared" si="9"/>
        <v>0</v>
      </c>
      <c r="W707">
        <f t="shared" si="10"/>
        <v>0</v>
      </c>
      <c r="X707">
        <f t="shared" si="11"/>
        <v>0</v>
      </c>
      <c r="Z707" s="8"/>
      <c r="AA707">
        <f t="shared" si="12"/>
        <v>0</v>
      </c>
      <c r="AB707">
        <f t="shared" si="13"/>
        <v>0</v>
      </c>
      <c r="AC707">
        <f t="shared" si="14"/>
        <v>0</v>
      </c>
    </row>
    <row r="708">
      <c r="O708" s="8"/>
      <c r="P708">
        <f t="shared" ref="P708:R708" si="962">B708+P709</f>
        <v>0</v>
      </c>
      <c r="Q708">
        <f t="shared" si="962"/>
        <v>0</v>
      </c>
      <c r="R708">
        <f t="shared" si="962"/>
        <v>0</v>
      </c>
      <c r="S708">
        <f t="shared" si="265"/>
        <v>0</v>
      </c>
      <c r="U708" s="8"/>
      <c r="V708">
        <f t="shared" si="9"/>
        <v>0</v>
      </c>
      <c r="W708">
        <f t="shared" si="10"/>
        <v>0</v>
      </c>
      <c r="X708">
        <f t="shared" si="11"/>
        <v>0</v>
      </c>
      <c r="Z708" s="8"/>
      <c r="AA708">
        <f t="shared" si="12"/>
        <v>0</v>
      </c>
      <c r="AB708">
        <f t="shared" si="13"/>
        <v>0</v>
      </c>
      <c r="AC708">
        <f t="shared" si="14"/>
        <v>0</v>
      </c>
    </row>
    <row r="709">
      <c r="O709" s="8"/>
      <c r="P709">
        <f t="shared" ref="P709:R709" si="963">B709+P710</f>
        <v>0</v>
      </c>
      <c r="Q709">
        <f t="shared" si="963"/>
        <v>0</v>
      </c>
      <c r="R709">
        <f t="shared" si="963"/>
        <v>0</v>
      </c>
      <c r="S709">
        <f t="shared" si="265"/>
        <v>0</v>
      </c>
      <c r="U709" s="8"/>
      <c r="V709">
        <f t="shared" si="9"/>
        <v>0</v>
      </c>
      <c r="W709">
        <f t="shared" si="10"/>
        <v>0</v>
      </c>
      <c r="X709">
        <f t="shared" si="11"/>
        <v>0</v>
      </c>
      <c r="Z709" s="8"/>
      <c r="AA709">
        <f t="shared" si="12"/>
        <v>0</v>
      </c>
      <c r="AB709">
        <f t="shared" si="13"/>
        <v>0</v>
      </c>
      <c r="AC709">
        <f t="shared" si="14"/>
        <v>0</v>
      </c>
    </row>
    <row r="710">
      <c r="O710" s="8"/>
      <c r="P710">
        <f t="shared" ref="P710:R710" si="964">B710+P711</f>
        <v>0</v>
      </c>
      <c r="Q710">
        <f t="shared" si="964"/>
        <v>0</v>
      </c>
      <c r="R710">
        <f t="shared" si="964"/>
        <v>0</v>
      </c>
      <c r="S710">
        <f t="shared" si="265"/>
        <v>0</v>
      </c>
      <c r="U710" s="8"/>
      <c r="V710">
        <f t="shared" si="9"/>
        <v>0</v>
      </c>
      <c r="W710">
        <f t="shared" si="10"/>
        <v>0</v>
      </c>
      <c r="X710">
        <f t="shared" si="11"/>
        <v>0</v>
      </c>
      <c r="Z710" s="8"/>
      <c r="AA710">
        <f t="shared" si="12"/>
        <v>0</v>
      </c>
      <c r="AB710">
        <f t="shared" si="13"/>
        <v>0</v>
      </c>
      <c r="AC710">
        <f t="shared" si="14"/>
        <v>0</v>
      </c>
    </row>
    <row r="711">
      <c r="O711" s="8"/>
      <c r="P711">
        <f t="shared" ref="P711:R711" si="965">B711+P712</f>
        <v>0</v>
      </c>
      <c r="Q711">
        <f t="shared" si="965"/>
        <v>0</v>
      </c>
      <c r="R711">
        <f t="shared" si="965"/>
        <v>0</v>
      </c>
      <c r="S711">
        <f t="shared" si="265"/>
        <v>0</v>
      </c>
      <c r="U711" s="8"/>
      <c r="V711">
        <f t="shared" si="9"/>
        <v>0</v>
      </c>
      <c r="W711">
        <f t="shared" si="10"/>
        <v>0</v>
      </c>
      <c r="X711">
        <f t="shared" si="11"/>
        <v>0</v>
      </c>
      <c r="Z711" s="8"/>
      <c r="AA711">
        <f t="shared" si="12"/>
        <v>0</v>
      </c>
      <c r="AB711">
        <f t="shared" si="13"/>
        <v>0</v>
      </c>
      <c r="AC711">
        <f t="shared" si="14"/>
        <v>0</v>
      </c>
    </row>
    <row r="712">
      <c r="O712" s="8"/>
      <c r="P712">
        <f t="shared" ref="P712:R712" si="966">B712+P713</f>
        <v>0</v>
      </c>
      <c r="Q712">
        <f t="shared" si="966"/>
        <v>0</v>
      </c>
      <c r="R712">
        <f t="shared" si="966"/>
        <v>0</v>
      </c>
      <c r="S712">
        <f t="shared" si="265"/>
        <v>0</v>
      </c>
      <c r="U712" s="8"/>
      <c r="V712">
        <f t="shared" si="9"/>
        <v>0</v>
      </c>
      <c r="W712">
        <f t="shared" si="10"/>
        <v>0</v>
      </c>
      <c r="X712">
        <f t="shared" si="11"/>
        <v>0</v>
      </c>
      <c r="Z712" s="8"/>
      <c r="AA712">
        <f t="shared" si="12"/>
        <v>0</v>
      </c>
      <c r="AB712">
        <f t="shared" si="13"/>
        <v>0</v>
      </c>
      <c r="AC712">
        <f t="shared" si="14"/>
        <v>0</v>
      </c>
    </row>
    <row r="713">
      <c r="O713" s="8"/>
      <c r="P713">
        <f t="shared" ref="P713:R713" si="967">B713+P714</f>
        <v>0</v>
      </c>
      <c r="Q713">
        <f t="shared" si="967"/>
        <v>0</v>
      </c>
      <c r="R713">
        <f t="shared" si="967"/>
        <v>0</v>
      </c>
      <c r="S713">
        <f t="shared" si="265"/>
        <v>0</v>
      </c>
      <c r="U713" s="8"/>
      <c r="V713">
        <f t="shared" si="9"/>
        <v>0</v>
      </c>
      <c r="W713">
        <f t="shared" si="10"/>
        <v>0</v>
      </c>
      <c r="X713">
        <f t="shared" si="11"/>
        <v>0</v>
      </c>
      <c r="Z713" s="8"/>
      <c r="AA713">
        <f t="shared" si="12"/>
        <v>0</v>
      </c>
      <c r="AB713">
        <f t="shared" si="13"/>
        <v>0</v>
      </c>
      <c r="AC713">
        <f t="shared" si="14"/>
        <v>0</v>
      </c>
    </row>
    <row r="714">
      <c r="O714" s="8"/>
      <c r="P714">
        <f t="shared" ref="P714:R714" si="968">B714+P715</f>
        <v>0</v>
      </c>
      <c r="Q714">
        <f t="shared" si="968"/>
        <v>0</v>
      </c>
      <c r="R714">
        <f t="shared" si="968"/>
        <v>0</v>
      </c>
      <c r="S714">
        <f t="shared" si="265"/>
        <v>0</v>
      </c>
      <c r="U714" s="8"/>
      <c r="V714">
        <f t="shared" si="9"/>
        <v>0</v>
      </c>
      <c r="W714">
        <f t="shared" si="10"/>
        <v>0</v>
      </c>
      <c r="X714">
        <f t="shared" si="11"/>
        <v>0</v>
      </c>
      <c r="Z714" s="8"/>
      <c r="AA714">
        <f t="shared" si="12"/>
        <v>0</v>
      </c>
      <c r="AB714">
        <f t="shared" si="13"/>
        <v>0</v>
      </c>
      <c r="AC714">
        <f t="shared" si="14"/>
        <v>0</v>
      </c>
    </row>
    <row r="715">
      <c r="O715" s="8"/>
      <c r="P715">
        <f t="shared" ref="P715:R715" si="969">B715+P716</f>
        <v>0</v>
      </c>
      <c r="Q715">
        <f t="shared" si="969"/>
        <v>0</v>
      </c>
      <c r="R715">
        <f t="shared" si="969"/>
        <v>0</v>
      </c>
      <c r="S715">
        <f t="shared" si="265"/>
        <v>0</v>
      </c>
      <c r="U715" s="8"/>
      <c r="V715">
        <f t="shared" si="9"/>
        <v>0</v>
      </c>
      <c r="W715">
        <f t="shared" si="10"/>
        <v>0</v>
      </c>
      <c r="X715">
        <f t="shared" si="11"/>
        <v>0</v>
      </c>
      <c r="Z715" s="8"/>
      <c r="AA715">
        <f t="shared" si="12"/>
        <v>0</v>
      </c>
      <c r="AB715">
        <f t="shared" si="13"/>
        <v>0</v>
      </c>
      <c r="AC715">
        <f t="shared" si="14"/>
        <v>0</v>
      </c>
    </row>
    <row r="716">
      <c r="O716" s="8"/>
      <c r="P716">
        <f t="shared" ref="P716:R716" si="970">B716+P717</f>
        <v>0</v>
      </c>
      <c r="Q716">
        <f t="shared" si="970"/>
        <v>0</v>
      </c>
      <c r="R716">
        <f t="shared" si="970"/>
        <v>0</v>
      </c>
      <c r="S716">
        <f t="shared" si="265"/>
        <v>0</v>
      </c>
      <c r="U716" s="8"/>
      <c r="V716">
        <f t="shared" si="9"/>
        <v>0</v>
      </c>
      <c r="W716">
        <f t="shared" si="10"/>
        <v>0</v>
      </c>
      <c r="X716">
        <f t="shared" si="11"/>
        <v>0</v>
      </c>
      <c r="Z716" s="8"/>
      <c r="AA716">
        <f t="shared" si="12"/>
        <v>0</v>
      </c>
      <c r="AB716">
        <f t="shared" si="13"/>
        <v>0</v>
      </c>
      <c r="AC716">
        <f t="shared" si="14"/>
        <v>0</v>
      </c>
    </row>
    <row r="717">
      <c r="O717" s="8"/>
      <c r="P717">
        <f t="shared" ref="P717:R717" si="971">B717+P718</f>
        <v>0</v>
      </c>
      <c r="Q717">
        <f t="shared" si="971"/>
        <v>0</v>
      </c>
      <c r="R717">
        <f t="shared" si="971"/>
        <v>0</v>
      </c>
      <c r="S717">
        <f t="shared" si="265"/>
        <v>0</v>
      </c>
      <c r="U717" s="8"/>
      <c r="V717">
        <f t="shared" si="9"/>
        <v>0</v>
      </c>
      <c r="W717">
        <f t="shared" si="10"/>
        <v>0</v>
      </c>
      <c r="X717">
        <f t="shared" si="11"/>
        <v>0</v>
      </c>
      <c r="Z717" s="8"/>
      <c r="AA717">
        <f t="shared" si="12"/>
        <v>0</v>
      </c>
      <c r="AB717">
        <f t="shared" si="13"/>
        <v>0</v>
      </c>
      <c r="AC717">
        <f t="shared" si="14"/>
        <v>0</v>
      </c>
    </row>
    <row r="718">
      <c r="O718" s="8"/>
      <c r="P718">
        <f t="shared" ref="P718:R718" si="972">B718+P719</f>
        <v>0</v>
      </c>
      <c r="Q718">
        <f t="shared" si="972"/>
        <v>0</v>
      </c>
      <c r="R718">
        <f t="shared" si="972"/>
        <v>0</v>
      </c>
      <c r="S718">
        <f t="shared" si="265"/>
        <v>0</v>
      </c>
      <c r="U718" s="8"/>
      <c r="V718">
        <f t="shared" si="9"/>
        <v>0</v>
      </c>
      <c r="W718">
        <f t="shared" si="10"/>
        <v>0</v>
      </c>
      <c r="X718">
        <f t="shared" si="11"/>
        <v>0</v>
      </c>
      <c r="Z718" s="8"/>
      <c r="AA718">
        <f t="shared" si="12"/>
        <v>0</v>
      </c>
      <c r="AB718">
        <f t="shared" si="13"/>
        <v>0</v>
      </c>
      <c r="AC718">
        <f t="shared" si="14"/>
        <v>0</v>
      </c>
    </row>
    <row r="719">
      <c r="O719" s="8"/>
      <c r="P719">
        <f t="shared" ref="P719:R719" si="973">B719+P720</f>
        <v>0</v>
      </c>
      <c r="Q719">
        <f t="shared" si="973"/>
        <v>0</v>
      </c>
      <c r="R719">
        <f t="shared" si="973"/>
        <v>0</v>
      </c>
      <c r="S719">
        <f t="shared" si="265"/>
        <v>0</v>
      </c>
      <c r="U719" s="8"/>
      <c r="V719">
        <f t="shared" si="9"/>
        <v>0</v>
      </c>
      <c r="W719">
        <f t="shared" si="10"/>
        <v>0</v>
      </c>
      <c r="X719">
        <f t="shared" si="11"/>
        <v>0</v>
      </c>
      <c r="Z719" s="8"/>
      <c r="AA719">
        <f t="shared" si="12"/>
        <v>0</v>
      </c>
      <c r="AB719">
        <f t="shared" si="13"/>
        <v>0</v>
      </c>
      <c r="AC719">
        <f t="shared" si="14"/>
        <v>0</v>
      </c>
    </row>
    <row r="720">
      <c r="O720" s="8"/>
      <c r="P720">
        <f t="shared" ref="P720:R720" si="974">B720+P721</f>
        <v>0</v>
      </c>
      <c r="Q720">
        <f t="shared" si="974"/>
        <v>0</v>
      </c>
      <c r="R720">
        <f t="shared" si="974"/>
        <v>0</v>
      </c>
      <c r="S720">
        <f t="shared" si="265"/>
        <v>0</v>
      </c>
      <c r="U720" s="8"/>
      <c r="V720">
        <f t="shared" si="9"/>
        <v>0</v>
      </c>
      <c r="W720">
        <f t="shared" si="10"/>
        <v>0</v>
      </c>
      <c r="X720">
        <f t="shared" si="11"/>
        <v>0</v>
      </c>
      <c r="Z720" s="8"/>
      <c r="AA720">
        <f t="shared" si="12"/>
        <v>0</v>
      </c>
      <c r="AB720">
        <f t="shared" si="13"/>
        <v>0</v>
      </c>
      <c r="AC720">
        <f t="shared" si="14"/>
        <v>0</v>
      </c>
    </row>
    <row r="721">
      <c r="O721" s="8"/>
      <c r="P721">
        <f t="shared" ref="P721:R721" si="975">B721+P722</f>
        <v>0</v>
      </c>
      <c r="Q721">
        <f t="shared" si="975"/>
        <v>0</v>
      </c>
      <c r="R721">
        <f t="shared" si="975"/>
        <v>0</v>
      </c>
      <c r="S721">
        <f t="shared" si="265"/>
        <v>0</v>
      </c>
      <c r="U721" s="8"/>
      <c r="V721">
        <f t="shared" si="9"/>
        <v>0</v>
      </c>
      <c r="W721">
        <f t="shared" si="10"/>
        <v>0</v>
      </c>
      <c r="X721">
        <f t="shared" si="11"/>
        <v>0</v>
      </c>
      <c r="Z721" s="8"/>
      <c r="AA721">
        <f t="shared" si="12"/>
        <v>0</v>
      </c>
      <c r="AB721">
        <f t="shared" si="13"/>
        <v>0</v>
      </c>
      <c r="AC721">
        <f t="shared" si="14"/>
        <v>0</v>
      </c>
    </row>
    <row r="722">
      <c r="O722" s="8"/>
      <c r="P722">
        <f t="shared" ref="P722:R722" si="976">B722+P723</f>
        <v>0</v>
      </c>
      <c r="Q722">
        <f t="shared" si="976"/>
        <v>0</v>
      </c>
      <c r="R722">
        <f t="shared" si="976"/>
        <v>0</v>
      </c>
      <c r="S722">
        <f t="shared" si="265"/>
        <v>0</v>
      </c>
      <c r="U722" s="8"/>
      <c r="V722">
        <f t="shared" si="9"/>
        <v>0</v>
      </c>
      <c r="W722">
        <f t="shared" si="10"/>
        <v>0</v>
      </c>
      <c r="X722">
        <f t="shared" si="11"/>
        <v>0</v>
      </c>
      <c r="Z722" s="8"/>
      <c r="AA722">
        <f t="shared" si="12"/>
        <v>0</v>
      </c>
      <c r="AB722">
        <f t="shared" si="13"/>
        <v>0</v>
      </c>
      <c r="AC722">
        <f t="shared" si="14"/>
        <v>0</v>
      </c>
    </row>
    <row r="723">
      <c r="O723" s="8"/>
      <c r="P723">
        <f t="shared" ref="P723:R723" si="977">B723+P724</f>
        <v>0</v>
      </c>
      <c r="Q723">
        <f t="shared" si="977"/>
        <v>0</v>
      </c>
      <c r="R723">
        <f t="shared" si="977"/>
        <v>0</v>
      </c>
      <c r="S723">
        <f t="shared" si="265"/>
        <v>0</v>
      </c>
      <c r="U723" s="8"/>
      <c r="V723">
        <f t="shared" si="9"/>
        <v>0</v>
      </c>
      <c r="W723">
        <f t="shared" si="10"/>
        <v>0</v>
      </c>
      <c r="X723">
        <f t="shared" si="11"/>
        <v>0</v>
      </c>
      <c r="Z723" s="8"/>
      <c r="AA723">
        <f t="shared" si="12"/>
        <v>0</v>
      </c>
      <c r="AB723">
        <f t="shared" si="13"/>
        <v>0</v>
      </c>
      <c r="AC723">
        <f t="shared" si="14"/>
        <v>0</v>
      </c>
    </row>
    <row r="724">
      <c r="O724" s="8"/>
      <c r="P724">
        <f t="shared" ref="P724:R724" si="978">B724+P725</f>
        <v>0</v>
      </c>
      <c r="Q724">
        <f t="shared" si="978"/>
        <v>0</v>
      </c>
      <c r="R724">
        <f t="shared" si="978"/>
        <v>0</v>
      </c>
      <c r="S724">
        <f t="shared" si="265"/>
        <v>0</v>
      </c>
      <c r="U724" s="8"/>
      <c r="V724">
        <f t="shared" si="9"/>
        <v>0</v>
      </c>
      <c r="W724">
        <f t="shared" si="10"/>
        <v>0</v>
      </c>
      <c r="X724">
        <f t="shared" si="11"/>
        <v>0</v>
      </c>
      <c r="Z724" s="8"/>
      <c r="AA724">
        <f t="shared" si="12"/>
        <v>0</v>
      </c>
      <c r="AB724">
        <f t="shared" si="13"/>
        <v>0</v>
      </c>
      <c r="AC724">
        <f t="shared" si="14"/>
        <v>0</v>
      </c>
    </row>
    <row r="725">
      <c r="O725" s="8"/>
      <c r="P725">
        <f t="shared" ref="P725:R725" si="979">B725+P726</f>
        <v>0</v>
      </c>
      <c r="Q725">
        <f t="shared" si="979"/>
        <v>0</v>
      </c>
      <c r="R725">
        <f t="shared" si="979"/>
        <v>0</v>
      </c>
      <c r="S725">
        <f t="shared" si="265"/>
        <v>0</v>
      </c>
      <c r="U725" s="8"/>
      <c r="V725">
        <f t="shared" si="9"/>
        <v>0</v>
      </c>
      <c r="W725">
        <f t="shared" si="10"/>
        <v>0</v>
      </c>
      <c r="X725">
        <f t="shared" si="11"/>
        <v>0</v>
      </c>
      <c r="Z725" s="8"/>
      <c r="AA725">
        <f t="shared" si="12"/>
        <v>0</v>
      </c>
      <c r="AB725">
        <f t="shared" si="13"/>
        <v>0</v>
      </c>
      <c r="AC725">
        <f t="shared" si="14"/>
        <v>0</v>
      </c>
    </row>
    <row r="726">
      <c r="O726" s="8"/>
      <c r="P726">
        <f t="shared" ref="P726:R726" si="980">B726+P727</f>
        <v>0</v>
      </c>
      <c r="Q726">
        <f t="shared" si="980"/>
        <v>0</v>
      </c>
      <c r="R726">
        <f t="shared" si="980"/>
        <v>0</v>
      </c>
      <c r="S726">
        <f t="shared" si="265"/>
        <v>0</v>
      </c>
      <c r="U726" s="8"/>
      <c r="V726">
        <f t="shared" si="9"/>
        <v>0</v>
      </c>
      <c r="W726">
        <f t="shared" si="10"/>
        <v>0</v>
      </c>
      <c r="X726">
        <f t="shared" si="11"/>
        <v>0</v>
      </c>
      <c r="Z726" s="8"/>
      <c r="AA726">
        <f t="shared" si="12"/>
        <v>0</v>
      </c>
      <c r="AB726">
        <f t="shared" si="13"/>
        <v>0</v>
      </c>
      <c r="AC726">
        <f t="shared" si="14"/>
        <v>0</v>
      </c>
    </row>
    <row r="727">
      <c r="O727" s="8"/>
      <c r="P727">
        <f t="shared" ref="P727:R727" si="981">B727+P728</f>
        <v>0</v>
      </c>
      <c r="Q727">
        <f t="shared" si="981"/>
        <v>0</v>
      </c>
      <c r="R727">
        <f t="shared" si="981"/>
        <v>0</v>
      </c>
      <c r="S727">
        <f t="shared" si="265"/>
        <v>0</v>
      </c>
      <c r="U727" s="8"/>
      <c r="V727">
        <f t="shared" si="9"/>
        <v>0</v>
      </c>
      <c r="W727">
        <f t="shared" si="10"/>
        <v>0</v>
      </c>
      <c r="X727">
        <f t="shared" si="11"/>
        <v>0</v>
      </c>
      <c r="Z727" s="8"/>
      <c r="AA727">
        <f t="shared" si="12"/>
        <v>0</v>
      </c>
      <c r="AB727">
        <f t="shared" si="13"/>
        <v>0</v>
      </c>
      <c r="AC727">
        <f t="shared" si="14"/>
        <v>0</v>
      </c>
    </row>
    <row r="728">
      <c r="O728" s="8"/>
      <c r="P728">
        <f t="shared" ref="P728:R728" si="982">B728+P729</f>
        <v>0</v>
      </c>
      <c r="Q728">
        <f t="shared" si="982"/>
        <v>0</v>
      </c>
      <c r="R728">
        <f t="shared" si="982"/>
        <v>0</v>
      </c>
      <c r="S728">
        <f t="shared" si="265"/>
        <v>0</v>
      </c>
      <c r="U728" s="8"/>
      <c r="V728">
        <f t="shared" si="9"/>
        <v>0</v>
      </c>
      <c r="W728">
        <f t="shared" si="10"/>
        <v>0</v>
      </c>
      <c r="X728">
        <f t="shared" si="11"/>
        <v>0</v>
      </c>
      <c r="Z728" s="8"/>
      <c r="AA728">
        <f t="shared" si="12"/>
        <v>0</v>
      </c>
      <c r="AB728">
        <f t="shared" si="13"/>
        <v>0</v>
      </c>
      <c r="AC728">
        <f t="shared" si="14"/>
        <v>0</v>
      </c>
    </row>
    <row r="729">
      <c r="O729" s="8"/>
      <c r="P729">
        <f t="shared" ref="P729:R729" si="983">B729+P730</f>
        <v>0</v>
      </c>
      <c r="Q729">
        <f t="shared" si="983"/>
        <v>0</v>
      </c>
      <c r="R729">
        <f t="shared" si="983"/>
        <v>0</v>
      </c>
      <c r="S729">
        <f t="shared" si="265"/>
        <v>0</v>
      </c>
      <c r="U729" s="8"/>
      <c r="V729">
        <f t="shared" si="9"/>
        <v>0</v>
      </c>
      <c r="W729">
        <f t="shared" si="10"/>
        <v>0</v>
      </c>
      <c r="X729">
        <f t="shared" si="11"/>
        <v>0</v>
      </c>
      <c r="Z729" s="8"/>
      <c r="AA729">
        <f t="shared" si="12"/>
        <v>0</v>
      </c>
      <c r="AB729">
        <f t="shared" si="13"/>
        <v>0</v>
      </c>
      <c r="AC729">
        <f t="shared" si="14"/>
        <v>0</v>
      </c>
    </row>
    <row r="730">
      <c r="O730" s="8"/>
      <c r="P730">
        <f t="shared" ref="P730:R730" si="984">B730+P731</f>
        <v>0</v>
      </c>
      <c r="Q730">
        <f t="shared" si="984"/>
        <v>0</v>
      </c>
      <c r="R730">
        <f t="shared" si="984"/>
        <v>0</v>
      </c>
      <c r="S730">
        <f t="shared" si="265"/>
        <v>0</v>
      </c>
      <c r="U730" s="8"/>
      <c r="V730">
        <f t="shared" si="9"/>
        <v>0</v>
      </c>
      <c r="W730">
        <f t="shared" si="10"/>
        <v>0</v>
      </c>
      <c r="X730">
        <f t="shared" si="11"/>
        <v>0</v>
      </c>
      <c r="Z730" s="8"/>
      <c r="AA730">
        <f t="shared" si="12"/>
        <v>0</v>
      </c>
      <c r="AB730">
        <f t="shared" si="13"/>
        <v>0</v>
      </c>
      <c r="AC730">
        <f t="shared" si="14"/>
        <v>0</v>
      </c>
    </row>
    <row r="731">
      <c r="O731" s="8"/>
      <c r="P731">
        <f t="shared" ref="P731:R731" si="985">B731+P732</f>
        <v>0</v>
      </c>
      <c r="Q731">
        <f t="shared" si="985"/>
        <v>0</v>
      </c>
      <c r="R731">
        <f t="shared" si="985"/>
        <v>0</v>
      </c>
      <c r="S731">
        <f t="shared" si="265"/>
        <v>0</v>
      </c>
      <c r="U731" s="8"/>
      <c r="V731">
        <f t="shared" si="9"/>
        <v>0</v>
      </c>
      <c r="W731">
        <f t="shared" si="10"/>
        <v>0</v>
      </c>
      <c r="X731">
        <f t="shared" si="11"/>
        <v>0</v>
      </c>
      <c r="Z731" s="8"/>
      <c r="AA731">
        <f t="shared" si="12"/>
        <v>0</v>
      </c>
      <c r="AB731">
        <f t="shared" si="13"/>
        <v>0</v>
      </c>
      <c r="AC731">
        <f t="shared" si="14"/>
        <v>0</v>
      </c>
    </row>
    <row r="732">
      <c r="O732" s="8"/>
      <c r="P732">
        <f t="shared" ref="P732:R732" si="986">B732+P733</f>
        <v>0</v>
      </c>
      <c r="Q732">
        <f t="shared" si="986"/>
        <v>0</v>
      </c>
      <c r="R732">
        <f t="shared" si="986"/>
        <v>0</v>
      </c>
      <c r="S732">
        <f t="shared" si="265"/>
        <v>0</v>
      </c>
      <c r="U732" s="8"/>
      <c r="V732">
        <f t="shared" si="9"/>
        <v>0</v>
      </c>
      <c r="W732">
        <f t="shared" si="10"/>
        <v>0</v>
      </c>
      <c r="X732">
        <f t="shared" si="11"/>
        <v>0</v>
      </c>
      <c r="Z732" s="8"/>
      <c r="AA732">
        <f t="shared" si="12"/>
        <v>0</v>
      </c>
      <c r="AB732">
        <f t="shared" si="13"/>
        <v>0</v>
      </c>
      <c r="AC732">
        <f t="shared" si="14"/>
        <v>0</v>
      </c>
    </row>
    <row r="733">
      <c r="O733" s="8"/>
      <c r="P733">
        <f t="shared" ref="P733:R733" si="987">B733+P734</f>
        <v>0</v>
      </c>
      <c r="Q733">
        <f t="shared" si="987"/>
        <v>0</v>
      </c>
      <c r="R733">
        <f t="shared" si="987"/>
        <v>0</v>
      </c>
      <c r="S733">
        <f t="shared" si="265"/>
        <v>0</v>
      </c>
      <c r="U733" s="8"/>
      <c r="V733">
        <f t="shared" si="9"/>
        <v>0</v>
      </c>
      <c r="W733">
        <f t="shared" si="10"/>
        <v>0</v>
      </c>
      <c r="X733">
        <f t="shared" si="11"/>
        <v>0</v>
      </c>
      <c r="Z733" s="8"/>
      <c r="AA733">
        <f t="shared" si="12"/>
        <v>0</v>
      </c>
      <c r="AB733">
        <f t="shared" si="13"/>
        <v>0</v>
      </c>
      <c r="AC733">
        <f t="shared" si="14"/>
        <v>0</v>
      </c>
    </row>
    <row r="734">
      <c r="O734" s="8"/>
      <c r="P734">
        <f t="shared" ref="P734:R734" si="988">B734+P735</f>
        <v>0</v>
      </c>
      <c r="Q734">
        <f t="shared" si="988"/>
        <v>0</v>
      </c>
      <c r="R734">
        <f t="shared" si="988"/>
        <v>0</v>
      </c>
      <c r="S734">
        <f t="shared" si="265"/>
        <v>0</v>
      </c>
      <c r="U734" s="8"/>
      <c r="V734">
        <f t="shared" si="9"/>
        <v>0</v>
      </c>
      <c r="W734">
        <f t="shared" si="10"/>
        <v>0</v>
      </c>
      <c r="X734">
        <f t="shared" si="11"/>
        <v>0</v>
      </c>
      <c r="Z734" s="8"/>
      <c r="AA734">
        <f t="shared" si="12"/>
        <v>0</v>
      </c>
      <c r="AB734">
        <f t="shared" si="13"/>
        <v>0</v>
      </c>
      <c r="AC734">
        <f t="shared" si="14"/>
        <v>0</v>
      </c>
    </row>
    <row r="735">
      <c r="O735" s="8"/>
      <c r="P735">
        <f t="shared" ref="P735:R735" si="989">B735+P736</f>
        <v>0</v>
      </c>
      <c r="Q735">
        <f t="shared" si="989"/>
        <v>0</v>
      </c>
      <c r="R735">
        <f t="shared" si="989"/>
        <v>0</v>
      </c>
      <c r="S735">
        <f t="shared" si="265"/>
        <v>0</v>
      </c>
      <c r="U735" s="8"/>
      <c r="V735">
        <f t="shared" si="9"/>
        <v>0</v>
      </c>
      <c r="W735">
        <f t="shared" si="10"/>
        <v>0</v>
      </c>
      <c r="X735">
        <f t="shared" si="11"/>
        <v>0</v>
      </c>
      <c r="Z735" s="8"/>
      <c r="AA735">
        <f t="shared" si="12"/>
        <v>0</v>
      </c>
      <c r="AB735">
        <f t="shared" si="13"/>
        <v>0</v>
      </c>
      <c r="AC735">
        <f t="shared" si="14"/>
        <v>0</v>
      </c>
    </row>
    <row r="736">
      <c r="O736" s="8"/>
      <c r="P736">
        <f t="shared" ref="P736:R736" si="990">B736+P737</f>
        <v>0</v>
      </c>
      <c r="Q736">
        <f t="shared" si="990"/>
        <v>0</v>
      </c>
      <c r="R736">
        <f t="shared" si="990"/>
        <v>0</v>
      </c>
      <c r="S736">
        <f t="shared" si="265"/>
        <v>0</v>
      </c>
      <c r="U736" s="8"/>
      <c r="V736">
        <f t="shared" si="9"/>
        <v>0</v>
      </c>
      <c r="W736">
        <f t="shared" si="10"/>
        <v>0</v>
      </c>
      <c r="X736">
        <f t="shared" si="11"/>
        <v>0</v>
      </c>
      <c r="Z736" s="8"/>
      <c r="AA736">
        <f t="shared" si="12"/>
        <v>0</v>
      </c>
      <c r="AB736">
        <f t="shared" si="13"/>
        <v>0</v>
      </c>
      <c r="AC736">
        <f t="shared" si="14"/>
        <v>0</v>
      </c>
    </row>
    <row r="737">
      <c r="O737" s="8"/>
      <c r="P737">
        <f t="shared" ref="P737:R737" si="991">B737+P738</f>
        <v>0</v>
      </c>
      <c r="Q737">
        <f t="shared" si="991"/>
        <v>0</v>
      </c>
      <c r="R737">
        <f t="shared" si="991"/>
        <v>0</v>
      </c>
      <c r="S737">
        <f t="shared" si="265"/>
        <v>0</v>
      </c>
      <c r="U737" s="8"/>
      <c r="V737">
        <f t="shared" si="9"/>
        <v>0</v>
      </c>
      <c r="W737">
        <f t="shared" si="10"/>
        <v>0</v>
      </c>
      <c r="X737">
        <f t="shared" si="11"/>
        <v>0</v>
      </c>
      <c r="Z737" s="8"/>
      <c r="AA737">
        <f t="shared" si="12"/>
        <v>0</v>
      </c>
      <c r="AB737">
        <f t="shared" si="13"/>
        <v>0</v>
      </c>
      <c r="AC737">
        <f t="shared" si="14"/>
        <v>0</v>
      </c>
    </row>
    <row r="738">
      <c r="O738" s="8"/>
      <c r="P738">
        <f t="shared" ref="P738:R738" si="992">B738+P739</f>
        <v>0</v>
      </c>
      <c r="Q738">
        <f t="shared" si="992"/>
        <v>0</v>
      </c>
      <c r="R738">
        <f t="shared" si="992"/>
        <v>0</v>
      </c>
      <c r="S738">
        <f t="shared" si="265"/>
        <v>0</v>
      </c>
      <c r="U738" s="8"/>
      <c r="V738">
        <f t="shared" si="9"/>
        <v>0</v>
      </c>
      <c r="W738">
        <f t="shared" si="10"/>
        <v>0</v>
      </c>
      <c r="X738">
        <f t="shared" si="11"/>
        <v>0</v>
      </c>
      <c r="Z738" s="8"/>
      <c r="AA738">
        <f t="shared" si="12"/>
        <v>0</v>
      </c>
      <c r="AB738">
        <f t="shared" si="13"/>
        <v>0</v>
      </c>
      <c r="AC738">
        <f t="shared" si="14"/>
        <v>0</v>
      </c>
    </row>
    <row r="739">
      <c r="O739" s="8"/>
      <c r="P739">
        <f t="shared" ref="P739:R739" si="993">B739+P740</f>
        <v>0</v>
      </c>
      <c r="Q739">
        <f t="shared" si="993"/>
        <v>0</v>
      </c>
      <c r="R739">
        <f t="shared" si="993"/>
        <v>0</v>
      </c>
      <c r="S739">
        <f t="shared" si="265"/>
        <v>0</v>
      </c>
      <c r="U739" s="8"/>
      <c r="V739">
        <f t="shared" si="9"/>
        <v>0</v>
      </c>
      <c r="W739">
        <f t="shared" si="10"/>
        <v>0</v>
      </c>
      <c r="X739">
        <f t="shared" si="11"/>
        <v>0</v>
      </c>
      <c r="Z739" s="8"/>
      <c r="AA739">
        <f t="shared" si="12"/>
        <v>0</v>
      </c>
      <c r="AB739">
        <f t="shared" si="13"/>
        <v>0</v>
      </c>
      <c r="AC739">
        <f t="shared" si="14"/>
        <v>0</v>
      </c>
    </row>
    <row r="740">
      <c r="O740" s="8"/>
      <c r="P740">
        <f t="shared" ref="P740:R740" si="994">B740+P741</f>
        <v>0</v>
      </c>
      <c r="Q740">
        <f t="shared" si="994"/>
        <v>0</v>
      </c>
      <c r="R740">
        <f t="shared" si="994"/>
        <v>0</v>
      </c>
      <c r="S740">
        <f t="shared" si="265"/>
        <v>0</v>
      </c>
      <c r="U740" s="8"/>
      <c r="V740">
        <f t="shared" si="9"/>
        <v>0</v>
      </c>
      <c r="W740">
        <f t="shared" si="10"/>
        <v>0</v>
      </c>
      <c r="X740">
        <f t="shared" si="11"/>
        <v>0</v>
      </c>
      <c r="Z740" s="8"/>
      <c r="AA740">
        <f t="shared" si="12"/>
        <v>0</v>
      </c>
      <c r="AB740">
        <f t="shared" si="13"/>
        <v>0</v>
      </c>
      <c r="AC740">
        <f t="shared" si="14"/>
        <v>0</v>
      </c>
    </row>
    <row r="741">
      <c r="O741" s="8"/>
      <c r="P741">
        <f t="shared" ref="P741:R741" si="995">B741+P742</f>
        <v>0</v>
      </c>
      <c r="Q741">
        <f t="shared" si="995"/>
        <v>0</v>
      </c>
      <c r="R741">
        <f t="shared" si="995"/>
        <v>0</v>
      </c>
      <c r="S741">
        <f t="shared" si="265"/>
        <v>0</v>
      </c>
      <c r="U741" s="8"/>
      <c r="V741">
        <f t="shared" si="9"/>
        <v>0</v>
      </c>
      <c r="W741">
        <f t="shared" si="10"/>
        <v>0</v>
      </c>
      <c r="X741">
        <f t="shared" si="11"/>
        <v>0</v>
      </c>
      <c r="Z741" s="8"/>
      <c r="AA741">
        <f t="shared" si="12"/>
        <v>0</v>
      </c>
      <c r="AB741">
        <f t="shared" si="13"/>
        <v>0</v>
      </c>
      <c r="AC741">
        <f t="shared" si="14"/>
        <v>0</v>
      </c>
    </row>
    <row r="742">
      <c r="O742" s="8"/>
      <c r="P742">
        <f t="shared" ref="P742:R742" si="996">B742+P743</f>
        <v>0</v>
      </c>
      <c r="Q742">
        <f t="shared" si="996"/>
        <v>0</v>
      </c>
      <c r="R742">
        <f t="shared" si="996"/>
        <v>0</v>
      </c>
      <c r="S742">
        <f t="shared" si="265"/>
        <v>0</v>
      </c>
      <c r="U742" s="8"/>
      <c r="V742">
        <f t="shared" si="9"/>
        <v>0</v>
      </c>
      <c r="W742">
        <f t="shared" si="10"/>
        <v>0</v>
      </c>
      <c r="X742">
        <f t="shared" si="11"/>
        <v>0</v>
      </c>
      <c r="Z742" s="8"/>
      <c r="AA742">
        <f t="shared" si="12"/>
        <v>0</v>
      </c>
      <c r="AB742">
        <f t="shared" si="13"/>
        <v>0</v>
      </c>
      <c r="AC742">
        <f t="shared" si="14"/>
        <v>0</v>
      </c>
    </row>
    <row r="743">
      <c r="O743" s="8"/>
      <c r="P743">
        <f t="shared" ref="P743:R743" si="997">B743+P744</f>
        <v>0</v>
      </c>
      <c r="Q743">
        <f t="shared" si="997"/>
        <v>0</v>
      </c>
      <c r="R743">
        <f t="shared" si="997"/>
        <v>0</v>
      </c>
      <c r="S743">
        <f t="shared" si="265"/>
        <v>0</v>
      </c>
      <c r="U743" s="8"/>
      <c r="V743">
        <f t="shared" si="9"/>
        <v>0</v>
      </c>
      <c r="W743">
        <f t="shared" si="10"/>
        <v>0</v>
      </c>
      <c r="X743">
        <f t="shared" si="11"/>
        <v>0</v>
      </c>
      <c r="Z743" s="8"/>
      <c r="AA743">
        <f t="shared" si="12"/>
        <v>0</v>
      </c>
      <c r="AB743">
        <f t="shared" si="13"/>
        <v>0</v>
      </c>
      <c r="AC743">
        <f t="shared" si="14"/>
        <v>0</v>
      </c>
    </row>
    <row r="744">
      <c r="O744" s="8"/>
      <c r="P744">
        <f t="shared" ref="P744:R744" si="998">B744+P745</f>
        <v>0</v>
      </c>
      <c r="Q744">
        <f t="shared" si="998"/>
        <v>0</v>
      </c>
      <c r="R744">
        <f t="shared" si="998"/>
        <v>0</v>
      </c>
      <c r="S744">
        <f t="shared" si="265"/>
        <v>0</v>
      </c>
      <c r="U744" s="8"/>
      <c r="V744">
        <f t="shared" si="9"/>
        <v>0</v>
      </c>
      <c r="W744">
        <f t="shared" si="10"/>
        <v>0</v>
      </c>
      <c r="X744">
        <f t="shared" si="11"/>
        <v>0</v>
      </c>
      <c r="Z744" s="8"/>
      <c r="AA744">
        <f t="shared" si="12"/>
        <v>0</v>
      </c>
      <c r="AB744">
        <f t="shared" si="13"/>
        <v>0</v>
      </c>
      <c r="AC744">
        <f t="shared" si="14"/>
        <v>0</v>
      </c>
    </row>
    <row r="745">
      <c r="O745" s="8"/>
      <c r="P745">
        <f t="shared" ref="P745:R745" si="999">B745+P746</f>
        <v>0</v>
      </c>
      <c r="Q745">
        <f t="shared" si="999"/>
        <v>0</v>
      </c>
      <c r="R745">
        <f t="shared" si="999"/>
        <v>0</v>
      </c>
      <c r="S745">
        <f t="shared" si="265"/>
        <v>0</v>
      </c>
      <c r="U745" s="8"/>
      <c r="V745">
        <f t="shared" si="9"/>
        <v>0</v>
      </c>
      <c r="W745">
        <f t="shared" si="10"/>
        <v>0</v>
      </c>
      <c r="X745">
        <f t="shared" si="11"/>
        <v>0</v>
      </c>
      <c r="Z745" s="8"/>
      <c r="AA745">
        <f t="shared" si="12"/>
        <v>0</v>
      </c>
      <c r="AB745">
        <f t="shared" si="13"/>
        <v>0</v>
      </c>
      <c r="AC745">
        <f t="shared" si="14"/>
        <v>0</v>
      </c>
    </row>
    <row r="746">
      <c r="O746" s="8"/>
      <c r="P746">
        <f t="shared" ref="P746:R746" si="1000">B746+P747</f>
        <v>0</v>
      </c>
      <c r="Q746">
        <f t="shared" si="1000"/>
        <v>0</v>
      </c>
      <c r="R746">
        <f t="shared" si="1000"/>
        <v>0</v>
      </c>
      <c r="S746">
        <f t="shared" si="265"/>
        <v>0</v>
      </c>
      <c r="U746" s="8"/>
      <c r="V746">
        <f t="shared" si="9"/>
        <v>0</v>
      </c>
      <c r="W746">
        <f t="shared" si="10"/>
        <v>0</v>
      </c>
      <c r="X746">
        <f t="shared" si="11"/>
        <v>0</v>
      </c>
      <c r="Z746" s="8"/>
      <c r="AA746">
        <f t="shared" si="12"/>
        <v>0</v>
      </c>
      <c r="AB746">
        <f t="shared" si="13"/>
        <v>0</v>
      </c>
      <c r="AC746">
        <f t="shared" si="14"/>
        <v>0</v>
      </c>
    </row>
    <row r="747">
      <c r="O747" s="8"/>
      <c r="P747">
        <f t="shared" ref="P747:R747" si="1001">B747+P748</f>
        <v>0</v>
      </c>
      <c r="Q747">
        <f t="shared" si="1001"/>
        <v>0</v>
      </c>
      <c r="R747">
        <f t="shared" si="1001"/>
        <v>0</v>
      </c>
      <c r="S747">
        <f t="shared" si="265"/>
        <v>0</v>
      </c>
      <c r="U747" s="8"/>
      <c r="V747">
        <f t="shared" si="9"/>
        <v>0</v>
      </c>
      <c r="W747">
        <f t="shared" si="10"/>
        <v>0</v>
      </c>
      <c r="X747">
        <f t="shared" si="11"/>
        <v>0</v>
      </c>
      <c r="Z747" s="8"/>
      <c r="AA747">
        <f t="shared" si="12"/>
        <v>0</v>
      </c>
      <c r="AB747">
        <f t="shared" si="13"/>
        <v>0</v>
      </c>
      <c r="AC747">
        <f t="shared" si="14"/>
        <v>0</v>
      </c>
    </row>
    <row r="748">
      <c r="O748" s="8"/>
      <c r="P748">
        <f t="shared" ref="P748:R748" si="1002">B748+P749</f>
        <v>0</v>
      </c>
      <c r="Q748">
        <f t="shared" si="1002"/>
        <v>0</v>
      </c>
      <c r="R748">
        <f t="shared" si="1002"/>
        <v>0</v>
      </c>
      <c r="S748">
        <f t="shared" si="265"/>
        <v>0</v>
      </c>
      <c r="U748" s="8"/>
      <c r="V748">
        <f t="shared" si="9"/>
        <v>0</v>
      </c>
      <c r="W748">
        <f t="shared" si="10"/>
        <v>0</v>
      </c>
      <c r="X748">
        <f t="shared" si="11"/>
        <v>0</v>
      </c>
      <c r="Z748" s="8"/>
      <c r="AA748">
        <f t="shared" si="12"/>
        <v>0</v>
      </c>
      <c r="AB748">
        <f t="shared" si="13"/>
        <v>0</v>
      </c>
      <c r="AC748">
        <f t="shared" si="14"/>
        <v>0</v>
      </c>
    </row>
    <row r="749">
      <c r="O749" s="8"/>
      <c r="P749">
        <f t="shared" ref="P749:R749" si="1003">B749+P750</f>
        <v>0</v>
      </c>
      <c r="Q749">
        <f t="shared" si="1003"/>
        <v>0</v>
      </c>
      <c r="R749">
        <f t="shared" si="1003"/>
        <v>0</v>
      </c>
      <c r="S749">
        <f t="shared" si="265"/>
        <v>0</v>
      </c>
      <c r="U749" s="8"/>
      <c r="V749">
        <f t="shared" si="9"/>
        <v>0</v>
      </c>
      <c r="W749">
        <f t="shared" si="10"/>
        <v>0</v>
      </c>
      <c r="X749">
        <f t="shared" si="11"/>
        <v>0</v>
      </c>
      <c r="Z749" s="8"/>
      <c r="AA749">
        <f t="shared" si="12"/>
        <v>0</v>
      </c>
      <c r="AB749">
        <f t="shared" si="13"/>
        <v>0</v>
      </c>
      <c r="AC749">
        <f t="shared" si="14"/>
        <v>0</v>
      </c>
    </row>
    <row r="750">
      <c r="O750" s="8"/>
      <c r="P750">
        <f t="shared" ref="P750:R750" si="1004">B750+P751</f>
        <v>0</v>
      </c>
      <c r="Q750">
        <f t="shared" si="1004"/>
        <v>0</v>
      </c>
      <c r="R750">
        <f t="shared" si="1004"/>
        <v>0</v>
      </c>
      <c r="S750">
        <f t="shared" si="265"/>
        <v>0</v>
      </c>
      <c r="U750" s="8"/>
      <c r="V750">
        <f t="shared" si="9"/>
        <v>0</v>
      </c>
      <c r="W750">
        <f t="shared" si="10"/>
        <v>0</v>
      </c>
      <c r="X750">
        <f t="shared" si="11"/>
        <v>0</v>
      </c>
      <c r="Z750" s="8"/>
      <c r="AA750">
        <f t="shared" si="12"/>
        <v>0</v>
      </c>
      <c r="AB750">
        <f t="shared" si="13"/>
        <v>0</v>
      </c>
      <c r="AC750">
        <f t="shared" si="14"/>
        <v>0</v>
      </c>
    </row>
    <row r="751">
      <c r="O751" s="8"/>
      <c r="P751">
        <f t="shared" ref="P751:R751" si="1005">B751+P752</f>
        <v>0</v>
      </c>
      <c r="Q751">
        <f t="shared" si="1005"/>
        <v>0</v>
      </c>
      <c r="R751">
        <f t="shared" si="1005"/>
        <v>0</v>
      </c>
      <c r="S751">
        <f t="shared" si="265"/>
        <v>0</v>
      </c>
      <c r="U751" s="8"/>
      <c r="V751">
        <f t="shared" si="9"/>
        <v>0</v>
      </c>
      <c r="W751">
        <f t="shared" si="10"/>
        <v>0</v>
      </c>
      <c r="X751">
        <f t="shared" si="11"/>
        <v>0</v>
      </c>
      <c r="Z751" s="8"/>
      <c r="AA751">
        <f t="shared" si="12"/>
        <v>0</v>
      </c>
      <c r="AB751">
        <f t="shared" si="13"/>
        <v>0</v>
      </c>
      <c r="AC751">
        <f t="shared" si="14"/>
        <v>0</v>
      </c>
    </row>
    <row r="752">
      <c r="O752" s="8"/>
      <c r="P752">
        <f t="shared" ref="P752:R752" si="1006">B752+P753</f>
        <v>0</v>
      </c>
      <c r="Q752">
        <f t="shared" si="1006"/>
        <v>0</v>
      </c>
      <c r="R752">
        <f t="shared" si="1006"/>
        <v>0</v>
      </c>
      <c r="S752">
        <f t="shared" si="265"/>
        <v>0</v>
      </c>
      <c r="U752" s="8"/>
      <c r="V752">
        <f t="shared" si="9"/>
        <v>0</v>
      </c>
      <c r="W752">
        <f t="shared" si="10"/>
        <v>0</v>
      </c>
      <c r="X752">
        <f t="shared" si="11"/>
        <v>0</v>
      </c>
      <c r="Z752" s="8"/>
      <c r="AA752">
        <f t="shared" si="12"/>
        <v>0</v>
      </c>
      <c r="AB752">
        <f t="shared" si="13"/>
        <v>0</v>
      </c>
      <c r="AC752">
        <f t="shared" si="14"/>
        <v>0</v>
      </c>
    </row>
    <row r="753">
      <c r="O753" s="8"/>
      <c r="P753">
        <f t="shared" ref="P753:R753" si="1007">B753+P754</f>
        <v>0</v>
      </c>
      <c r="Q753">
        <f t="shared" si="1007"/>
        <v>0</v>
      </c>
      <c r="R753">
        <f t="shared" si="1007"/>
        <v>0</v>
      </c>
      <c r="S753">
        <f t="shared" si="265"/>
        <v>0</v>
      </c>
      <c r="U753" s="8"/>
      <c r="V753">
        <f t="shared" si="9"/>
        <v>0</v>
      </c>
      <c r="W753">
        <f t="shared" si="10"/>
        <v>0</v>
      </c>
      <c r="X753">
        <f t="shared" si="11"/>
        <v>0</v>
      </c>
      <c r="Z753" s="8"/>
      <c r="AA753">
        <f t="shared" si="12"/>
        <v>0</v>
      </c>
      <c r="AB753">
        <f t="shared" si="13"/>
        <v>0</v>
      </c>
      <c r="AC753">
        <f t="shared" si="14"/>
        <v>0</v>
      </c>
    </row>
    <row r="754">
      <c r="O754" s="8"/>
      <c r="P754">
        <f t="shared" ref="P754:R754" si="1008">B754+P755</f>
        <v>0</v>
      </c>
      <c r="Q754">
        <f t="shared" si="1008"/>
        <v>0</v>
      </c>
      <c r="R754">
        <f t="shared" si="1008"/>
        <v>0</v>
      </c>
      <c r="S754">
        <f t="shared" si="265"/>
        <v>0</v>
      </c>
      <c r="U754" s="8"/>
      <c r="V754">
        <f t="shared" si="9"/>
        <v>0</v>
      </c>
      <c r="W754">
        <f t="shared" si="10"/>
        <v>0</v>
      </c>
      <c r="X754">
        <f t="shared" si="11"/>
        <v>0</v>
      </c>
      <c r="Z754" s="8"/>
      <c r="AA754">
        <f t="shared" si="12"/>
        <v>0</v>
      </c>
      <c r="AB754">
        <f t="shared" si="13"/>
        <v>0</v>
      </c>
      <c r="AC754">
        <f t="shared" si="14"/>
        <v>0</v>
      </c>
    </row>
    <row r="755">
      <c r="O755" s="8"/>
      <c r="P755">
        <f t="shared" ref="P755:R755" si="1009">B755+P756</f>
        <v>0</v>
      </c>
      <c r="Q755">
        <f t="shared" si="1009"/>
        <v>0</v>
      </c>
      <c r="R755">
        <f t="shared" si="1009"/>
        <v>0</v>
      </c>
      <c r="S755">
        <f t="shared" si="265"/>
        <v>0</v>
      </c>
      <c r="U755" s="8"/>
      <c r="V755">
        <f t="shared" si="9"/>
        <v>0</v>
      </c>
      <c r="W755">
        <f t="shared" si="10"/>
        <v>0</v>
      </c>
      <c r="X755">
        <f t="shared" si="11"/>
        <v>0</v>
      </c>
      <c r="Z755" s="8"/>
      <c r="AA755">
        <f t="shared" si="12"/>
        <v>0</v>
      </c>
      <c r="AB755">
        <f t="shared" si="13"/>
        <v>0</v>
      </c>
      <c r="AC755">
        <f t="shared" si="14"/>
        <v>0</v>
      </c>
    </row>
    <row r="756">
      <c r="O756" s="8"/>
      <c r="P756">
        <f t="shared" ref="P756:R756" si="1010">B756+P757</f>
        <v>0</v>
      </c>
      <c r="Q756">
        <f t="shared" si="1010"/>
        <v>0</v>
      </c>
      <c r="R756">
        <f t="shared" si="1010"/>
        <v>0</v>
      </c>
      <c r="S756">
        <f t="shared" si="265"/>
        <v>0</v>
      </c>
      <c r="U756" s="8"/>
      <c r="V756">
        <f t="shared" si="9"/>
        <v>0</v>
      </c>
      <c r="W756">
        <f t="shared" si="10"/>
        <v>0</v>
      </c>
      <c r="X756">
        <f t="shared" si="11"/>
        <v>0</v>
      </c>
      <c r="Z756" s="8"/>
      <c r="AA756">
        <f t="shared" si="12"/>
        <v>0</v>
      </c>
      <c r="AB756">
        <f t="shared" si="13"/>
        <v>0</v>
      </c>
      <c r="AC756">
        <f t="shared" si="14"/>
        <v>0</v>
      </c>
    </row>
    <row r="757">
      <c r="O757" s="8"/>
      <c r="P757">
        <f t="shared" ref="P757:R757" si="1011">B757+P758</f>
        <v>0</v>
      </c>
      <c r="Q757">
        <f t="shared" si="1011"/>
        <v>0</v>
      </c>
      <c r="R757">
        <f t="shared" si="1011"/>
        <v>0</v>
      </c>
      <c r="S757">
        <f t="shared" si="265"/>
        <v>0</v>
      </c>
      <c r="U757" s="8"/>
      <c r="V757">
        <f t="shared" si="9"/>
        <v>0</v>
      </c>
      <c r="W757">
        <f t="shared" si="10"/>
        <v>0</v>
      </c>
      <c r="X757">
        <f t="shared" si="11"/>
        <v>0</v>
      </c>
      <c r="Z757" s="8"/>
      <c r="AA757">
        <f t="shared" si="12"/>
        <v>0</v>
      </c>
      <c r="AB757">
        <f t="shared" si="13"/>
        <v>0</v>
      </c>
      <c r="AC757">
        <f t="shared" si="14"/>
        <v>0</v>
      </c>
    </row>
    <row r="758">
      <c r="O758" s="8"/>
      <c r="P758">
        <f t="shared" ref="P758:R758" si="1012">B758+P759</f>
        <v>0</v>
      </c>
      <c r="Q758">
        <f t="shared" si="1012"/>
        <v>0</v>
      </c>
      <c r="R758">
        <f t="shared" si="1012"/>
        <v>0</v>
      </c>
      <c r="S758">
        <f t="shared" si="265"/>
        <v>0</v>
      </c>
      <c r="U758" s="8"/>
      <c r="V758">
        <f t="shared" si="9"/>
        <v>0</v>
      </c>
      <c r="W758">
        <f t="shared" si="10"/>
        <v>0</v>
      </c>
      <c r="X758">
        <f t="shared" si="11"/>
        <v>0</v>
      </c>
      <c r="Z758" s="8"/>
      <c r="AA758">
        <f t="shared" si="12"/>
        <v>0</v>
      </c>
      <c r="AB758">
        <f t="shared" si="13"/>
        <v>0</v>
      </c>
      <c r="AC758">
        <f t="shared" si="14"/>
        <v>0</v>
      </c>
    </row>
    <row r="759">
      <c r="O759" s="8"/>
      <c r="P759">
        <f t="shared" ref="P759:R759" si="1013">B759+P760</f>
        <v>0</v>
      </c>
      <c r="Q759">
        <f t="shared" si="1013"/>
        <v>0</v>
      </c>
      <c r="R759">
        <f t="shared" si="1013"/>
        <v>0</v>
      </c>
      <c r="S759">
        <f t="shared" si="265"/>
        <v>0</v>
      </c>
      <c r="U759" s="8"/>
      <c r="V759">
        <f t="shared" si="9"/>
        <v>0</v>
      </c>
      <c r="W759">
        <f t="shared" si="10"/>
        <v>0</v>
      </c>
      <c r="X759">
        <f t="shared" si="11"/>
        <v>0</v>
      </c>
      <c r="Z759" s="8"/>
      <c r="AA759">
        <f t="shared" si="12"/>
        <v>0</v>
      </c>
      <c r="AB759">
        <f t="shared" si="13"/>
        <v>0</v>
      </c>
      <c r="AC759">
        <f t="shared" si="14"/>
        <v>0</v>
      </c>
    </row>
    <row r="760">
      <c r="O760" s="8"/>
      <c r="P760">
        <f t="shared" ref="P760:R760" si="1014">B760+P761</f>
        <v>0</v>
      </c>
      <c r="Q760">
        <f t="shared" si="1014"/>
        <v>0</v>
      </c>
      <c r="R760">
        <f t="shared" si="1014"/>
        <v>0</v>
      </c>
      <c r="S760">
        <f t="shared" si="265"/>
        <v>0</v>
      </c>
      <c r="U760" s="8"/>
      <c r="V760">
        <f t="shared" si="9"/>
        <v>0</v>
      </c>
      <c r="W760">
        <f t="shared" si="10"/>
        <v>0</v>
      </c>
      <c r="X760">
        <f t="shared" si="11"/>
        <v>0</v>
      </c>
      <c r="Z760" s="8"/>
      <c r="AA760">
        <f t="shared" si="12"/>
        <v>0</v>
      </c>
      <c r="AB760">
        <f t="shared" si="13"/>
        <v>0</v>
      </c>
      <c r="AC760">
        <f t="shared" si="14"/>
        <v>0</v>
      </c>
    </row>
    <row r="761">
      <c r="O761" s="8"/>
      <c r="P761">
        <f t="shared" ref="P761:R761" si="1015">B761+P762</f>
        <v>0</v>
      </c>
      <c r="Q761">
        <f t="shared" si="1015"/>
        <v>0</v>
      </c>
      <c r="R761">
        <f t="shared" si="1015"/>
        <v>0</v>
      </c>
      <c r="S761">
        <f t="shared" si="265"/>
        <v>0</v>
      </c>
      <c r="U761" s="8"/>
      <c r="V761">
        <f t="shared" si="9"/>
        <v>0</v>
      </c>
      <c r="W761">
        <f t="shared" si="10"/>
        <v>0</v>
      </c>
      <c r="X761">
        <f t="shared" si="11"/>
        <v>0</v>
      </c>
      <c r="Z761" s="8"/>
      <c r="AA761">
        <f t="shared" si="12"/>
        <v>0</v>
      </c>
      <c r="AB761">
        <f t="shared" si="13"/>
        <v>0</v>
      </c>
      <c r="AC761">
        <f t="shared" si="14"/>
        <v>0</v>
      </c>
    </row>
    <row r="762">
      <c r="O762" s="8"/>
      <c r="P762">
        <f t="shared" ref="P762:R762" si="1016">B762+P763</f>
        <v>0</v>
      </c>
      <c r="Q762">
        <f t="shared" si="1016"/>
        <v>0</v>
      </c>
      <c r="R762">
        <f t="shared" si="1016"/>
        <v>0</v>
      </c>
      <c r="S762">
        <f t="shared" si="265"/>
        <v>0</v>
      </c>
      <c r="U762" s="8"/>
      <c r="V762">
        <f t="shared" si="9"/>
        <v>0</v>
      </c>
      <c r="W762">
        <f t="shared" si="10"/>
        <v>0</v>
      </c>
      <c r="X762">
        <f t="shared" si="11"/>
        <v>0</v>
      </c>
      <c r="Z762" s="8"/>
      <c r="AA762">
        <f t="shared" si="12"/>
        <v>0</v>
      </c>
      <c r="AB762">
        <f t="shared" si="13"/>
        <v>0</v>
      </c>
      <c r="AC762">
        <f t="shared" si="14"/>
        <v>0</v>
      </c>
    </row>
    <row r="763">
      <c r="O763" s="8"/>
      <c r="P763">
        <f t="shared" ref="P763:R763" si="1017">B763+P764</f>
        <v>0</v>
      </c>
      <c r="Q763">
        <f t="shared" si="1017"/>
        <v>0</v>
      </c>
      <c r="R763">
        <f t="shared" si="1017"/>
        <v>0</v>
      </c>
      <c r="S763">
        <f t="shared" si="265"/>
        <v>0</v>
      </c>
      <c r="U763" s="8"/>
      <c r="V763">
        <f t="shared" si="9"/>
        <v>0</v>
      </c>
      <c r="W763">
        <f t="shared" si="10"/>
        <v>0</v>
      </c>
      <c r="X763">
        <f t="shared" si="11"/>
        <v>0</v>
      </c>
      <c r="Z763" s="8"/>
      <c r="AA763">
        <f t="shared" si="12"/>
        <v>0</v>
      </c>
      <c r="AB763">
        <f t="shared" si="13"/>
        <v>0</v>
      </c>
      <c r="AC763">
        <f t="shared" si="14"/>
        <v>0</v>
      </c>
    </row>
    <row r="764">
      <c r="O764" s="8"/>
      <c r="P764">
        <f t="shared" ref="P764:R764" si="1018">B764+P765</f>
        <v>0</v>
      </c>
      <c r="Q764">
        <f t="shared" si="1018"/>
        <v>0</v>
      </c>
      <c r="R764">
        <f t="shared" si="1018"/>
        <v>0</v>
      </c>
      <c r="S764">
        <f t="shared" si="265"/>
        <v>0</v>
      </c>
      <c r="U764" s="8"/>
      <c r="V764">
        <f t="shared" si="9"/>
        <v>0</v>
      </c>
      <c r="W764">
        <f t="shared" si="10"/>
        <v>0</v>
      </c>
      <c r="X764">
        <f t="shared" si="11"/>
        <v>0</v>
      </c>
      <c r="Z764" s="8"/>
      <c r="AA764">
        <f t="shared" si="12"/>
        <v>0</v>
      </c>
      <c r="AB764">
        <f t="shared" si="13"/>
        <v>0</v>
      </c>
      <c r="AC764">
        <f t="shared" si="14"/>
        <v>0</v>
      </c>
    </row>
    <row r="765">
      <c r="O765" s="8"/>
      <c r="P765">
        <f t="shared" ref="P765:R765" si="1019">B765+P766</f>
        <v>0</v>
      </c>
      <c r="Q765">
        <f t="shared" si="1019"/>
        <v>0</v>
      </c>
      <c r="R765">
        <f t="shared" si="1019"/>
        <v>0</v>
      </c>
      <c r="S765">
        <f t="shared" si="265"/>
        <v>0</v>
      </c>
      <c r="U765" s="8"/>
      <c r="V765">
        <f t="shared" si="9"/>
        <v>0</v>
      </c>
      <c r="W765">
        <f t="shared" si="10"/>
        <v>0</v>
      </c>
      <c r="X765">
        <f t="shared" si="11"/>
        <v>0</v>
      </c>
      <c r="Z765" s="8"/>
      <c r="AA765">
        <f t="shared" si="12"/>
        <v>0</v>
      </c>
      <c r="AB765">
        <f t="shared" si="13"/>
        <v>0</v>
      </c>
      <c r="AC765">
        <f t="shared" si="14"/>
        <v>0</v>
      </c>
    </row>
    <row r="766">
      <c r="O766" s="8"/>
      <c r="P766">
        <f t="shared" ref="P766:R766" si="1020">B766+P767</f>
        <v>0</v>
      </c>
      <c r="Q766">
        <f t="shared" si="1020"/>
        <v>0</v>
      </c>
      <c r="R766">
        <f t="shared" si="1020"/>
        <v>0</v>
      </c>
      <c r="S766">
        <f t="shared" si="265"/>
        <v>0</v>
      </c>
      <c r="U766" s="8"/>
      <c r="V766">
        <f t="shared" si="9"/>
        <v>0</v>
      </c>
      <c r="W766">
        <f t="shared" si="10"/>
        <v>0</v>
      </c>
      <c r="X766">
        <f t="shared" si="11"/>
        <v>0</v>
      </c>
      <c r="Z766" s="8"/>
      <c r="AA766">
        <f t="shared" si="12"/>
        <v>0</v>
      </c>
      <c r="AB766">
        <f t="shared" si="13"/>
        <v>0</v>
      </c>
      <c r="AC766">
        <f t="shared" si="14"/>
        <v>0</v>
      </c>
    </row>
    <row r="767">
      <c r="O767" s="8"/>
      <c r="P767">
        <f t="shared" ref="P767:R767" si="1021">B767+P768</f>
        <v>0</v>
      </c>
      <c r="Q767">
        <f t="shared" si="1021"/>
        <v>0</v>
      </c>
      <c r="R767">
        <f t="shared" si="1021"/>
        <v>0</v>
      </c>
      <c r="S767">
        <f t="shared" si="265"/>
        <v>0</v>
      </c>
      <c r="U767" s="8"/>
      <c r="V767">
        <f t="shared" si="9"/>
        <v>0</v>
      </c>
      <c r="W767">
        <f t="shared" si="10"/>
        <v>0</v>
      </c>
      <c r="X767">
        <f t="shared" si="11"/>
        <v>0</v>
      </c>
      <c r="Z767" s="8"/>
      <c r="AA767">
        <f t="shared" si="12"/>
        <v>0</v>
      </c>
      <c r="AB767">
        <f t="shared" si="13"/>
        <v>0</v>
      </c>
      <c r="AC767">
        <f t="shared" si="14"/>
        <v>0</v>
      </c>
    </row>
    <row r="768">
      <c r="O768" s="8"/>
      <c r="P768">
        <f t="shared" ref="P768:R768" si="1022">B768+P769</f>
        <v>0</v>
      </c>
      <c r="Q768">
        <f t="shared" si="1022"/>
        <v>0</v>
      </c>
      <c r="R768">
        <f t="shared" si="1022"/>
        <v>0</v>
      </c>
      <c r="S768">
        <f t="shared" si="265"/>
        <v>0</v>
      </c>
      <c r="U768" s="8"/>
      <c r="V768">
        <f t="shared" si="9"/>
        <v>0</v>
      </c>
      <c r="W768">
        <f t="shared" si="10"/>
        <v>0</v>
      </c>
      <c r="X768">
        <f t="shared" si="11"/>
        <v>0</v>
      </c>
      <c r="Z768" s="8"/>
      <c r="AA768">
        <f t="shared" si="12"/>
        <v>0</v>
      </c>
      <c r="AB768">
        <f t="shared" si="13"/>
        <v>0</v>
      </c>
      <c r="AC768">
        <f t="shared" si="14"/>
        <v>0</v>
      </c>
    </row>
    <row r="769">
      <c r="O769" s="8"/>
      <c r="P769">
        <f t="shared" ref="P769:R769" si="1023">B769+P770</f>
        <v>0</v>
      </c>
      <c r="Q769">
        <f t="shared" si="1023"/>
        <v>0</v>
      </c>
      <c r="R769">
        <f t="shared" si="1023"/>
        <v>0</v>
      </c>
      <c r="S769">
        <f t="shared" si="265"/>
        <v>0</v>
      </c>
      <c r="U769" s="8"/>
      <c r="V769">
        <f t="shared" si="9"/>
        <v>0</v>
      </c>
      <c r="W769">
        <f t="shared" si="10"/>
        <v>0</v>
      </c>
      <c r="X769">
        <f t="shared" si="11"/>
        <v>0</v>
      </c>
      <c r="Z769" s="8"/>
      <c r="AA769">
        <f t="shared" si="12"/>
        <v>0</v>
      </c>
      <c r="AB769">
        <f t="shared" si="13"/>
        <v>0</v>
      </c>
      <c r="AC769">
        <f t="shared" si="14"/>
        <v>0</v>
      </c>
    </row>
    <row r="770">
      <c r="O770" s="8"/>
      <c r="P770">
        <f t="shared" ref="P770:R770" si="1024">B770+P771</f>
        <v>0</v>
      </c>
      <c r="Q770">
        <f t="shared" si="1024"/>
        <v>0</v>
      </c>
      <c r="R770">
        <f t="shared" si="1024"/>
        <v>0</v>
      </c>
      <c r="S770">
        <f t="shared" si="265"/>
        <v>0</v>
      </c>
      <c r="U770" s="8"/>
      <c r="V770">
        <f t="shared" si="9"/>
        <v>0</v>
      </c>
      <c r="W770">
        <f t="shared" si="10"/>
        <v>0</v>
      </c>
      <c r="X770">
        <f t="shared" si="11"/>
        <v>0</v>
      </c>
      <c r="Z770" s="8"/>
      <c r="AA770">
        <f t="shared" si="12"/>
        <v>0</v>
      </c>
      <c r="AB770">
        <f t="shared" si="13"/>
        <v>0</v>
      </c>
      <c r="AC770">
        <f t="shared" si="14"/>
        <v>0</v>
      </c>
    </row>
    <row r="771">
      <c r="O771" s="8"/>
      <c r="P771">
        <f t="shared" ref="P771:R771" si="1025">B771+P772</f>
        <v>0</v>
      </c>
      <c r="Q771">
        <f t="shared" si="1025"/>
        <v>0</v>
      </c>
      <c r="R771">
        <f t="shared" si="1025"/>
        <v>0</v>
      </c>
      <c r="S771">
        <f t="shared" si="265"/>
        <v>0</v>
      </c>
      <c r="U771" s="8"/>
      <c r="V771">
        <f t="shared" si="9"/>
        <v>0</v>
      </c>
      <c r="W771">
        <f t="shared" si="10"/>
        <v>0</v>
      </c>
      <c r="X771">
        <f t="shared" si="11"/>
        <v>0</v>
      </c>
      <c r="Z771" s="8"/>
      <c r="AA771">
        <f t="shared" si="12"/>
        <v>0</v>
      </c>
      <c r="AB771">
        <f t="shared" si="13"/>
        <v>0</v>
      </c>
      <c r="AC771">
        <f t="shared" si="14"/>
        <v>0</v>
      </c>
    </row>
    <row r="772">
      <c r="O772" s="8"/>
      <c r="P772">
        <f t="shared" ref="P772:R772" si="1026">B772+P773</f>
        <v>0</v>
      </c>
      <c r="Q772">
        <f t="shared" si="1026"/>
        <v>0</v>
      </c>
      <c r="R772">
        <f t="shared" si="1026"/>
        <v>0</v>
      </c>
      <c r="S772">
        <f t="shared" si="265"/>
        <v>0</v>
      </c>
      <c r="U772" s="8"/>
      <c r="V772">
        <f t="shared" si="9"/>
        <v>0</v>
      </c>
      <c r="W772">
        <f t="shared" si="10"/>
        <v>0</v>
      </c>
      <c r="X772">
        <f t="shared" si="11"/>
        <v>0</v>
      </c>
      <c r="Z772" s="8"/>
      <c r="AA772">
        <f t="shared" si="12"/>
        <v>0</v>
      </c>
      <c r="AB772">
        <f t="shared" si="13"/>
        <v>0</v>
      </c>
      <c r="AC772">
        <f t="shared" si="14"/>
        <v>0</v>
      </c>
    </row>
    <row r="773">
      <c r="O773" s="8"/>
      <c r="P773">
        <f t="shared" ref="P773:R773" si="1027">B773+P774</f>
        <v>0</v>
      </c>
      <c r="Q773">
        <f t="shared" si="1027"/>
        <v>0</v>
      </c>
      <c r="R773">
        <f t="shared" si="1027"/>
        <v>0</v>
      </c>
      <c r="S773">
        <f t="shared" si="265"/>
        <v>0</v>
      </c>
      <c r="U773" s="8"/>
      <c r="V773">
        <f t="shared" si="9"/>
        <v>0</v>
      </c>
      <c r="W773">
        <f t="shared" si="10"/>
        <v>0</v>
      </c>
      <c r="X773">
        <f t="shared" si="11"/>
        <v>0</v>
      </c>
      <c r="Z773" s="8"/>
      <c r="AA773">
        <f t="shared" si="12"/>
        <v>0</v>
      </c>
      <c r="AB773">
        <f t="shared" si="13"/>
        <v>0</v>
      </c>
      <c r="AC773">
        <f t="shared" si="14"/>
        <v>0</v>
      </c>
    </row>
    <row r="774">
      <c r="O774" s="8"/>
      <c r="P774">
        <f t="shared" ref="P774:R774" si="1028">B774+P775</f>
        <v>0</v>
      </c>
      <c r="Q774">
        <f t="shared" si="1028"/>
        <v>0</v>
      </c>
      <c r="R774">
        <f t="shared" si="1028"/>
        <v>0</v>
      </c>
      <c r="S774">
        <f t="shared" si="265"/>
        <v>0</v>
      </c>
      <c r="U774" s="8"/>
      <c r="V774">
        <f t="shared" si="9"/>
        <v>0</v>
      </c>
      <c r="W774">
        <f t="shared" si="10"/>
        <v>0</v>
      </c>
      <c r="X774">
        <f t="shared" si="11"/>
        <v>0</v>
      </c>
      <c r="Z774" s="8"/>
      <c r="AA774">
        <f t="shared" si="12"/>
        <v>0</v>
      </c>
      <c r="AB774">
        <f t="shared" si="13"/>
        <v>0</v>
      </c>
      <c r="AC774">
        <f t="shared" si="14"/>
        <v>0</v>
      </c>
    </row>
    <row r="775">
      <c r="O775" s="8"/>
      <c r="P775">
        <f t="shared" ref="P775:R775" si="1029">B775+P776</f>
        <v>0</v>
      </c>
      <c r="Q775">
        <f t="shared" si="1029"/>
        <v>0</v>
      </c>
      <c r="R775">
        <f t="shared" si="1029"/>
        <v>0</v>
      </c>
      <c r="S775">
        <f t="shared" si="265"/>
        <v>0</v>
      </c>
      <c r="U775" s="8"/>
      <c r="V775">
        <f t="shared" si="9"/>
        <v>0</v>
      </c>
      <c r="W775">
        <f t="shared" si="10"/>
        <v>0</v>
      </c>
      <c r="X775">
        <f t="shared" si="11"/>
        <v>0</v>
      </c>
      <c r="Z775" s="8"/>
      <c r="AA775">
        <f t="shared" si="12"/>
        <v>0</v>
      </c>
      <c r="AB775">
        <f t="shared" si="13"/>
        <v>0</v>
      </c>
      <c r="AC775">
        <f t="shared" si="14"/>
        <v>0</v>
      </c>
    </row>
    <row r="776">
      <c r="O776" s="8"/>
      <c r="P776">
        <f t="shared" ref="P776:R776" si="1030">B776+P777</f>
        <v>0</v>
      </c>
      <c r="Q776">
        <f t="shared" si="1030"/>
        <v>0</v>
      </c>
      <c r="R776">
        <f t="shared" si="1030"/>
        <v>0</v>
      </c>
      <c r="S776">
        <f t="shared" si="265"/>
        <v>0</v>
      </c>
      <c r="U776" s="8"/>
      <c r="V776">
        <f t="shared" si="9"/>
        <v>0</v>
      </c>
      <c r="W776">
        <f t="shared" si="10"/>
        <v>0</v>
      </c>
      <c r="X776">
        <f t="shared" si="11"/>
        <v>0</v>
      </c>
      <c r="Z776" s="8"/>
      <c r="AA776">
        <f t="shared" si="12"/>
        <v>0</v>
      </c>
      <c r="AB776">
        <f t="shared" si="13"/>
        <v>0</v>
      </c>
      <c r="AC776">
        <f t="shared" si="14"/>
        <v>0</v>
      </c>
    </row>
    <row r="777">
      <c r="O777" s="8"/>
      <c r="P777">
        <f t="shared" ref="P777:R777" si="1031">B777+P778</f>
        <v>0</v>
      </c>
      <c r="Q777">
        <f t="shared" si="1031"/>
        <v>0</v>
      </c>
      <c r="R777">
        <f t="shared" si="1031"/>
        <v>0</v>
      </c>
      <c r="S777">
        <f t="shared" si="265"/>
        <v>0</v>
      </c>
      <c r="U777" s="8"/>
      <c r="V777">
        <f t="shared" si="9"/>
        <v>0</v>
      </c>
      <c r="W777">
        <f t="shared" si="10"/>
        <v>0</v>
      </c>
      <c r="X777">
        <f t="shared" si="11"/>
        <v>0</v>
      </c>
      <c r="Z777" s="8"/>
      <c r="AA777">
        <f t="shared" si="12"/>
        <v>0</v>
      </c>
      <c r="AB777">
        <f t="shared" si="13"/>
        <v>0</v>
      </c>
      <c r="AC777">
        <f t="shared" si="14"/>
        <v>0</v>
      </c>
    </row>
    <row r="778">
      <c r="O778" s="8"/>
      <c r="P778">
        <f t="shared" ref="P778:R778" si="1032">B778+P779</f>
        <v>0</v>
      </c>
      <c r="Q778">
        <f t="shared" si="1032"/>
        <v>0</v>
      </c>
      <c r="R778">
        <f t="shared" si="1032"/>
        <v>0</v>
      </c>
      <c r="S778">
        <f t="shared" si="265"/>
        <v>0</v>
      </c>
      <c r="U778" s="8"/>
      <c r="V778">
        <f t="shared" si="9"/>
        <v>0</v>
      </c>
      <c r="W778">
        <f t="shared" si="10"/>
        <v>0</v>
      </c>
      <c r="X778">
        <f t="shared" si="11"/>
        <v>0</v>
      </c>
      <c r="Z778" s="8"/>
      <c r="AA778">
        <f t="shared" si="12"/>
        <v>0</v>
      </c>
      <c r="AB778">
        <f t="shared" si="13"/>
        <v>0</v>
      </c>
      <c r="AC778">
        <f t="shared" si="14"/>
        <v>0</v>
      </c>
    </row>
    <row r="779">
      <c r="O779" s="8"/>
      <c r="P779">
        <f t="shared" ref="P779:R779" si="1033">B779+P780</f>
        <v>0</v>
      </c>
      <c r="Q779">
        <f t="shared" si="1033"/>
        <v>0</v>
      </c>
      <c r="R779">
        <f t="shared" si="1033"/>
        <v>0</v>
      </c>
      <c r="S779">
        <f t="shared" si="265"/>
        <v>0</v>
      </c>
      <c r="U779" s="8"/>
      <c r="V779">
        <f t="shared" si="9"/>
        <v>0</v>
      </c>
      <c r="W779">
        <f t="shared" si="10"/>
        <v>0</v>
      </c>
      <c r="X779">
        <f t="shared" si="11"/>
        <v>0</v>
      </c>
      <c r="Z779" s="8"/>
      <c r="AA779">
        <f t="shared" si="12"/>
        <v>0</v>
      </c>
      <c r="AB779">
        <f t="shared" si="13"/>
        <v>0</v>
      </c>
      <c r="AC779">
        <f t="shared" si="14"/>
        <v>0</v>
      </c>
    </row>
    <row r="780">
      <c r="O780" s="8"/>
      <c r="P780">
        <f t="shared" ref="P780:R780" si="1034">B780+P781</f>
        <v>0</v>
      </c>
      <c r="Q780">
        <f t="shared" si="1034"/>
        <v>0</v>
      </c>
      <c r="R780">
        <f t="shared" si="1034"/>
        <v>0</v>
      </c>
      <c r="S780">
        <f t="shared" si="265"/>
        <v>0</v>
      </c>
      <c r="U780" s="8"/>
      <c r="V780">
        <f t="shared" si="9"/>
        <v>0</v>
      </c>
      <c r="W780">
        <f t="shared" si="10"/>
        <v>0</v>
      </c>
      <c r="X780">
        <f t="shared" si="11"/>
        <v>0</v>
      </c>
      <c r="Z780" s="8"/>
      <c r="AA780">
        <f t="shared" si="12"/>
        <v>0</v>
      </c>
      <c r="AB780">
        <f t="shared" si="13"/>
        <v>0</v>
      </c>
      <c r="AC780">
        <f t="shared" si="14"/>
        <v>0</v>
      </c>
    </row>
    <row r="781">
      <c r="O781" s="8"/>
      <c r="P781">
        <f t="shared" ref="P781:R781" si="1035">B781+P782</f>
        <v>0</v>
      </c>
      <c r="Q781">
        <f t="shared" si="1035"/>
        <v>0</v>
      </c>
      <c r="R781">
        <f t="shared" si="1035"/>
        <v>0</v>
      </c>
      <c r="S781">
        <f t="shared" si="265"/>
        <v>0</v>
      </c>
      <c r="U781" s="8"/>
      <c r="V781">
        <f t="shared" si="9"/>
        <v>0</v>
      </c>
      <c r="W781">
        <f t="shared" si="10"/>
        <v>0</v>
      </c>
      <c r="X781">
        <f t="shared" si="11"/>
        <v>0</v>
      </c>
      <c r="Z781" s="8"/>
      <c r="AA781">
        <f t="shared" si="12"/>
        <v>0</v>
      </c>
      <c r="AB781">
        <f t="shared" si="13"/>
        <v>0</v>
      </c>
      <c r="AC781">
        <f t="shared" si="14"/>
        <v>0</v>
      </c>
    </row>
    <row r="782">
      <c r="O782" s="8"/>
      <c r="P782">
        <f t="shared" ref="P782:R782" si="1036">B782+P783</f>
        <v>0</v>
      </c>
      <c r="Q782">
        <f t="shared" si="1036"/>
        <v>0</v>
      </c>
      <c r="R782">
        <f t="shared" si="1036"/>
        <v>0</v>
      </c>
      <c r="S782">
        <f t="shared" si="265"/>
        <v>0</v>
      </c>
      <c r="U782" s="8"/>
      <c r="V782">
        <f t="shared" si="9"/>
        <v>0</v>
      </c>
      <c r="W782">
        <f t="shared" si="10"/>
        <v>0</v>
      </c>
      <c r="X782">
        <f t="shared" si="11"/>
        <v>0</v>
      </c>
      <c r="Z782" s="8"/>
      <c r="AA782">
        <f t="shared" si="12"/>
        <v>0</v>
      </c>
      <c r="AB782">
        <f t="shared" si="13"/>
        <v>0</v>
      </c>
      <c r="AC782">
        <f t="shared" si="14"/>
        <v>0</v>
      </c>
    </row>
    <row r="783">
      <c r="O783" s="8"/>
      <c r="P783">
        <f t="shared" ref="P783:R783" si="1037">B783+P784</f>
        <v>0</v>
      </c>
      <c r="Q783">
        <f t="shared" si="1037"/>
        <v>0</v>
      </c>
      <c r="R783">
        <f t="shared" si="1037"/>
        <v>0</v>
      </c>
      <c r="S783">
        <f t="shared" si="265"/>
        <v>0</v>
      </c>
      <c r="U783" s="8"/>
      <c r="V783">
        <f t="shared" si="9"/>
        <v>0</v>
      </c>
      <c r="W783">
        <f t="shared" si="10"/>
        <v>0</v>
      </c>
      <c r="X783">
        <f t="shared" si="11"/>
        <v>0</v>
      </c>
      <c r="Z783" s="8"/>
      <c r="AA783">
        <f t="shared" si="12"/>
        <v>0</v>
      </c>
      <c r="AB783">
        <f t="shared" si="13"/>
        <v>0</v>
      </c>
      <c r="AC783">
        <f t="shared" si="14"/>
        <v>0</v>
      </c>
    </row>
    <row r="784">
      <c r="O784" s="8"/>
      <c r="P784">
        <f t="shared" ref="P784:R784" si="1038">B784+P785</f>
        <v>0</v>
      </c>
      <c r="Q784">
        <f t="shared" si="1038"/>
        <v>0</v>
      </c>
      <c r="R784">
        <f t="shared" si="1038"/>
        <v>0</v>
      </c>
      <c r="S784">
        <f t="shared" si="265"/>
        <v>0</v>
      </c>
      <c r="U784" s="8"/>
      <c r="V784">
        <f t="shared" si="9"/>
        <v>0</v>
      </c>
      <c r="W784">
        <f t="shared" si="10"/>
        <v>0</v>
      </c>
      <c r="X784">
        <f t="shared" si="11"/>
        <v>0</v>
      </c>
      <c r="Z784" s="8"/>
      <c r="AA784">
        <f t="shared" si="12"/>
        <v>0</v>
      </c>
      <c r="AB784">
        <f t="shared" si="13"/>
        <v>0</v>
      </c>
      <c r="AC784">
        <f t="shared" si="14"/>
        <v>0</v>
      </c>
    </row>
    <row r="785">
      <c r="O785" s="8"/>
      <c r="P785">
        <f t="shared" ref="P785:R785" si="1039">B785+P786</f>
        <v>0</v>
      </c>
      <c r="Q785">
        <f t="shared" si="1039"/>
        <v>0</v>
      </c>
      <c r="R785">
        <f t="shared" si="1039"/>
        <v>0</v>
      </c>
      <c r="S785">
        <f t="shared" si="265"/>
        <v>0</v>
      </c>
      <c r="U785" s="8"/>
      <c r="V785">
        <f t="shared" si="9"/>
        <v>0</v>
      </c>
      <c r="W785">
        <f t="shared" si="10"/>
        <v>0</v>
      </c>
      <c r="X785">
        <f t="shared" si="11"/>
        <v>0</v>
      </c>
      <c r="Z785" s="8"/>
      <c r="AA785">
        <f t="shared" si="12"/>
        <v>0</v>
      </c>
      <c r="AB785">
        <f t="shared" si="13"/>
        <v>0</v>
      </c>
      <c r="AC785">
        <f t="shared" si="14"/>
        <v>0</v>
      </c>
    </row>
    <row r="786">
      <c r="O786" s="8"/>
      <c r="P786">
        <f t="shared" ref="P786:R786" si="1040">B786+P787</f>
        <v>0</v>
      </c>
      <c r="Q786">
        <f t="shared" si="1040"/>
        <v>0</v>
      </c>
      <c r="R786">
        <f t="shared" si="1040"/>
        <v>0</v>
      </c>
      <c r="S786">
        <f t="shared" si="265"/>
        <v>0</v>
      </c>
      <c r="U786" s="8"/>
      <c r="V786">
        <f t="shared" si="9"/>
        <v>0</v>
      </c>
      <c r="W786">
        <f t="shared" si="10"/>
        <v>0</v>
      </c>
      <c r="X786">
        <f t="shared" si="11"/>
        <v>0</v>
      </c>
      <c r="Z786" s="8"/>
      <c r="AA786">
        <f t="shared" si="12"/>
        <v>0</v>
      </c>
      <c r="AB786">
        <f t="shared" si="13"/>
        <v>0</v>
      </c>
      <c r="AC786">
        <f t="shared" si="14"/>
        <v>0</v>
      </c>
    </row>
    <row r="787">
      <c r="O787" s="8"/>
      <c r="P787">
        <f t="shared" ref="P787:R787" si="1041">B787+P788</f>
        <v>0</v>
      </c>
      <c r="Q787">
        <f t="shared" si="1041"/>
        <v>0</v>
      </c>
      <c r="R787">
        <f t="shared" si="1041"/>
        <v>0</v>
      </c>
      <c r="S787">
        <f t="shared" si="265"/>
        <v>0</v>
      </c>
      <c r="U787" s="8"/>
      <c r="V787">
        <f t="shared" si="9"/>
        <v>0</v>
      </c>
      <c r="W787">
        <f t="shared" si="10"/>
        <v>0</v>
      </c>
      <c r="X787">
        <f t="shared" si="11"/>
        <v>0</v>
      </c>
      <c r="Z787" s="8"/>
      <c r="AA787">
        <f t="shared" si="12"/>
        <v>0</v>
      </c>
      <c r="AB787">
        <f t="shared" si="13"/>
        <v>0</v>
      </c>
      <c r="AC787">
        <f t="shared" si="14"/>
        <v>0</v>
      </c>
    </row>
    <row r="788">
      <c r="O788" s="8"/>
      <c r="P788">
        <f t="shared" ref="P788:R788" si="1042">B788+P789</f>
        <v>0</v>
      </c>
      <c r="Q788">
        <f t="shared" si="1042"/>
        <v>0</v>
      </c>
      <c r="R788">
        <f t="shared" si="1042"/>
        <v>0</v>
      </c>
      <c r="S788">
        <f t="shared" si="265"/>
        <v>0</v>
      </c>
      <c r="U788" s="8"/>
      <c r="V788">
        <f t="shared" si="9"/>
        <v>0</v>
      </c>
      <c r="W788">
        <f t="shared" si="10"/>
        <v>0</v>
      </c>
      <c r="X788">
        <f t="shared" si="11"/>
        <v>0</v>
      </c>
      <c r="Z788" s="8"/>
      <c r="AA788">
        <f t="shared" si="12"/>
        <v>0</v>
      </c>
      <c r="AB788">
        <f t="shared" si="13"/>
        <v>0</v>
      </c>
      <c r="AC788">
        <f t="shared" si="14"/>
        <v>0</v>
      </c>
    </row>
    <row r="789">
      <c r="O789" s="8"/>
      <c r="P789">
        <f t="shared" ref="P789:R789" si="1043">B789+P790</f>
        <v>0</v>
      </c>
      <c r="Q789">
        <f t="shared" si="1043"/>
        <v>0</v>
      </c>
      <c r="R789">
        <f t="shared" si="1043"/>
        <v>0</v>
      </c>
      <c r="S789">
        <f t="shared" si="265"/>
        <v>0</v>
      </c>
      <c r="U789" s="8"/>
      <c r="V789">
        <f t="shared" si="9"/>
        <v>0</v>
      </c>
      <c r="W789">
        <f t="shared" si="10"/>
        <v>0</v>
      </c>
      <c r="X789">
        <f t="shared" si="11"/>
        <v>0</v>
      </c>
      <c r="Z789" s="8"/>
      <c r="AA789">
        <f t="shared" si="12"/>
        <v>0</v>
      </c>
      <c r="AB789">
        <f t="shared" si="13"/>
        <v>0</v>
      </c>
      <c r="AC789">
        <f t="shared" si="14"/>
        <v>0</v>
      </c>
    </row>
    <row r="790">
      <c r="O790" s="8"/>
      <c r="P790">
        <f t="shared" ref="P790:R790" si="1044">B790+P791</f>
        <v>0</v>
      </c>
      <c r="Q790">
        <f t="shared" si="1044"/>
        <v>0</v>
      </c>
      <c r="R790">
        <f t="shared" si="1044"/>
        <v>0</v>
      </c>
      <c r="S790">
        <f t="shared" si="265"/>
        <v>0</v>
      </c>
      <c r="U790" s="8"/>
      <c r="V790">
        <f t="shared" si="9"/>
        <v>0</v>
      </c>
      <c r="W790">
        <f t="shared" si="10"/>
        <v>0</v>
      </c>
      <c r="X790">
        <f t="shared" si="11"/>
        <v>0</v>
      </c>
      <c r="Z790" s="8"/>
      <c r="AA790">
        <f t="shared" si="12"/>
        <v>0</v>
      </c>
      <c r="AB790">
        <f t="shared" si="13"/>
        <v>0</v>
      </c>
      <c r="AC790">
        <f t="shared" si="14"/>
        <v>0</v>
      </c>
    </row>
    <row r="791">
      <c r="O791" s="8"/>
      <c r="P791">
        <f t="shared" ref="P791:R791" si="1045">B791+P792</f>
        <v>0</v>
      </c>
      <c r="Q791">
        <f t="shared" si="1045"/>
        <v>0</v>
      </c>
      <c r="R791">
        <f t="shared" si="1045"/>
        <v>0</v>
      </c>
      <c r="S791">
        <f t="shared" si="265"/>
        <v>0</v>
      </c>
      <c r="U791" s="8"/>
      <c r="V791">
        <f t="shared" si="9"/>
        <v>0</v>
      </c>
      <c r="W791">
        <f t="shared" si="10"/>
        <v>0</v>
      </c>
      <c r="X791">
        <f t="shared" si="11"/>
        <v>0</v>
      </c>
      <c r="Z791" s="8"/>
      <c r="AA791">
        <f t="shared" si="12"/>
        <v>0</v>
      </c>
      <c r="AB791">
        <f t="shared" si="13"/>
        <v>0</v>
      </c>
      <c r="AC791">
        <f t="shared" si="14"/>
        <v>0</v>
      </c>
    </row>
    <row r="792">
      <c r="O792" s="8"/>
      <c r="P792">
        <f t="shared" ref="P792:R792" si="1046">B792+P793</f>
        <v>0</v>
      </c>
      <c r="Q792">
        <f t="shared" si="1046"/>
        <v>0</v>
      </c>
      <c r="R792">
        <f t="shared" si="1046"/>
        <v>0</v>
      </c>
      <c r="S792">
        <f t="shared" si="265"/>
        <v>0</v>
      </c>
      <c r="U792" s="8"/>
      <c r="V792">
        <f t="shared" si="9"/>
        <v>0</v>
      </c>
      <c r="W792">
        <f t="shared" si="10"/>
        <v>0</v>
      </c>
      <c r="X792">
        <f t="shared" si="11"/>
        <v>0</v>
      </c>
      <c r="Z792" s="8"/>
      <c r="AA792">
        <f t="shared" si="12"/>
        <v>0</v>
      </c>
      <c r="AB792">
        <f t="shared" si="13"/>
        <v>0</v>
      </c>
      <c r="AC792">
        <f t="shared" si="14"/>
        <v>0</v>
      </c>
    </row>
    <row r="793">
      <c r="O793" s="8"/>
      <c r="P793">
        <f t="shared" ref="P793:R793" si="1047">B793+P794</f>
        <v>0</v>
      </c>
      <c r="Q793">
        <f t="shared" si="1047"/>
        <v>0</v>
      </c>
      <c r="R793">
        <f t="shared" si="1047"/>
        <v>0</v>
      </c>
      <c r="S793">
        <f t="shared" si="265"/>
        <v>0</v>
      </c>
      <c r="U793" s="8"/>
      <c r="V793">
        <f t="shared" si="9"/>
        <v>0</v>
      </c>
      <c r="W793">
        <f t="shared" si="10"/>
        <v>0</v>
      </c>
      <c r="X793">
        <f t="shared" si="11"/>
        <v>0</v>
      </c>
      <c r="Z793" s="8"/>
      <c r="AA793">
        <f t="shared" si="12"/>
        <v>0</v>
      </c>
      <c r="AB793">
        <f t="shared" si="13"/>
        <v>0</v>
      </c>
      <c r="AC793">
        <f t="shared" si="14"/>
        <v>0</v>
      </c>
    </row>
    <row r="794">
      <c r="O794" s="8"/>
      <c r="P794">
        <f t="shared" ref="P794:R794" si="1048">B794+P795</f>
        <v>0</v>
      </c>
      <c r="Q794">
        <f t="shared" si="1048"/>
        <v>0</v>
      </c>
      <c r="R794">
        <f t="shared" si="1048"/>
        <v>0</v>
      </c>
      <c r="S794">
        <f t="shared" si="265"/>
        <v>0</v>
      </c>
      <c r="U794" s="8"/>
      <c r="V794">
        <f t="shared" si="9"/>
        <v>0</v>
      </c>
      <c r="W794">
        <f t="shared" si="10"/>
        <v>0</v>
      </c>
      <c r="X794">
        <f t="shared" si="11"/>
        <v>0</v>
      </c>
      <c r="Z794" s="8"/>
      <c r="AA794">
        <f t="shared" si="12"/>
        <v>0</v>
      </c>
      <c r="AB794">
        <f t="shared" si="13"/>
        <v>0</v>
      </c>
      <c r="AC794">
        <f t="shared" si="14"/>
        <v>0</v>
      </c>
    </row>
    <row r="795">
      <c r="O795" s="8"/>
      <c r="P795">
        <f t="shared" ref="P795:R795" si="1049">B795+P796</f>
        <v>0</v>
      </c>
      <c r="Q795">
        <f t="shared" si="1049"/>
        <v>0</v>
      </c>
      <c r="R795">
        <f t="shared" si="1049"/>
        <v>0</v>
      </c>
      <c r="S795">
        <f t="shared" si="265"/>
        <v>0</v>
      </c>
      <c r="U795" s="8"/>
      <c r="V795">
        <f t="shared" si="9"/>
        <v>0</v>
      </c>
      <c r="W795">
        <f t="shared" si="10"/>
        <v>0</v>
      </c>
      <c r="X795">
        <f t="shared" si="11"/>
        <v>0</v>
      </c>
      <c r="Z795" s="8"/>
      <c r="AA795">
        <f t="shared" si="12"/>
        <v>0</v>
      </c>
      <c r="AB795">
        <f t="shared" si="13"/>
        <v>0</v>
      </c>
      <c r="AC795">
        <f t="shared" si="14"/>
        <v>0</v>
      </c>
    </row>
    <row r="796">
      <c r="O796" s="8"/>
      <c r="P796">
        <f t="shared" ref="P796:R796" si="1050">B796+P797</f>
        <v>0</v>
      </c>
      <c r="Q796">
        <f t="shared" si="1050"/>
        <v>0</v>
      </c>
      <c r="R796">
        <f t="shared" si="1050"/>
        <v>0</v>
      </c>
      <c r="S796">
        <f t="shared" si="265"/>
        <v>0</v>
      </c>
      <c r="U796" s="8"/>
      <c r="V796">
        <f t="shared" si="9"/>
        <v>0</v>
      </c>
      <c r="W796">
        <f t="shared" si="10"/>
        <v>0</v>
      </c>
      <c r="X796">
        <f t="shared" si="11"/>
        <v>0</v>
      </c>
      <c r="Z796" s="8"/>
      <c r="AA796">
        <f t="shared" si="12"/>
        <v>0</v>
      </c>
      <c r="AB796">
        <f t="shared" si="13"/>
        <v>0</v>
      </c>
      <c r="AC796">
        <f t="shared" si="14"/>
        <v>0</v>
      </c>
    </row>
    <row r="797">
      <c r="O797" s="8"/>
      <c r="P797">
        <f t="shared" ref="P797:R797" si="1051">B797+P798</f>
        <v>0</v>
      </c>
      <c r="Q797">
        <f t="shared" si="1051"/>
        <v>0</v>
      </c>
      <c r="R797">
        <f t="shared" si="1051"/>
        <v>0</v>
      </c>
      <c r="S797">
        <f t="shared" si="265"/>
        <v>0</v>
      </c>
      <c r="U797" s="8"/>
      <c r="V797">
        <f t="shared" si="9"/>
        <v>0</v>
      </c>
      <c r="W797">
        <f t="shared" si="10"/>
        <v>0</v>
      </c>
      <c r="X797">
        <f t="shared" si="11"/>
        <v>0</v>
      </c>
      <c r="Z797" s="8"/>
      <c r="AA797">
        <f t="shared" si="12"/>
        <v>0</v>
      </c>
      <c r="AB797">
        <f t="shared" si="13"/>
        <v>0</v>
      </c>
      <c r="AC797">
        <f t="shared" si="14"/>
        <v>0</v>
      </c>
    </row>
    <row r="798">
      <c r="O798" s="8"/>
      <c r="P798">
        <f t="shared" ref="P798:R798" si="1052">B798+P799</f>
        <v>0</v>
      </c>
      <c r="Q798">
        <f t="shared" si="1052"/>
        <v>0</v>
      </c>
      <c r="R798">
        <f t="shared" si="1052"/>
        <v>0</v>
      </c>
      <c r="S798">
        <f t="shared" si="265"/>
        <v>0</v>
      </c>
      <c r="U798" s="8"/>
      <c r="V798">
        <f t="shared" si="9"/>
        <v>0</v>
      </c>
      <c r="W798">
        <f t="shared" si="10"/>
        <v>0</v>
      </c>
      <c r="X798">
        <f t="shared" si="11"/>
        <v>0</v>
      </c>
      <c r="Z798" s="8"/>
      <c r="AA798">
        <f t="shared" si="12"/>
        <v>0</v>
      </c>
      <c r="AB798">
        <f t="shared" si="13"/>
        <v>0</v>
      </c>
      <c r="AC798">
        <f t="shared" si="14"/>
        <v>0</v>
      </c>
    </row>
    <row r="799">
      <c r="O799" s="8"/>
      <c r="P799">
        <f t="shared" ref="P799:R799" si="1053">B799+P800</f>
        <v>0</v>
      </c>
      <c r="Q799">
        <f t="shared" si="1053"/>
        <v>0</v>
      </c>
      <c r="R799">
        <f t="shared" si="1053"/>
        <v>0</v>
      </c>
      <c r="S799">
        <f t="shared" si="265"/>
        <v>0</v>
      </c>
      <c r="U799" s="8"/>
      <c r="V799">
        <f t="shared" si="9"/>
        <v>0</v>
      </c>
      <c r="W799">
        <f t="shared" si="10"/>
        <v>0</v>
      </c>
      <c r="X799">
        <f t="shared" si="11"/>
        <v>0</v>
      </c>
      <c r="Z799" s="8"/>
      <c r="AA799">
        <f t="shared" si="12"/>
        <v>0</v>
      </c>
      <c r="AB799">
        <f t="shared" si="13"/>
        <v>0</v>
      </c>
      <c r="AC799">
        <f t="shared" si="14"/>
        <v>0</v>
      </c>
    </row>
    <row r="800">
      <c r="O800" s="8"/>
      <c r="P800">
        <f t="shared" ref="P800:R800" si="1054">B800+P801</f>
        <v>0</v>
      </c>
      <c r="Q800">
        <f t="shared" si="1054"/>
        <v>0</v>
      </c>
      <c r="R800">
        <f t="shared" si="1054"/>
        <v>0</v>
      </c>
      <c r="S800">
        <f t="shared" si="265"/>
        <v>0</v>
      </c>
      <c r="U800" s="8"/>
      <c r="V800">
        <f t="shared" si="9"/>
        <v>0</v>
      </c>
      <c r="W800">
        <f t="shared" si="10"/>
        <v>0</v>
      </c>
      <c r="X800">
        <f t="shared" si="11"/>
        <v>0</v>
      </c>
      <c r="Z800" s="8"/>
      <c r="AA800">
        <f t="shared" si="12"/>
        <v>0</v>
      </c>
      <c r="AB800">
        <f t="shared" si="13"/>
        <v>0</v>
      </c>
      <c r="AC800">
        <f t="shared" si="14"/>
        <v>0</v>
      </c>
    </row>
    <row r="801">
      <c r="O801" s="8"/>
      <c r="P801">
        <f t="shared" ref="P801:R801" si="1055">B801+P802</f>
        <v>0</v>
      </c>
      <c r="Q801">
        <f t="shared" si="1055"/>
        <v>0</v>
      </c>
      <c r="R801">
        <f t="shared" si="1055"/>
        <v>0</v>
      </c>
      <c r="S801">
        <f t="shared" si="265"/>
        <v>0</v>
      </c>
      <c r="U801" s="8"/>
      <c r="V801">
        <f t="shared" si="9"/>
        <v>0</v>
      </c>
      <c r="W801">
        <f t="shared" si="10"/>
        <v>0</v>
      </c>
      <c r="X801">
        <f t="shared" si="11"/>
        <v>0</v>
      </c>
      <c r="Z801" s="8"/>
      <c r="AA801">
        <f t="shared" si="12"/>
        <v>0</v>
      </c>
      <c r="AB801">
        <f t="shared" si="13"/>
        <v>0</v>
      </c>
      <c r="AC801">
        <f t="shared" si="14"/>
        <v>0</v>
      </c>
    </row>
    <row r="802">
      <c r="O802" s="8"/>
      <c r="P802">
        <f t="shared" ref="P802:R802" si="1056">B802+P803</f>
        <v>0</v>
      </c>
      <c r="Q802">
        <f t="shared" si="1056"/>
        <v>0</v>
      </c>
      <c r="R802">
        <f t="shared" si="1056"/>
        <v>0</v>
      </c>
      <c r="S802">
        <f t="shared" si="265"/>
        <v>0</v>
      </c>
      <c r="U802" s="8"/>
      <c r="V802">
        <f t="shared" si="9"/>
        <v>0</v>
      </c>
      <c r="W802">
        <f t="shared" si="10"/>
        <v>0</v>
      </c>
      <c r="X802">
        <f t="shared" si="11"/>
        <v>0</v>
      </c>
      <c r="Z802" s="8"/>
      <c r="AA802">
        <f t="shared" si="12"/>
        <v>0</v>
      </c>
      <c r="AB802">
        <f t="shared" si="13"/>
        <v>0</v>
      </c>
      <c r="AC802">
        <f t="shared" si="14"/>
        <v>0</v>
      </c>
    </row>
    <row r="803">
      <c r="O803" s="8"/>
      <c r="P803">
        <f t="shared" ref="P803:R803" si="1057">B803+P804</f>
        <v>0</v>
      </c>
      <c r="Q803">
        <f t="shared" si="1057"/>
        <v>0</v>
      </c>
      <c r="R803">
        <f t="shared" si="1057"/>
        <v>0</v>
      </c>
      <c r="S803">
        <f t="shared" si="265"/>
        <v>0</v>
      </c>
      <c r="U803" s="8"/>
      <c r="V803">
        <f t="shared" si="9"/>
        <v>0</v>
      </c>
      <c r="W803">
        <f t="shared" si="10"/>
        <v>0</v>
      </c>
      <c r="X803">
        <f t="shared" si="11"/>
        <v>0</v>
      </c>
      <c r="Z803" s="8"/>
      <c r="AA803">
        <f t="shared" si="12"/>
        <v>0</v>
      </c>
      <c r="AB803">
        <f t="shared" si="13"/>
        <v>0</v>
      </c>
      <c r="AC803">
        <f t="shared" si="14"/>
        <v>0</v>
      </c>
    </row>
    <row r="804">
      <c r="O804" s="8"/>
      <c r="P804">
        <f t="shared" ref="P804:R804" si="1058">B804+P805</f>
        <v>0</v>
      </c>
      <c r="Q804">
        <f t="shared" si="1058"/>
        <v>0</v>
      </c>
      <c r="R804">
        <f t="shared" si="1058"/>
        <v>0</v>
      </c>
      <c r="S804">
        <f t="shared" si="265"/>
        <v>0</v>
      </c>
      <c r="U804" s="8"/>
      <c r="V804">
        <f t="shared" si="9"/>
        <v>0</v>
      </c>
      <c r="W804">
        <f t="shared" si="10"/>
        <v>0</v>
      </c>
      <c r="X804">
        <f t="shared" si="11"/>
        <v>0</v>
      </c>
      <c r="Z804" s="8"/>
      <c r="AA804">
        <f t="shared" si="12"/>
        <v>0</v>
      </c>
      <c r="AB804">
        <f t="shared" si="13"/>
        <v>0</v>
      </c>
      <c r="AC804">
        <f t="shared" si="14"/>
        <v>0</v>
      </c>
    </row>
    <row r="805">
      <c r="O805" s="8"/>
      <c r="P805">
        <f t="shared" ref="P805:R805" si="1059">B805+P806</f>
        <v>0</v>
      </c>
      <c r="Q805">
        <f t="shared" si="1059"/>
        <v>0</v>
      </c>
      <c r="R805">
        <f t="shared" si="1059"/>
        <v>0</v>
      </c>
      <c r="S805">
        <f t="shared" si="265"/>
        <v>0</v>
      </c>
      <c r="U805" s="8"/>
      <c r="V805">
        <f t="shared" si="9"/>
        <v>0</v>
      </c>
      <c r="W805">
        <f t="shared" si="10"/>
        <v>0</v>
      </c>
      <c r="X805">
        <f t="shared" si="11"/>
        <v>0</v>
      </c>
      <c r="Z805" s="8"/>
      <c r="AA805">
        <f t="shared" si="12"/>
        <v>0</v>
      </c>
      <c r="AB805">
        <f t="shared" si="13"/>
        <v>0</v>
      </c>
      <c r="AC805">
        <f t="shared" si="14"/>
        <v>0</v>
      </c>
    </row>
    <row r="806">
      <c r="O806" s="8"/>
      <c r="P806">
        <f t="shared" ref="P806:R806" si="1060">B806+P807</f>
        <v>0</v>
      </c>
      <c r="Q806">
        <f t="shared" si="1060"/>
        <v>0</v>
      </c>
      <c r="R806">
        <f t="shared" si="1060"/>
        <v>0</v>
      </c>
      <c r="S806">
        <f t="shared" si="265"/>
        <v>0</v>
      </c>
      <c r="U806" s="8"/>
      <c r="V806">
        <f t="shared" si="9"/>
        <v>0</v>
      </c>
      <c r="W806">
        <f t="shared" si="10"/>
        <v>0</v>
      </c>
      <c r="X806">
        <f t="shared" si="11"/>
        <v>0</v>
      </c>
      <c r="Z806" s="8"/>
      <c r="AA806">
        <f t="shared" si="12"/>
        <v>0</v>
      </c>
      <c r="AB806">
        <f t="shared" si="13"/>
        <v>0</v>
      </c>
      <c r="AC806">
        <f t="shared" si="14"/>
        <v>0</v>
      </c>
    </row>
    <row r="807">
      <c r="O807" s="8"/>
      <c r="P807">
        <f t="shared" ref="P807:R807" si="1061">B807+P808</f>
        <v>0</v>
      </c>
      <c r="Q807">
        <f t="shared" si="1061"/>
        <v>0</v>
      </c>
      <c r="R807">
        <f t="shared" si="1061"/>
        <v>0</v>
      </c>
      <c r="S807">
        <f t="shared" si="265"/>
        <v>0</v>
      </c>
      <c r="U807" s="8"/>
      <c r="V807">
        <f t="shared" si="9"/>
        <v>0</v>
      </c>
      <c r="W807">
        <f t="shared" si="10"/>
        <v>0</v>
      </c>
      <c r="X807">
        <f t="shared" si="11"/>
        <v>0</v>
      </c>
      <c r="Z807" s="8"/>
      <c r="AA807">
        <f t="shared" si="12"/>
        <v>0</v>
      </c>
      <c r="AB807">
        <f t="shared" si="13"/>
        <v>0</v>
      </c>
      <c r="AC807">
        <f t="shared" si="14"/>
        <v>0</v>
      </c>
    </row>
    <row r="808">
      <c r="O808" s="8"/>
      <c r="P808">
        <f t="shared" ref="P808:R808" si="1062">B808+P809</f>
        <v>0</v>
      </c>
      <c r="Q808">
        <f t="shared" si="1062"/>
        <v>0</v>
      </c>
      <c r="R808">
        <f t="shared" si="1062"/>
        <v>0</v>
      </c>
      <c r="S808">
        <f t="shared" si="265"/>
        <v>0</v>
      </c>
      <c r="U808" s="8"/>
      <c r="V808">
        <f t="shared" si="9"/>
        <v>0</v>
      </c>
      <c r="W808">
        <f t="shared" si="10"/>
        <v>0</v>
      </c>
      <c r="X808">
        <f t="shared" si="11"/>
        <v>0</v>
      </c>
      <c r="Z808" s="8"/>
      <c r="AA808">
        <f t="shared" si="12"/>
        <v>0</v>
      </c>
      <c r="AB808">
        <f t="shared" si="13"/>
        <v>0</v>
      </c>
      <c r="AC808">
        <f t="shared" si="14"/>
        <v>0</v>
      </c>
    </row>
    <row r="809">
      <c r="O809" s="8"/>
      <c r="P809">
        <f t="shared" ref="P809:R809" si="1063">B809+P810</f>
        <v>0</v>
      </c>
      <c r="Q809">
        <f t="shared" si="1063"/>
        <v>0</v>
      </c>
      <c r="R809">
        <f t="shared" si="1063"/>
        <v>0</v>
      </c>
      <c r="S809">
        <f t="shared" si="265"/>
        <v>0</v>
      </c>
      <c r="U809" s="8"/>
      <c r="V809">
        <f t="shared" si="9"/>
        <v>0</v>
      </c>
      <c r="W809">
        <f t="shared" si="10"/>
        <v>0</v>
      </c>
      <c r="X809">
        <f t="shared" si="11"/>
        <v>0</v>
      </c>
      <c r="Z809" s="8"/>
      <c r="AA809">
        <f t="shared" si="12"/>
        <v>0</v>
      </c>
      <c r="AB809">
        <f t="shared" si="13"/>
        <v>0</v>
      </c>
      <c r="AC809">
        <f t="shared" si="14"/>
        <v>0</v>
      </c>
    </row>
    <row r="810">
      <c r="O810" s="8"/>
      <c r="P810">
        <f t="shared" ref="P810:R810" si="1064">B810+P811</f>
        <v>0</v>
      </c>
      <c r="Q810">
        <f t="shared" si="1064"/>
        <v>0</v>
      </c>
      <c r="R810">
        <f t="shared" si="1064"/>
        <v>0</v>
      </c>
      <c r="S810">
        <f t="shared" si="265"/>
        <v>0</v>
      </c>
      <c r="U810" s="8"/>
      <c r="V810">
        <f t="shared" si="9"/>
        <v>0</v>
      </c>
      <c r="W810">
        <f t="shared" si="10"/>
        <v>0</v>
      </c>
      <c r="X810">
        <f t="shared" si="11"/>
        <v>0</v>
      </c>
      <c r="Z810" s="8"/>
      <c r="AA810">
        <f t="shared" si="12"/>
        <v>0</v>
      </c>
      <c r="AB810">
        <f t="shared" si="13"/>
        <v>0</v>
      </c>
      <c r="AC810">
        <f t="shared" si="14"/>
        <v>0</v>
      </c>
    </row>
    <row r="811">
      <c r="O811" s="8"/>
      <c r="P811">
        <f t="shared" ref="P811:R811" si="1065">B811+P812</f>
        <v>0</v>
      </c>
      <c r="Q811">
        <f t="shared" si="1065"/>
        <v>0</v>
      </c>
      <c r="R811">
        <f t="shared" si="1065"/>
        <v>0</v>
      </c>
      <c r="S811">
        <f t="shared" si="265"/>
        <v>0</v>
      </c>
      <c r="U811" s="8"/>
      <c r="V811">
        <f t="shared" si="9"/>
        <v>0</v>
      </c>
      <c r="W811">
        <f t="shared" si="10"/>
        <v>0</v>
      </c>
      <c r="X811">
        <f t="shared" si="11"/>
        <v>0</v>
      </c>
      <c r="Z811" s="8"/>
      <c r="AA811">
        <f t="shared" si="12"/>
        <v>0</v>
      </c>
      <c r="AB811">
        <f t="shared" si="13"/>
        <v>0</v>
      </c>
      <c r="AC811">
        <f t="shared" si="14"/>
        <v>0</v>
      </c>
    </row>
    <row r="812">
      <c r="O812" s="8"/>
      <c r="P812">
        <f t="shared" ref="P812:R812" si="1066">B812+P813</f>
        <v>0</v>
      </c>
      <c r="Q812">
        <f t="shared" si="1066"/>
        <v>0</v>
      </c>
      <c r="R812">
        <f t="shared" si="1066"/>
        <v>0</v>
      </c>
      <c r="S812">
        <f t="shared" si="265"/>
        <v>0</v>
      </c>
      <c r="U812" s="8"/>
      <c r="V812">
        <f t="shared" si="9"/>
        <v>0</v>
      </c>
      <c r="W812">
        <f t="shared" si="10"/>
        <v>0</v>
      </c>
      <c r="X812">
        <f t="shared" si="11"/>
        <v>0</v>
      </c>
      <c r="Z812" s="8"/>
      <c r="AA812">
        <f t="shared" si="12"/>
        <v>0</v>
      </c>
      <c r="AB812">
        <f t="shared" si="13"/>
        <v>0</v>
      </c>
      <c r="AC812">
        <f t="shared" si="14"/>
        <v>0</v>
      </c>
    </row>
    <row r="813">
      <c r="O813" s="8"/>
      <c r="P813">
        <f t="shared" ref="P813:R813" si="1067">B813+P814</f>
        <v>0</v>
      </c>
      <c r="Q813">
        <f t="shared" si="1067"/>
        <v>0</v>
      </c>
      <c r="R813">
        <f t="shared" si="1067"/>
        <v>0</v>
      </c>
      <c r="S813">
        <f t="shared" si="265"/>
        <v>0</v>
      </c>
      <c r="U813" s="8"/>
      <c r="V813">
        <f t="shared" si="9"/>
        <v>0</v>
      </c>
      <c r="W813">
        <f t="shared" si="10"/>
        <v>0</v>
      </c>
      <c r="X813">
        <f t="shared" si="11"/>
        <v>0</v>
      </c>
      <c r="Z813" s="8"/>
      <c r="AA813">
        <f t="shared" si="12"/>
        <v>0</v>
      </c>
      <c r="AB813">
        <f t="shared" si="13"/>
        <v>0</v>
      </c>
      <c r="AC813">
        <f t="shared" si="14"/>
        <v>0</v>
      </c>
    </row>
    <row r="814">
      <c r="O814" s="8"/>
      <c r="P814">
        <f t="shared" ref="P814:R814" si="1068">B814+P815</f>
        <v>0</v>
      </c>
      <c r="Q814">
        <f t="shared" si="1068"/>
        <v>0</v>
      </c>
      <c r="R814">
        <f t="shared" si="1068"/>
        <v>0</v>
      </c>
      <c r="S814">
        <f t="shared" si="265"/>
        <v>0</v>
      </c>
      <c r="U814" s="8"/>
      <c r="V814">
        <f t="shared" si="9"/>
        <v>0</v>
      </c>
      <c r="W814">
        <f t="shared" si="10"/>
        <v>0</v>
      </c>
      <c r="X814">
        <f t="shared" si="11"/>
        <v>0</v>
      </c>
      <c r="Z814" s="8"/>
      <c r="AA814">
        <f t="shared" si="12"/>
        <v>0</v>
      </c>
      <c r="AB814">
        <f t="shared" si="13"/>
        <v>0</v>
      </c>
      <c r="AC814">
        <f t="shared" si="14"/>
        <v>0</v>
      </c>
    </row>
    <row r="815">
      <c r="O815" s="8"/>
      <c r="P815">
        <f t="shared" ref="P815:R815" si="1069">B815+P816</f>
        <v>0</v>
      </c>
      <c r="Q815">
        <f t="shared" si="1069"/>
        <v>0</v>
      </c>
      <c r="R815">
        <f t="shared" si="1069"/>
        <v>0</v>
      </c>
      <c r="S815">
        <f t="shared" si="265"/>
        <v>0</v>
      </c>
      <c r="U815" s="8"/>
      <c r="V815">
        <f t="shared" si="9"/>
        <v>0</v>
      </c>
      <c r="W815">
        <f t="shared" si="10"/>
        <v>0</v>
      </c>
      <c r="X815">
        <f t="shared" si="11"/>
        <v>0</v>
      </c>
      <c r="Z815" s="8"/>
      <c r="AA815">
        <f t="shared" si="12"/>
        <v>0</v>
      </c>
      <c r="AB815">
        <f t="shared" si="13"/>
        <v>0</v>
      </c>
      <c r="AC815">
        <f t="shared" si="14"/>
        <v>0</v>
      </c>
    </row>
    <row r="816">
      <c r="O816" s="8"/>
      <c r="P816">
        <f t="shared" ref="P816:R816" si="1070">B816+P817</f>
        <v>0</v>
      </c>
      <c r="Q816">
        <f t="shared" si="1070"/>
        <v>0</v>
      </c>
      <c r="R816">
        <f t="shared" si="1070"/>
        <v>0</v>
      </c>
      <c r="S816">
        <f t="shared" si="265"/>
        <v>0</v>
      </c>
      <c r="U816" s="8"/>
      <c r="V816">
        <f t="shared" si="9"/>
        <v>0</v>
      </c>
      <c r="W816">
        <f t="shared" si="10"/>
        <v>0</v>
      </c>
      <c r="X816">
        <f t="shared" si="11"/>
        <v>0</v>
      </c>
      <c r="Z816" s="8"/>
      <c r="AA816">
        <f t="shared" si="12"/>
        <v>0</v>
      </c>
      <c r="AB816">
        <f t="shared" si="13"/>
        <v>0</v>
      </c>
      <c r="AC816">
        <f t="shared" si="14"/>
        <v>0</v>
      </c>
    </row>
    <row r="817">
      <c r="O817" s="8"/>
      <c r="P817">
        <f t="shared" ref="P817:R817" si="1071">B817+P818</f>
        <v>0</v>
      </c>
      <c r="Q817">
        <f t="shared" si="1071"/>
        <v>0</v>
      </c>
      <c r="R817">
        <f t="shared" si="1071"/>
        <v>0</v>
      </c>
      <c r="S817">
        <f t="shared" si="265"/>
        <v>0</v>
      </c>
      <c r="U817" s="8"/>
      <c r="V817">
        <f t="shared" si="9"/>
        <v>0</v>
      </c>
      <c r="W817">
        <f t="shared" si="10"/>
        <v>0</v>
      </c>
      <c r="X817">
        <f t="shared" si="11"/>
        <v>0</v>
      </c>
      <c r="Z817" s="8"/>
      <c r="AA817">
        <f t="shared" si="12"/>
        <v>0</v>
      </c>
      <c r="AB817">
        <f t="shared" si="13"/>
        <v>0</v>
      </c>
      <c r="AC817">
        <f t="shared" si="14"/>
        <v>0</v>
      </c>
    </row>
    <row r="818">
      <c r="O818" s="8"/>
      <c r="P818">
        <f t="shared" ref="P818:R818" si="1072">B818+P819</f>
        <v>0</v>
      </c>
      <c r="Q818">
        <f t="shared" si="1072"/>
        <v>0</v>
      </c>
      <c r="R818">
        <f t="shared" si="1072"/>
        <v>0</v>
      </c>
      <c r="S818">
        <f t="shared" si="265"/>
        <v>0</v>
      </c>
      <c r="U818" s="8"/>
      <c r="V818">
        <f t="shared" si="9"/>
        <v>0</v>
      </c>
      <c r="W818">
        <f t="shared" si="10"/>
        <v>0</v>
      </c>
      <c r="X818">
        <f t="shared" si="11"/>
        <v>0</v>
      </c>
      <c r="Z818" s="8"/>
      <c r="AA818">
        <f t="shared" si="12"/>
        <v>0</v>
      </c>
      <c r="AB818">
        <f t="shared" si="13"/>
        <v>0</v>
      </c>
      <c r="AC818">
        <f t="shared" si="14"/>
        <v>0</v>
      </c>
    </row>
    <row r="819">
      <c r="O819" s="8"/>
      <c r="P819">
        <f t="shared" ref="P819:R819" si="1073">B819+P820</f>
        <v>0</v>
      </c>
      <c r="Q819">
        <f t="shared" si="1073"/>
        <v>0</v>
      </c>
      <c r="R819">
        <f t="shared" si="1073"/>
        <v>0</v>
      </c>
      <c r="S819">
        <f t="shared" si="265"/>
        <v>0</v>
      </c>
      <c r="U819" s="8"/>
      <c r="V819">
        <f t="shared" si="9"/>
        <v>0</v>
      </c>
      <c r="W819">
        <f t="shared" si="10"/>
        <v>0</v>
      </c>
      <c r="X819">
        <f t="shared" si="11"/>
        <v>0</v>
      </c>
      <c r="Z819" s="8"/>
      <c r="AA819">
        <f t="shared" si="12"/>
        <v>0</v>
      </c>
      <c r="AB819">
        <f t="shared" si="13"/>
        <v>0</v>
      </c>
      <c r="AC819">
        <f t="shared" si="14"/>
        <v>0</v>
      </c>
    </row>
    <row r="820">
      <c r="O820" s="8"/>
      <c r="P820">
        <f t="shared" ref="P820:R820" si="1074">B820+P821</f>
        <v>0</v>
      </c>
      <c r="Q820">
        <f t="shared" si="1074"/>
        <v>0</v>
      </c>
      <c r="R820">
        <f t="shared" si="1074"/>
        <v>0</v>
      </c>
      <c r="S820">
        <f t="shared" si="265"/>
        <v>0</v>
      </c>
      <c r="U820" s="8"/>
      <c r="V820">
        <f t="shared" si="9"/>
        <v>0</v>
      </c>
      <c r="W820">
        <f t="shared" si="10"/>
        <v>0</v>
      </c>
      <c r="X820">
        <f t="shared" si="11"/>
        <v>0</v>
      </c>
      <c r="Z820" s="8"/>
      <c r="AA820">
        <f t="shared" si="12"/>
        <v>0</v>
      </c>
      <c r="AB820">
        <f t="shared" si="13"/>
        <v>0</v>
      </c>
      <c r="AC820">
        <f t="shared" si="14"/>
        <v>0</v>
      </c>
    </row>
    <row r="821">
      <c r="O821" s="8"/>
      <c r="P821">
        <f t="shared" ref="P821:R821" si="1075">B821+P822</f>
        <v>0</v>
      </c>
      <c r="Q821">
        <f t="shared" si="1075"/>
        <v>0</v>
      </c>
      <c r="R821">
        <f t="shared" si="1075"/>
        <v>0</v>
      </c>
      <c r="S821">
        <f t="shared" si="265"/>
        <v>0</v>
      </c>
      <c r="U821" s="8"/>
      <c r="V821">
        <f t="shared" si="9"/>
        <v>0</v>
      </c>
      <c r="W821">
        <f t="shared" si="10"/>
        <v>0</v>
      </c>
      <c r="X821">
        <f t="shared" si="11"/>
        <v>0</v>
      </c>
      <c r="Z821" s="8"/>
      <c r="AA821">
        <f t="shared" si="12"/>
        <v>0</v>
      </c>
      <c r="AB821">
        <f t="shared" si="13"/>
        <v>0</v>
      </c>
      <c r="AC821">
        <f t="shared" si="14"/>
        <v>0</v>
      </c>
    </row>
    <row r="822">
      <c r="O822" s="8"/>
      <c r="P822">
        <f t="shared" ref="P822:R822" si="1076">B822+P823</f>
        <v>0</v>
      </c>
      <c r="Q822">
        <f t="shared" si="1076"/>
        <v>0</v>
      </c>
      <c r="R822">
        <f t="shared" si="1076"/>
        <v>0</v>
      </c>
      <c r="S822">
        <f t="shared" si="265"/>
        <v>0</v>
      </c>
      <c r="U822" s="8"/>
      <c r="V822">
        <f t="shared" si="9"/>
        <v>0</v>
      </c>
      <c r="W822">
        <f t="shared" si="10"/>
        <v>0</v>
      </c>
      <c r="X822">
        <f t="shared" si="11"/>
        <v>0</v>
      </c>
      <c r="Z822" s="8"/>
      <c r="AA822">
        <f t="shared" si="12"/>
        <v>0</v>
      </c>
      <c r="AB822">
        <f t="shared" si="13"/>
        <v>0</v>
      </c>
      <c r="AC822">
        <f t="shared" si="14"/>
        <v>0</v>
      </c>
    </row>
    <row r="823">
      <c r="O823" s="8"/>
      <c r="P823">
        <f t="shared" ref="P823:R823" si="1077">B823+P824</f>
        <v>0</v>
      </c>
      <c r="Q823">
        <f t="shared" si="1077"/>
        <v>0</v>
      </c>
      <c r="R823">
        <f t="shared" si="1077"/>
        <v>0</v>
      </c>
      <c r="S823">
        <f t="shared" si="265"/>
        <v>0</v>
      </c>
      <c r="U823" s="8"/>
      <c r="V823">
        <f t="shared" si="9"/>
        <v>0</v>
      </c>
      <c r="W823">
        <f t="shared" si="10"/>
        <v>0</v>
      </c>
      <c r="X823">
        <f t="shared" si="11"/>
        <v>0</v>
      </c>
      <c r="Z823" s="8"/>
      <c r="AA823">
        <f t="shared" si="12"/>
        <v>0</v>
      </c>
      <c r="AB823">
        <f t="shared" si="13"/>
        <v>0</v>
      </c>
      <c r="AC823">
        <f t="shared" si="14"/>
        <v>0</v>
      </c>
    </row>
    <row r="824">
      <c r="O824" s="8"/>
      <c r="P824">
        <f t="shared" ref="P824:R824" si="1078">B824+P825</f>
        <v>0</v>
      </c>
      <c r="Q824">
        <f t="shared" si="1078"/>
        <v>0</v>
      </c>
      <c r="R824">
        <f t="shared" si="1078"/>
        <v>0</v>
      </c>
      <c r="S824">
        <f t="shared" si="265"/>
        <v>0</v>
      </c>
      <c r="U824" s="8"/>
      <c r="V824">
        <f t="shared" si="9"/>
        <v>0</v>
      </c>
      <c r="W824">
        <f t="shared" si="10"/>
        <v>0</v>
      </c>
      <c r="X824">
        <f t="shared" si="11"/>
        <v>0</v>
      </c>
      <c r="Z824" s="8"/>
      <c r="AA824">
        <f t="shared" si="12"/>
        <v>0</v>
      </c>
      <c r="AB824">
        <f t="shared" si="13"/>
        <v>0</v>
      </c>
      <c r="AC824">
        <f t="shared" si="14"/>
        <v>0</v>
      </c>
    </row>
    <row r="825">
      <c r="O825" s="8"/>
      <c r="P825">
        <f t="shared" ref="P825:R825" si="1079">B825+P826</f>
        <v>0</v>
      </c>
      <c r="Q825">
        <f t="shared" si="1079"/>
        <v>0</v>
      </c>
      <c r="R825">
        <f t="shared" si="1079"/>
        <v>0</v>
      </c>
      <c r="S825">
        <f t="shared" si="265"/>
        <v>0</v>
      </c>
      <c r="U825" s="8"/>
      <c r="V825">
        <f t="shared" si="9"/>
        <v>0</v>
      </c>
      <c r="W825">
        <f t="shared" si="10"/>
        <v>0</v>
      </c>
      <c r="X825">
        <f t="shared" si="11"/>
        <v>0</v>
      </c>
      <c r="Z825" s="8"/>
      <c r="AA825">
        <f t="shared" si="12"/>
        <v>0</v>
      </c>
      <c r="AB825">
        <f t="shared" si="13"/>
        <v>0</v>
      </c>
      <c r="AC825">
        <f t="shared" si="14"/>
        <v>0</v>
      </c>
    </row>
    <row r="826">
      <c r="O826" s="8"/>
      <c r="P826">
        <f t="shared" ref="P826:R826" si="1080">B826+P827</f>
        <v>0</v>
      </c>
      <c r="Q826">
        <f t="shared" si="1080"/>
        <v>0</v>
      </c>
      <c r="R826">
        <f t="shared" si="1080"/>
        <v>0</v>
      </c>
      <c r="S826">
        <f t="shared" si="265"/>
        <v>0</v>
      </c>
      <c r="U826" s="8"/>
      <c r="V826">
        <f t="shared" si="9"/>
        <v>0</v>
      </c>
      <c r="W826">
        <f t="shared" si="10"/>
        <v>0</v>
      </c>
      <c r="X826">
        <f t="shared" si="11"/>
        <v>0</v>
      </c>
      <c r="Z826" s="8"/>
      <c r="AA826">
        <f t="shared" si="12"/>
        <v>0</v>
      </c>
      <c r="AB826">
        <f t="shared" si="13"/>
        <v>0</v>
      </c>
      <c r="AC826">
        <f t="shared" si="14"/>
        <v>0</v>
      </c>
    </row>
    <row r="827">
      <c r="O827" s="8"/>
      <c r="P827">
        <f t="shared" ref="P827:R827" si="1081">B827+P828</f>
        <v>0</v>
      </c>
      <c r="Q827">
        <f t="shared" si="1081"/>
        <v>0</v>
      </c>
      <c r="R827">
        <f t="shared" si="1081"/>
        <v>0</v>
      </c>
      <c r="S827">
        <f t="shared" si="265"/>
        <v>0</v>
      </c>
      <c r="U827" s="8"/>
      <c r="V827">
        <f t="shared" si="9"/>
        <v>0</v>
      </c>
      <c r="W827">
        <f t="shared" si="10"/>
        <v>0</v>
      </c>
      <c r="X827">
        <f t="shared" si="11"/>
        <v>0</v>
      </c>
      <c r="Z827" s="8"/>
      <c r="AA827">
        <f t="shared" si="12"/>
        <v>0</v>
      </c>
      <c r="AB827">
        <f t="shared" si="13"/>
        <v>0</v>
      </c>
      <c r="AC827">
        <f t="shared" si="14"/>
        <v>0</v>
      </c>
    </row>
    <row r="828">
      <c r="O828" s="8"/>
      <c r="P828">
        <f t="shared" ref="P828:R828" si="1082">B828+P829</f>
        <v>0</v>
      </c>
      <c r="Q828">
        <f t="shared" si="1082"/>
        <v>0</v>
      </c>
      <c r="R828">
        <f t="shared" si="1082"/>
        <v>0</v>
      </c>
      <c r="S828">
        <f t="shared" si="265"/>
        <v>0</v>
      </c>
      <c r="U828" s="8"/>
      <c r="V828">
        <f t="shared" si="9"/>
        <v>0</v>
      </c>
      <c r="W828">
        <f t="shared" si="10"/>
        <v>0</v>
      </c>
      <c r="X828">
        <f t="shared" si="11"/>
        <v>0</v>
      </c>
      <c r="Z828" s="8"/>
      <c r="AA828">
        <f t="shared" si="12"/>
        <v>0</v>
      </c>
      <c r="AB828">
        <f t="shared" si="13"/>
        <v>0</v>
      </c>
      <c r="AC828">
        <f t="shared" si="14"/>
        <v>0</v>
      </c>
    </row>
    <row r="829">
      <c r="O829" s="8"/>
      <c r="P829">
        <f t="shared" ref="P829:R829" si="1083">B829+P830</f>
        <v>0</v>
      </c>
      <c r="Q829">
        <f t="shared" si="1083"/>
        <v>0</v>
      </c>
      <c r="R829">
        <f t="shared" si="1083"/>
        <v>0</v>
      </c>
      <c r="S829">
        <f t="shared" si="265"/>
        <v>0</v>
      </c>
      <c r="U829" s="8"/>
      <c r="V829">
        <f t="shared" si="9"/>
        <v>0</v>
      </c>
      <c r="W829">
        <f t="shared" si="10"/>
        <v>0</v>
      </c>
      <c r="X829">
        <f t="shared" si="11"/>
        <v>0</v>
      </c>
      <c r="Z829" s="8"/>
      <c r="AA829">
        <f t="shared" si="12"/>
        <v>0</v>
      </c>
      <c r="AB829">
        <f t="shared" si="13"/>
        <v>0</v>
      </c>
      <c r="AC829">
        <f t="shared" si="14"/>
        <v>0</v>
      </c>
    </row>
    <row r="830">
      <c r="O830" s="8"/>
      <c r="P830">
        <f t="shared" ref="P830:R830" si="1084">B830+P831</f>
        <v>0</v>
      </c>
      <c r="Q830">
        <f t="shared" si="1084"/>
        <v>0</v>
      </c>
      <c r="R830">
        <f t="shared" si="1084"/>
        <v>0</v>
      </c>
      <c r="S830">
        <f t="shared" si="265"/>
        <v>0</v>
      </c>
      <c r="U830" s="8"/>
      <c r="V830">
        <f t="shared" si="9"/>
        <v>0</v>
      </c>
      <c r="W830">
        <f t="shared" si="10"/>
        <v>0</v>
      </c>
      <c r="X830">
        <f t="shared" si="11"/>
        <v>0</v>
      </c>
      <c r="Z830" s="8"/>
      <c r="AA830">
        <f t="shared" si="12"/>
        <v>0</v>
      </c>
      <c r="AB830">
        <f t="shared" si="13"/>
        <v>0</v>
      </c>
      <c r="AC830">
        <f t="shared" si="14"/>
        <v>0</v>
      </c>
    </row>
    <row r="831">
      <c r="O831" s="8"/>
      <c r="P831">
        <f t="shared" ref="P831:R831" si="1085">B831+P832</f>
        <v>0</v>
      </c>
      <c r="Q831">
        <f t="shared" si="1085"/>
        <v>0</v>
      </c>
      <c r="R831">
        <f t="shared" si="1085"/>
        <v>0</v>
      </c>
      <c r="S831">
        <f t="shared" si="265"/>
        <v>0</v>
      </c>
      <c r="U831" s="8"/>
      <c r="V831">
        <f t="shared" si="9"/>
        <v>0</v>
      </c>
      <c r="W831">
        <f t="shared" si="10"/>
        <v>0</v>
      </c>
      <c r="X831">
        <f t="shared" si="11"/>
        <v>0</v>
      </c>
      <c r="Z831" s="8"/>
      <c r="AA831">
        <f t="shared" si="12"/>
        <v>0</v>
      </c>
      <c r="AB831">
        <f t="shared" si="13"/>
        <v>0</v>
      </c>
      <c r="AC831">
        <f t="shared" si="14"/>
        <v>0</v>
      </c>
    </row>
    <row r="832">
      <c r="O832" s="8"/>
      <c r="P832">
        <f t="shared" ref="P832:R832" si="1086">B832+P833</f>
        <v>0</v>
      </c>
      <c r="Q832">
        <f t="shared" si="1086"/>
        <v>0</v>
      </c>
      <c r="R832">
        <f t="shared" si="1086"/>
        <v>0</v>
      </c>
      <c r="S832">
        <f t="shared" si="265"/>
        <v>0</v>
      </c>
      <c r="U832" s="8"/>
      <c r="V832">
        <f t="shared" si="9"/>
        <v>0</v>
      </c>
      <c r="W832">
        <f t="shared" si="10"/>
        <v>0</v>
      </c>
      <c r="X832">
        <f t="shared" si="11"/>
        <v>0</v>
      </c>
      <c r="Z832" s="8"/>
      <c r="AA832">
        <f t="shared" si="12"/>
        <v>0</v>
      </c>
      <c r="AB832">
        <f t="shared" si="13"/>
        <v>0</v>
      </c>
      <c r="AC832">
        <f t="shared" si="14"/>
        <v>0</v>
      </c>
    </row>
    <row r="833">
      <c r="O833" s="8"/>
      <c r="P833">
        <f t="shared" ref="P833:R833" si="1087">B833+P834</f>
        <v>0</v>
      </c>
      <c r="Q833">
        <f t="shared" si="1087"/>
        <v>0</v>
      </c>
      <c r="R833">
        <f t="shared" si="1087"/>
        <v>0</v>
      </c>
      <c r="S833">
        <f t="shared" si="265"/>
        <v>0</v>
      </c>
      <c r="U833" s="8"/>
      <c r="V833">
        <f t="shared" si="9"/>
        <v>0</v>
      </c>
      <c r="W833">
        <f t="shared" si="10"/>
        <v>0</v>
      </c>
      <c r="X833">
        <f t="shared" si="11"/>
        <v>0</v>
      </c>
      <c r="Z833" s="8"/>
      <c r="AA833">
        <f t="shared" si="12"/>
        <v>0</v>
      </c>
      <c r="AB833">
        <f t="shared" si="13"/>
        <v>0</v>
      </c>
      <c r="AC833">
        <f t="shared" si="14"/>
        <v>0</v>
      </c>
    </row>
    <row r="834">
      <c r="O834" s="8"/>
      <c r="P834">
        <f t="shared" ref="P834:R834" si="1088">B834+P835</f>
        <v>0</v>
      </c>
      <c r="Q834">
        <f t="shared" si="1088"/>
        <v>0</v>
      </c>
      <c r="R834">
        <f t="shared" si="1088"/>
        <v>0</v>
      </c>
      <c r="S834">
        <f t="shared" si="265"/>
        <v>0</v>
      </c>
      <c r="U834" s="8"/>
      <c r="V834">
        <f t="shared" si="9"/>
        <v>0</v>
      </c>
      <c r="W834">
        <f t="shared" si="10"/>
        <v>0</v>
      </c>
      <c r="X834">
        <f t="shared" si="11"/>
        <v>0</v>
      </c>
      <c r="Z834" s="8"/>
      <c r="AA834">
        <f t="shared" si="12"/>
        <v>0</v>
      </c>
      <c r="AB834">
        <f t="shared" si="13"/>
        <v>0</v>
      </c>
      <c r="AC834">
        <f t="shared" si="14"/>
        <v>0</v>
      </c>
    </row>
    <row r="835">
      <c r="O835" s="8"/>
      <c r="P835">
        <f t="shared" ref="P835:R835" si="1089">B835+P836</f>
        <v>0</v>
      </c>
      <c r="Q835">
        <f t="shared" si="1089"/>
        <v>0</v>
      </c>
      <c r="R835">
        <f t="shared" si="1089"/>
        <v>0</v>
      </c>
      <c r="S835">
        <f t="shared" si="265"/>
        <v>0</v>
      </c>
      <c r="U835" s="8"/>
      <c r="V835">
        <f t="shared" si="9"/>
        <v>0</v>
      </c>
      <c r="W835">
        <f t="shared" si="10"/>
        <v>0</v>
      </c>
      <c r="X835">
        <f t="shared" si="11"/>
        <v>0</v>
      </c>
      <c r="Z835" s="8"/>
      <c r="AA835">
        <f t="shared" si="12"/>
        <v>0</v>
      </c>
      <c r="AB835">
        <f t="shared" si="13"/>
        <v>0</v>
      </c>
      <c r="AC835">
        <f t="shared" si="14"/>
        <v>0</v>
      </c>
    </row>
    <row r="836">
      <c r="O836" s="8"/>
      <c r="P836">
        <f t="shared" ref="P836:R836" si="1090">B836+P837</f>
        <v>0</v>
      </c>
      <c r="Q836">
        <f t="shared" si="1090"/>
        <v>0</v>
      </c>
      <c r="R836">
        <f t="shared" si="1090"/>
        <v>0</v>
      </c>
      <c r="S836">
        <f t="shared" si="265"/>
        <v>0</v>
      </c>
      <c r="U836" s="8"/>
      <c r="V836">
        <f t="shared" si="9"/>
        <v>0</v>
      </c>
      <c r="W836">
        <f t="shared" si="10"/>
        <v>0</v>
      </c>
      <c r="X836">
        <f t="shared" si="11"/>
        <v>0</v>
      </c>
      <c r="Z836" s="8"/>
      <c r="AA836">
        <f t="shared" si="12"/>
        <v>0</v>
      </c>
      <c r="AB836">
        <f t="shared" si="13"/>
        <v>0</v>
      </c>
      <c r="AC836">
        <f t="shared" si="14"/>
        <v>0</v>
      </c>
    </row>
    <row r="837">
      <c r="O837" s="8"/>
      <c r="P837">
        <f t="shared" ref="P837:R837" si="1091">B837+P838</f>
        <v>0</v>
      </c>
      <c r="Q837">
        <f t="shared" si="1091"/>
        <v>0</v>
      </c>
      <c r="R837">
        <f t="shared" si="1091"/>
        <v>0</v>
      </c>
      <c r="S837">
        <f t="shared" si="265"/>
        <v>0</v>
      </c>
      <c r="U837" s="8"/>
      <c r="V837">
        <f t="shared" si="9"/>
        <v>0</v>
      </c>
      <c r="W837">
        <f t="shared" si="10"/>
        <v>0</v>
      </c>
      <c r="X837">
        <f t="shared" si="11"/>
        <v>0</v>
      </c>
      <c r="Z837" s="8"/>
      <c r="AA837">
        <f t="shared" si="12"/>
        <v>0</v>
      </c>
      <c r="AB837">
        <f t="shared" si="13"/>
        <v>0</v>
      </c>
      <c r="AC837">
        <f t="shared" si="14"/>
        <v>0</v>
      </c>
    </row>
    <row r="838">
      <c r="O838" s="8"/>
      <c r="P838">
        <f t="shared" ref="P838:R838" si="1092">B838+P839</f>
        <v>0</v>
      </c>
      <c r="Q838">
        <f t="shared" si="1092"/>
        <v>0</v>
      </c>
      <c r="R838">
        <f t="shared" si="1092"/>
        <v>0</v>
      </c>
      <c r="S838">
        <f t="shared" si="265"/>
        <v>0</v>
      </c>
      <c r="U838" s="8"/>
      <c r="V838">
        <f t="shared" si="9"/>
        <v>0</v>
      </c>
      <c r="W838">
        <f t="shared" si="10"/>
        <v>0</v>
      </c>
      <c r="X838">
        <f t="shared" si="11"/>
        <v>0</v>
      </c>
      <c r="Z838" s="8"/>
      <c r="AA838">
        <f t="shared" si="12"/>
        <v>0</v>
      </c>
      <c r="AB838">
        <f t="shared" si="13"/>
        <v>0</v>
      </c>
      <c r="AC838">
        <f t="shared" si="14"/>
        <v>0</v>
      </c>
    </row>
    <row r="839">
      <c r="O839" s="8"/>
      <c r="P839">
        <f t="shared" ref="P839:R839" si="1093">B839+P840</f>
        <v>0</v>
      </c>
      <c r="Q839">
        <f t="shared" si="1093"/>
        <v>0</v>
      </c>
      <c r="R839">
        <f t="shared" si="1093"/>
        <v>0</v>
      </c>
      <c r="S839">
        <f t="shared" si="265"/>
        <v>0</v>
      </c>
      <c r="U839" s="8"/>
      <c r="V839">
        <f t="shared" si="9"/>
        <v>0</v>
      </c>
      <c r="W839">
        <f t="shared" si="10"/>
        <v>0</v>
      </c>
      <c r="X839">
        <f t="shared" si="11"/>
        <v>0</v>
      </c>
      <c r="Z839" s="8"/>
      <c r="AA839">
        <f t="shared" si="12"/>
        <v>0</v>
      </c>
      <c r="AB839">
        <f t="shared" si="13"/>
        <v>0</v>
      </c>
      <c r="AC839">
        <f t="shared" si="14"/>
        <v>0</v>
      </c>
    </row>
    <row r="840">
      <c r="O840" s="8"/>
      <c r="P840">
        <f t="shared" ref="P840:R840" si="1094">B840+P841</f>
        <v>0</v>
      </c>
      <c r="Q840">
        <f t="shared" si="1094"/>
        <v>0</v>
      </c>
      <c r="R840">
        <f t="shared" si="1094"/>
        <v>0</v>
      </c>
      <c r="S840">
        <f t="shared" si="265"/>
        <v>0</v>
      </c>
      <c r="U840" s="8"/>
      <c r="V840">
        <f t="shared" si="9"/>
        <v>0</v>
      </c>
      <c r="W840">
        <f t="shared" si="10"/>
        <v>0</v>
      </c>
      <c r="X840">
        <f t="shared" si="11"/>
        <v>0</v>
      </c>
      <c r="Z840" s="8"/>
      <c r="AA840">
        <f t="shared" si="12"/>
        <v>0</v>
      </c>
      <c r="AB840">
        <f t="shared" si="13"/>
        <v>0</v>
      </c>
      <c r="AC840">
        <f t="shared" si="14"/>
        <v>0</v>
      </c>
    </row>
    <row r="841">
      <c r="O841" s="8"/>
      <c r="P841">
        <f t="shared" ref="P841:R841" si="1095">B841+P842</f>
        <v>0</v>
      </c>
      <c r="Q841">
        <f t="shared" si="1095"/>
        <v>0</v>
      </c>
      <c r="R841">
        <f t="shared" si="1095"/>
        <v>0</v>
      </c>
      <c r="S841">
        <f t="shared" si="265"/>
        <v>0</v>
      </c>
      <c r="U841" s="8"/>
      <c r="V841">
        <f t="shared" si="9"/>
        <v>0</v>
      </c>
      <c r="W841">
        <f t="shared" si="10"/>
        <v>0</v>
      </c>
      <c r="X841">
        <f t="shared" si="11"/>
        <v>0</v>
      </c>
      <c r="Z841" s="8"/>
      <c r="AA841">
        <f t="shared" si="12"/>
        <v>0</v>
      </c>
      <c r="AB841">
        <f t="shared" si="13"/>
        <v>0</v>
      </c>
      <c r="AC841">
        <f t="shared" si="14"/>
        <v>0</v>
      </c>
    </row>
    <row r="842">
      <c r="O842" s="8"/>
      <c r="P842">
        <f t="shared" ref="P842:R842" si="1096">B842+P843</f>
        <v>0</v>
      </c>
      <c r="Q842">
        <f t="shared" si="1096"/>
        <v>0</v>
      </c>
      <c r="R842">
        <f t="shared" si="1096"/>
        <v>0</v>
      </c>
      <c r="S842">
        <f t="shared" si="265"/>
        <v>0</v>
      </c>
      <c r="U842" s="8"/>
      <c r="V842">
        <f t="shared" si="9"/>
        <v>0</v>
      </c>
      <c r="W842">
        <f t="shared" si="10"/>
        <v>0</v>
      </c>
      <c r="X842">
        <f t="shared" si="11"/>
        <v>0</v>
      </c>
      <c r="Z842" s="8"/>
      <c r="AA842">
        <f t="shared" si="12"/>
        <v>0</v>
      </c>
      <c r="AB842">
        <f t="shared" si="13"/>
        <v>0</v>
      </c>
      <c r="AC842">
        <f t="shared" si="14"/>
        <v>0</v>
      </c>
    </row>
    <row r="843">
      <c r="O843" s="8"/>
      <c r="P843">
        <f t="shared" ref="P843:R843" si="1097">B843+P844</f>
        <v>0</v>
      </c>
      <c r="Q843">
        <f t="shared" si="1097"/>
        <v>0</v>
      </c>
      <c r="R843">
        <f t="shared" si="1097"/>
        <v>0</v>
      </c>
      <c r="S843">
        <f t="shared" si="265"/>
        <v>0</v>
      </c>
      <c r="U843" s="8"/>
      <c r="V843">
        <f t="shared" si="9"/>
        <v>0</v>
      </c>
      <c r="W843">
        <f t="shared" si="10"/>
        <v>0</v>
      </c>
      <c r="X843">
        <f t="shared" si="11"/>
        <v>0</v>
      </c>
      <c r="Z843" s="8"/>
      <c r="AA843">
        <f t="shared" si="12"/>
        <v>0</v>
      </c>
      <c r="AB843">
        <f t="shared" si="13"/>
        <v>0</v>
      </c>
      <c r="AC843">
        <f t="shared" si="14"/>
        <v>0</v>
      </c>
    </row>
    <row r="844">
      <c r="O844" s="8"/>
      <c r="P844">
        <f t="shared" ref="P844:R844" si="1098">B844+P845</f>
        <v>0</v>
      </c>
      <c r="Q844">
        <f t="shared" si="1098"/>
        <v>0</v>
      </c>
      <c r="R844">
        <f t="shared" si="1098"/>
        <v>0</v>
      </c>
      <c r="S844">
        <f t="shared" si="265"/>
        <v>0</v>
      </c>
      <c r="U844" s="8"/>
      <c r="V844">
        <f t="shared" si="9"/>
        <v>0</v>
      </c>
      <c r="W844">
        <f t="shared" si="10"/>
        <v>0</v>
      </c>
      <c r="X844">
        <f t="shared" si="11"/>
        <v>0</v>
      </c>
      <c r="Z844" s="8"/>
      <c r="AA844">
        <f t="shared" si="12"/>
        <v>0</v>
      </c>
      <c r="AB844">
        <f t="shared" si="13"/>
        <v>0</v>
      </c>
      <c r="AC844">
        <f t="shared" si="14"/>
        <v>0</v>
      </c>
    </row>
    <row r="845">
      <c r="O845" s="8"/>
      <c r="P845">
        <f t="shared" ref="P845:R845" si="1099">B845+P846</f>
        <v>0</v>
      </c>
      <c r="Q845">
        <f t="shared" si="1099"/>
        <v>0</v>
      </c>
      <c r="R845">
        <f t="shared" si="1099"/>
        <v>0</v>
      </c>
      <c r="S845">
        <f t="shared" si="265"/>
        <v>0</v>
      </c>
      <c r="U845" s="8"/>
      <c r="V845">
        <f t="shared" si="9"/>
        <v>0</v>
      </c>
      <c r="W845">
        <f t="shared" si="10"/>
        <v>0</v>
      </c>
      <c r="X845">
        <f t="shared" si="11"/>
        <v>0</v>
      </c>
      <c r="Z845" s="8"/>
      <c r="AA845">
        <f t="shared" si="12"/>
        <v>0</v>
      </c>
      <c r="AB845">
        <f t="shared" si="13"/>
        <v>0</v>
      </c>
      <c r="AC845">
        <f t="shared" si="14"/>
        <v>0</v>
      </c>
    </row>
    <row r="846">
      <c r="O846" s="8"/>
      <c r="P846">
        <f t="shared" ref="P846:R846" si="1100">B846+P847</f>
        <v>0</v>
      </c>
      <c r="Q846">
        <f t="shared" si="1100"/>
        <v>0</v>
      </c>
      <c r="R846">
        <f t="shared" si="1100"/>
        <v>0</v>
      </c>
      <c r="S846">
        <f t="shared" si="265"/>
        <v>0</v>
      </c>
      <c r="U846" s="8"/>
      <c r="V846">
        <f t="shared" si="9"/>
        <v>0</v>
      </c>
      <c r="W846">
        <f t="shared" si="10"/>
        <v>0</v>
      </c>
      <c r="X846">
        <f t="shared" si="11"/>
        <v>0</v>
      </c>
      <c r="Z846" s="8"/>
      <c r="AA846">
        <f t="shared" si="12"/>
        <v>0</v>
      </c>
      <c r="AB846">
        <f t="shared" si="13"/>
        <v>0</v>
      </c>
      <c r="AC846">
        <f t="shared" si="14"/>
        <v>0</v>
      </c>
    </row>
    <row r="847">
      <c r="O847" s="8"/>
      <c r="P847">
        <f t="shared" ref="P847:R847" si="1101">B847+P848</f>
        <v>0</v>
      </c>
      <c r="Q847">
        <f t="shared" si="1101"/>
        <v>0</v>
      </c>
      <c r="R847">
        <f t="shared" si="1101"/>
        <v>0</v>
      </c>
      <c r="S847">
        <f t="shared" si="265"/>
        <v>0</v>
      </c>
      <c r="U847" s="8"/>
      <c r="V847">
        <f t="shared" si="9"/>
        <v>0</v>
      </c>
      <c r="W847">
        <f t="shared" si="10"/>
        <v>0</v>
      </c>
      <c r="X847">
        <f t="shared" si="11"/>
        <v>0</v>
      </c>
      <c r="Z847" s="8"/>
      <c r="AA847">
        <f t="shared" si="12"/>
        <v>0</v>
      </c>
      <c r="AB847">
        <f t="shared" si="13"/>
        <v>0</v>
      </c>
      <c r="AC847">
        <f t="shared" si="14"/>
        <v>0</v>
      </c>
    </row>
    <row r="848">
      <c r="O848" s="8"/>
      <c r="P848">
        <f t="shared" ref="P848:R848" si="1102">B848+P849</f>
        <v>0</v>
      </c>
      <c r="Q848">
        <f t="shared" si="1102"/>
        <v>0</v>
      </c>
      <c r="R848">
        <f t="shared" si="1102"/>
        <v>0</v>
      </c>
      <c r="S848">
        <f t="shared" si="265"/>
        <v>0</v>
      </c>
      <c r="U848" s="8"/>
      <c r="V848">
        <f t="shared" si="9"/>
        <v>0</v>
      </c>
      <c r="W848">
        <f t="shared" si="10"/>
        <v>0</v>
      </c>
      <c r="X848">
        <f t="shared" si="11"/>
        <v>0</v>
      </c>
      <c r="Z848" s="8"/>
      <c r="AA848">
        <f t="shared" si="12"/>
        <v>0</v>
      </c>
      <c r="AB848">
        <f t="shared" si="13"/>
        <v>0</v>
      </c>
      <c r="AC848">
        <f t="shared" si="14"/>
        <v>0</v>
      </c>
    </row>
    <row r="849">
      <c r="O849" s="8"/>
      <c r="P849">
        <f t="shared" ref="P849:R849" si="1103">B849+P850</f>
        <v>0</v>
      </c>
      <c r="Q849">
        <f t="shared" si="1103"/>
        <v>0</v>
      </c>
      <c r="R849">
        <f t="shared" si="1103"/>
        <v>0</v>
      </c>
      <c r="S849">
        <f t="shared" si="265"/>
        <v>0</v>
      </c>
      <c r="U849" s="8"/>
      <c r="V849">
        <f t="shared" si="9"/>
        <v>0</v>
      </c>
      <c r="W849">
        <f t="shared" si="10"/>
        <v>0</v>
      </c>
      <c r="X849">
        <f t="shared" si="11"/>
        <v>0</v>
      </c>
      <c r="Z849" s="8"/>
      <c r="AA849">
        <f t="shared" si="12"/>
        <v>0</v>
      </c>
      <c r="AB849">
        <f t="shared" si="13"/>
        <v>0</v>
      </c>
      <c r="AC849">
        <f t="shared" si="14"/>
        <v>0</v>
      </c>
    </row>
    <row r="850">
      <c r="O850" s="8"/>
      <c r="P850">
        <f t="shared" ref="P850:R850" si="1104">B850+P851</f>
        <v>0</v>
      </c>
      <c r="Q850">
        <f t="shared" si="1104"/>
        <v>0</v>
      </c>
      <c r="R850">
        <f t="shared" si="1104"/>
        <v>0</v>
      </c>
      <c r="S850">
        <f t="shared" si="265"/>
        <v>0</v>
      </c>
      <c r="U850" s="8"/>
      <c r="V850">
        <f t="shared" si="9"/>
        <v>0</v>
      </c>
      <c r="W850">
        <f t="shared" si="10"/>
        <v>0</v>
      </c>
      <c r="X850">
        <f t="shared" si="11"/>
        <v>0</v>
      </c>
      <c r="Z850" s="8"/>
      <c r="AA850">
        <f t="shared" si="12"/>
        <v>0</v>
      </c>
      <c r="AB850">
        <f t="shared" si="13"/>
        <v>0</v>
      </c>
      <c r="AC850">
        <f t="shared" si="14"/>
        <v>0</v>
      </c>
    </row>
    <row r="851">
      <c r="O851" s="8"/>
      <c r="P851">
        <f t="shared" ref="P851:R851" si="1105">B851+P852</f>
        <v>0</v>
      </c>
      <c r="Q851">
        <f t="shared" si="1105"/>
        <v>0</v>
      </c>
      <c r="R851">
        <f t="shared" si="1105"/>
        <v>0</v>
      </c>
      <c r="S851">
        <f t="shared" si="265"/>
        <v>0</v>
      </c>
      <c r="U851" s="8"/>
      <c r="V851">
        <f t="shared" si="9"/>
        <v>0</v>
      </c>
      <c r="W851">
        <f t="shared" si="10"/>
        <v>0</v>
      </c>
      <c r="X851">
        <f t="shared" si="11"/>
        <v>0</v>
      </c>
      <c r="Z851" s="8"/>
      <c r="AA851">
        <f t="shared" si="12"/>
        <v>0</v>
      </c>
      <c r="AB851">
        <f t="shared" si="13"/>
        <v>0</v>
      </c>
      <c r="AC851">
        <f t="shared" si="14"/>
        <v>0</v>
      </c>
    </row>
    <row r="852">
      <c r="O852" s="8"/>
      <c r="P852">
        <f t="shared" ref="P852:R852" si="1106">B852+P853</f>
        <v>0</v>
      </c>
      <c r="Q852">
        <f t="shared" si="1106"/>
        <v>0</v>
      </c>
      <c r="R852">
        <f t="shared" si="1106"/>
        <v>0</v>
      </c>
      <c r="S852">
        <f t="shared" si="265"/>
        <v>0</v>
      </c>
      <c r="U852" s="8"/>
      <c r="V852">
        <f t="shared" si="9"/>
        <v>0</v>
      </c>
      <c r="W852">
        <f t="shared" si="10"/>
        <v>0</v>
      </c>
      <c r="X852">
        <f t="shared" si="11"/>
        <v>0</v>
      </c>
      <c r="Z852" s="8"/>
      <c r="AA852">
        <f t="shared" si="12"/>
        <v>0</v>
      </c>
      <c r="AB852">
        <f t="shared" si="13"/>
        <v>0</v>
      </c>
      <c r="AC852">
        <f t="shared" si="14"/>
        <v>0</v>
      </c>
    </row>
    <row r="853">
      <c r="O853" s="8"/>
      <c r="P853">
        <f t="shared" ref="P853:R853" si="1107">B853+P854</f>
        <v>0</v>
      </c>
      <c r="Q853">
        <f t="shared" si="1107"/>
        <v>0</v>
      </c>
      <c r="R853">
        <f t="shared" si="1107"/>
        <v>0</v>
      </c>
      <c r="S853">
        <f t="shared" si="265"/>
        <v>0</v>
      </c>
      <c r="U853" s="8"/>
      <c r="V853">
        <f t="shared" si="9"/>
        <v>0</v>
      </c>
      <c r="W853">
        <f t="shared" si="10"/>
        <v>0</v>
      </c>
      <c r="X853">
        <f t="shared" si="11"/>
        <v>0</v>
      </c>
      <c r="Z853" s="8"/>
      <c r="AA853">
        <f t="shared" si="12"/>
        <v>0</v>
      </c>
      <c r="AB853">
        <f t="shared" si="13"/>
        <v>0</v>
      </c>
      <c r="AC853">
        <f t="shared" si="14"/>
        <v>0</v>
      </c>
    </row>
    <row r="854">
      <c r="O854" s="8"/>
      <c r="P854">
        <f t="shared" ref="P854:R854" si="1108">B854+P855</f>
        <v>0</v>
      </c>
      <c r="Q854">
        <f t="shared" si="1108"/>
        <v>0</v>
      </c>
      <c r="R854">
        <f t="shared" si="1108"/>
        <v>0</v>
      </c>
      <c r="S854">
        <f t="shared" si="265"/>
        <v>0</v>
      </c>
      <c r="U854" s="8"/>
      <c r="V854">
        <f t="shared" si="9"/>
        <v>0</v>
      </c>
      <c r="W854">
        <f t="shared" si="10"/>
        <v>0</v>
      </c>
      <c r="X854">
        <f t="shared" si="11"/>
        <v>0</v>
      </c>
      <c r="Z854" s="8"/>
      <c r="AA854">
        <f t="shared" si="12"/>
        <v>0</v>
      </c>
      <c r="AB854">
        <f t="shared" si="13"/>
        <v>0</v>
      </c>
      <c r="AC854">
        <f t="shared" si="14"/>
        <v>0</v>
      </c>
    </row>
    <row r="855">
      <c r="O855" s="8"/>
      <c r="P855">
        <f t="shared" ref="P855:R855" si="1109">B855+P856</f>
        <v>0</v>
      </c>
      <c r="Q855">
        <f t="shared" si="1109"/>
        <v>0</v>
      </c>
      <c r="R855">
        <f t="shared" si="1109"/>
        <v>0</v>
      </c>
      <c r="S855">
        <f t="shared" si="265"/>
        <v>0</v>
      </c>
      <c r="U855" s="8"/>
      <c r="V855">
        <f t="shared" si="9"/>
        <v>0</v>
      </c>
      <c r="W855">
        <f t="shared" si="10"/>
        <v>0</v>
      </c>
      <c r="X855">
        <f t="shared" si="11"/>
        <v>0</v>
      </c>
      <c r="Z855" s="8"/>
      <c r="AA855">
        <f t="shared" si="12"/>
        <v>0</v>
      </c>
      <c r="AB855">
        <f t="shared" si="13"/>
        <v>0</v>
      </c>
      <c r="AC855">
        <f t="shared" si="14"/>
        <v>0</v>
      </c>
    </row>
    <row r="856">
      <c r="O856" s="8"/>
      <c r="P856">
        <f t="shared" ref="P856:R856" si="1110">B856+P857</f>
        <v>0</v>
      </c>
      <c r="Q856">
        <f t="shared" si="1110"/>
        <v>0</v>
      </c>
      <c r="R856">
        <f t="shared" si="1110"/>
        <v>0</v>
      </c>
      <c r="S856">
        <f t="shared" si="265"/>
        <v>0</v>
      </c>
      <c r="U856" s="8"/>
      <c r="V856">
        <f t="shared" si="9"/>
        <v>0</v>
      </c>
      <c r="W856">
        <f t="shared" si="10"/>
        <v>0</v>
      </c>
      <c r="X856">
        <f t="shared" si="11"/>
        <v>0</v>
      </c>
      <c r="Z856" s="8"/>
      <c r="AA856">
        <f t="shared" si="12"/>
        <v>0</v>
      </c>
      <c r="AB856">
        <f t="shared" si="13"/>
        <v>0</v>
      </c>
      <c r="AC856">
        <f t="shared" si="14"/>
        <v>0</v>
      </c>
    </row>
    <row r="857">
      <c r="O857" s="8"/>
      <c r="P857">
        <f t="shared" ref="P857:R857" si="1111">B857+P858</f>
        <v>0</v>
      </c>
      <c r="Q857">
        <f t="shared" si="1111"/>
        <v>0</v>
      </c>
      <c r="R857">
        <f t="shared" si="1111"/>
        <v>0</v>
      </c>
      <c r="S857">
        <f t="shared" si="265"/>
        <v>0</v>
      </c>
      <c r="U857" s="8"/>
      <c r="V857">
        <f t="shared" si="9"/>
        <v>0</v>
      </c>
      <c r="W857">
        <f t="shared" si="10"/>
        <v>0</v>
      </c>
      <c r="X857">
        <f t="shared" si="11"/>
        <v>0</v>
      </c>
      <c r="Z857" s="8"/>
      <c r="AA857">
        <f t="shared" si="12"/>
        <v>0</v>
      </c>
      <c r="AB857">
        <f t="shared" si="13"/>
        <v>0</v>
      </c>
      <c r="AC857">
        <f t="shared" si="14"/>
        <v>0</v>
      </c>
    </row>
    <row r="858">
      <c r="O858" s="8"/>
      <c r="P858">
        <f t="shared" ref="P858:R858" si="1112">B858+P859</f>
        <v>0</v>
      </c>
      <c r="Q858">
        <f t="shared" si="1112"/>
        <v>0</v>
      </c>
      <c r="R858">
        <f t="shared" si="1112"/>
        <v>0</v>
      </c>
      <c r="S858">
        <f t="shared" si="265"/>
        <v>0</v>
      </c>
      <c r="U858" s="8"/>
      <c r="V858">
        <f t="shared" si="9"/>
        <v>0</v>
      </c>
      <c r="W858">
        <f t="shared" si="10"/>
        <v>0</v>
      </c>
      <c r="X858">
        <f t="shared" si="11"/>
        <v>0</v>
      </c>
      <c r="Z858" s="8"/>
      <c r="AA858">
        <f t="shared" si="12"/>
        <v>0</v>
      </c>
      <c r="AB858">
        <f t="shared" si="13"/>
        <v>0</v>
      </c>
      <c r="AC858">
        <f t="shared" si="14"/>
        <v>0</v>
      </c>
    </row>
    <row r="859">
      <c r="O859" s="8"/>
      <c r="P859">
        <f t="shared" ref="P859:R859" si="1113">B859+P860</f>
        <v>0</v>
      </c>
      <c r="Q859">
        <f t="shared" si="1113"/>
        <v>0</v>
      </c>
      <c r="R859">
        <f t="shared" si="1113"/>
        <v>0</v>
      </c>
      <c r="S859">
        <f t="shared" si="265"/>
        <v>0</v>
      </c>
      <c r="U859" s="8"/>
      <c r="V859">
        <f t="shared" si="9"/>
        <v>0</v>
      </c>
      <c r="W859">
        <f t="shared" si="10"/>
        <v>0</v>
      </c>
      <c r="X859">
        <f t="shared" si="11"/>
        <v>0</v>
      </c>
      <c r="Z859" s="8"/>
      <c r="AA859">
        <f t="shared" si="12"/>
        <v>0</v>
      </c>
      <c r="AB859">
        <f t="shared" si="13"/>
        <v>0</v>
      </c>
      <c r="AC859">
        <f t="shared" si="14"/>
        <v>0</v>
      </c>
    </row>
    <row r="860">
      <c r="O860" s="8"/>
      <c r="P860">
        <f t="shared" ref="P860:R860" si="1114">B860+P861</f>
        <v>0</v>
      </c>
      <c r="Q860">
        <f t="shared" si="1114"/>
        <v>0</v>
      </c>
      <c r="R860">
        <f t="shared" si="1114"/>
        <v>0</v>
      </c>
      <c r="S860">
        <f t="shared" si="265"/>
        <v>0</v>
      </c>
      <c r="U860" s="8"/>
      <c r="V860">
        <f t="shared" si="9"/>
        <v>0</v>
      </c>
      <c r="W860">
        <f t="shared" si="10"/>
        <v>0</v>
      </c>
      <c r="X860">
        <f t="shared" si="11"/>
        <v>0</v>
      </c>
      <c r="Z860" s="8"/>
      <c r="AA860">
        <f t="shared" si="12"/>
        <v>0</v>
      </c>
      <c r="AB860">
        <f t="shared" si="13"/>
        <v>0</v>
      </c>
      <c r="AC860">
        <f t="shared" si="14"/>
        <v>0</v>
      </c>
    </row>
    <row r="861">
      <c r="O861" s="8"/>
      <c r="P861">
        <f t="shared" ref="P861:R861" si="1115">B861+P862</f>
        <v>0</v>
      </c>
      <c r="Q861">
        <f t="shared" si="1115"/>
        <v>0</v>
      </c>
      <c r="R861">
        <f t="shared" si="1115"/>
        <v>0</v>
      </c>
      <c r="S861">
        <f t="shared" si="265"/>
        <v>0</v>
      </c>
      <c r="U861" s="8"/>
      <c r="V861">
        <f t="shared" si="9"/>
        <v>0</v>
      </c>
      <c r="W861">
        <f t="shared" si="10"/>
        <v>0</v>
      </c>
      <c r="X861">
        <f t="shared" si="11"/>
        <v>0</v>
      </c>
      <c r="Z861" s="8"/>
      <c r="AA861">
        <f t="shared" si="12"/>
        <v>0</v>
      </c>
      <c r="AB861">
        <f t="shared" si="13"/>
        <v>0</v>
      </c>
      <c r="AC861">
        <f t="shared" si="14"/>
        <v>0</v>
      </c>
    </row>
    <row r="862">
      <c r="O862" s="8"/>
      <c r="P862">
        <f t="shared" ref="P862:R862" si="1116">B862+P863</f>
        <v>0</v>
      </c>
      <c r="Q862">
        <f t="shared" si="1116"/>
        <v>0</v>
      </c>
      <c r="R862">
        <f t="shared" si="1116"/>
        <v>0</v>
      </c>
      <c r="S862">
        <f t="shared" si="265"/>
        <v>0</v>
      </c>
      <c r="U862" s="8"/>
      <c r="V862">
        <f t="shared" si="9"/>
        <v>0</v>
      </c>
      <c r="W862">
        <f t="shared" si="10"/>
        <v>0</v>
      </c>
      <c r="X862">
        <f t="shared" si="11"/>
        <v>0</v>
      </c>
      <c r="Z862" s="8"/>
      <c r="AA862">
        <f t="shared" si="12"/>
        <v>0</v>
      </c>
      <c r="AB862">
        <f t="shared" si="13"/>
        <v>0</v>
      </c>
      <c r="AC862">
        <f t="shared" si="14"/>
        <v>0</v>
      </c>
    </row>
    <row r="863">
      <c r="O863" s="8"/>
      <c r="P863">
        <f t="shared" ref="P863:R863" si="1117">B863+P864</f>
        <v>0</v>
      </c>
      <c r="Q863">
        <f t="shared" si="1117"/>
        <v>0</v>
      </c>
      <c r="R863">
        <f t="shared" si="1117"/>
        <v>0</v>
      </c>
      <c r="S863">
        <f t="shared" si="265"/>
        <v>0</v>
      </c>
      <c r="U863" s="8"/>
      <c r="V863">
        <f t="shared" si="9"/>
        <v>0</v>
      </c>
      <c r="W863">
        <f t="shared" si="10"/>
        <v>0</v>
      </c>
      <c r="X863">
        <f t="shared" si="11"/>
        <v>0</v>
      </c>
      <c r="Z863" s="8"/>
      <c r="AA863">
        <f t="shared" si="12"/>
        <v>0</v>
      </c>
      <c r="AB863">
        <f t="shared" si="13"/>
        <v>0</v>
      </c>
      <c r="AC863">
        <f t="shared" si="14"/>
        <v>0</v>
      </c>
    </row>
    <row r="864">
      <c r="O864" s="8"/>
      <c r="P864">
        <f t="shared" ref="P864:R864" si="1118">B864+P865</f>
        <v>0</v>
      </c>
      <c r="Q864">
        <f t="shared" si="1118"/>
        <v>0</v>
      </c>
      <c r="R864">
        <f t="shared" si="1118"/>
        <v>0</v>
      </c>
      <c r="S864">
        <f t="shared" si="265"/>
        <v>0</v>
      </c>
      <c r="U864" s="8"/>
      <c r="V864">
        <f t="shared" si="9"/>
        <v>0</v>
      </c>
      <c r="W864">
        <f t="shared" si="10"/>
        <v>0</v>
      </c>
      <c r="X864">
        <f t="shared" si="11"/>
        <v>0</v>
      </c>
      <c r="Z864" s="8"/>
      <c r="AA864">
        <f t="shared" si="12"/>
        <v>0</v>
      </c>
      <c r="AB864">
        <f t="shared" si="13"/>
        <v>0</v>
      </c>
      <c r="AC864">
        <f t="shared" si="14"/>
        <v>0</v>
      </c>
    </row>
    <row r="865">
      <c r="O865" s="8"/>
      <c r="P865">
        <f t="shared" ref="P865:R865" si="1119">B865+P866</f>
        <v>0</v>
      </c>
      <c r="Q865">
        <f t="shared" si="1119"/>
        <v>0</v>
      </c>
      <c r="R865">
        <f t="shared" si="1119"/>
        <v>0</v>
      </c>
      <c r="S865">
        <f t="shared" si="265"/>
        <v>0</v>
      </c>
      <c r="U865" s="8"/>
      <c r="V865">
        <f t="shared" si="9"/>
        <v>0</v>
      </c>
      <c r="W865">
        <f t="shared" si="10"/>
        <v>0</v>
      </c>
      <c r="X865">
        <f t="shared" si="11"/>
        <v>0</v>
      </c>
      <c r="Z865" s="8"/>
      <c r="AA865">
        <f t="shared" si="12"/>
        <v>0</v>
      </c>
      <c r="AB865">
        <f t="shared" si="13"/>
        <v>0</v>
      </c>
      <c r="AC865">
        <f t="shared" si="14"/>
        <v>0</v>
      </c>
    </row>
    <row r="866">
      <c r="O866" s="8"/>
      <c r="P866">
        <f t="shared" ref="P866:R866" si="1120">B866+P867</f>
        <v>0</v>
      </c>
      <c r="Q866">
        <f t="shared" si="1120"/>
        <v>0</v>
      </c>
      <c r="R866">
        <f t="shared" si="1120"/>
        <v>0</v>
      </c>
      <c r="S866">
        <f t="shared" si="265"/>
        <v>0</v>
      </c>
      <c r="U866" s="8"/>
      <c r="V866">
        <f t="shared" si="9"/>
        <v>0</v>
      </c>
      <c r="W866">
        <f t="shared" si="10"/>
        <v>0</v>
      </c>
      <c r="X866">
        <f t="shared" si="11"/>
        <v>0</v>
      </c>
      <c r="Z866" s="8"/>
      <c r="AA866">
        <f t="shared" si="12"/>
        <v>0</v>
      </c>
      <c r="AB866">
        <f t="shared" si="13"/>
        <v>0</v>
      </c>
      <c r="AC866">
        <f t="shared" si="14"/>
        <v>0</v>
      </c>
    </row>
    <row r="867">
      <c r="O867" s="8"/>
      <c r="P867">
        <f t="shared" ref="P867:R867" si="1121">B867+P868</f>
        <v>0</v>
      </c>
      <c r="Q867">
        <f t="shared" si="1121"/>
        <v>0</v>
      </c>
      <c r="R867">
        <f t="shared" si="1121"/>
        <v>0</v>
      </c>
      <c r="S867">
        <f t="shared" si="265"/>
        <v>0</v>
      </c>
      <c r="U867" s="8"/>
      <c r="V867">
        <f t="shared" si="9"/>
        <v>0</v>
      </c>
      <c r="W867">
        <f t="shared" si="10"/>
        <v>0</v>
      </c>
      <c r="X867">
        <f t="shared" si="11"/>
        <v>0</v>
      </c>
      <c r="Z867" s="8"/>
      <c r="AA867">
        <f t="shared" si="12"/>
        <v>0</v>
      </c>
      <c r="AB867">
        <f t="shared" si="13"/>
        <v>0</v>
      </c>
      <c r="AC867">
        <f t="shared" si="14"/>
        <v>0</v>
      </c>
    </row>
    <row r="868">
      <c r="O868" s="8"/>
      <c r="P868">
        <f t="shared" ref="P868:R868" si="1122">B868+P869</f>
        <v>0</v>
      </c>
      <c r="Q868">
        <f t="shared" si="1122"/>
        <v>0</v>
      </c>
      <c r="R868">
        <f t="shared" si="1122"/>
        <v>0</v>
      </c>
      <c r="S868">
        <f t="shared" si="265"/>
        <v>0</v>
      </c>
      <c r="U868" s="8"/>
      <c r="V868">
        <f t="shared" si="9"/>
        <v>0</v>
      </c>
      <c r="W868">
        <f t="shared" si="10"/>
        <v>0</v>
      </c>
      <c r="X868">
        <f t="shared" si="11"/>
        <v>0</v>
      </c>
      <c r="Z868" s="8"/>
      <c r="AA868">
        <f t="shared" si="12"/>
        <v>0</v>
      </c>
      <c r="AB868">
        <f t="shared" si="13"/>
        <v>0</v>
      </c>
      <c r="AC868">
        <f t="shared" si="14"/>
        <v>0</v>
      </c>
    </row>
    <row r="869">
      <c r="O869" s="8"/>
      <c r="P869">
        <f t="shared" ref="P869:R869" si="1123">B869+P870</f>
        <v>0</v>
      </c>
      <c r="Q869">
        <f t="shared" si="1123"/>
        <v>0</v>
      </c>
      <c r="R869">
        <f t="shared" si="1123"/>
        <v>0</v>
      </c>
      <c r="S869">
        <f t="shared" si="265"/>
        <v>0</v>
      </c>
      <c r="U869" s="8"/>
      <c r="V869">
        <f t="shared" si="9"/>
        <v>0</v>
      </c>
      <c r="W869">
        <f t="shared" si="10"/>
        <v>0</v>
      </c>
      <c r="X869">
        <f t="shared" si="11"/>
        <v>0</v>
      </c>
      <c r="Z869" s="8"/>
      <c r="AA869">
        <f t="shared" si="12"/>
        <v>0</v>
      </c>
      <c r="AB869">
        <f t="shared" si="13"/>
        <v>0</v>
      </c>
      <c r="AC869">
        <f t="shared" si="14"/>
        <v>0</v>
      </c>
    </row>
    <row r="870">
      <c r="O870" s="8"/>
      <c r="P870">
        <f t="shared" ref="P870:R870" si="1124">B870+P871</f>
        <v>0</v>
      </c>
      <c r="Q870">
        <f t="shared" si="1124"/>
        <v>0</v>
      </c>
      <c r="R870">
        <f t="shared" si="1124"/>
        <v>0</v>
      </c>
      <c r="S870">
        <f t="shared" si="265"/>
        <v>0</v>
      </c>
      <c r="U870" s="8"/>
      <c r="V870">
        <f t="shared" si="9"/>
        <v>0</v>
      </c>
      <c r="W870">
        <f t="shared" si="10"/>
        <v>0</v>
      </c>
      <c r="X870">
        <f t="shared" si="11"/>
        <v>0</v>
      </c>
      <c r="Z870" s="8"/>
      <c r="AA870">
        <f t="shared" si="12"/>
        <v>0</v>
      </c>
      <c r="AB870">
        <f t="shared" si="13"/>
        <v>0</v>
      </c>
      <c r="AC870">
        <f t="shared" si="14"/>
        <v>0</v>
      </c>
    </row>
    <row r="871">
      <c r="O871" s="8"/>
      <c r="P871">
        <f t="shared" ref="P871:R871" si="1125">B871+P872</f>
        <v>0</v>
      </c>
      <c r="Q871">
        <f t="shared" si="1125"/>
        <v>0</v>
      </c>
      <c r="R871">
        <f t="shared" si="1125"/>
        <v>0</v>
      </c>
      <c r="S871">
        <f t="shared" si="265"/>
        <v>0</v>
      </c>
      <c r="U871" s="8"/>
      <c r="V871">
        <f t="shared" si="9"/>
        <v>0</v>
      </c>
      <c r="W871">
        <f t="shared" si="10"/>
        <v>0</v>
      </c>
      <c r="X871">
        <f t="shared" si="11"/>
        <v>0</v>
      </c>
      <c r="Z871" s="8"/>
      <c r="AA871">
        <f t="shared" si="12"/>
        <v>0</v>
      </c>
      <c r="AB871">
        <f t="shared" si="13"/>
        <v>0</v>
      </c>
      <c r="AC871">
        <f t="shared" si="14"/>
        <v>0</v>
      </c>
    </row>
    <row r="872">
      <c r="O872" s="8"/>
      <c r="P872">
        <f t="shared" ref="P872:R872" si="1126">B872+P873</f>
        <v>0</v>
      </c>
      <c r="Q872">
        <f t="shared" si="1126"/>
        <v>0</v>
      </c>
      <c r="R872">
        <f t="shared" si="1126"/>
        <v>0</v>
      </c>
      <c r="S872">
        <f t="shared" si="265"/>
        <v>0</v>
      </c>
      <c r="U872" s="8"/>
      <c r="V872">
        <f t="shared" si="9"/>
        <v>0</v>
      </c>
      <c r="W872">
        <f t="shared" si="10"/>
        <v>0</v>
      </c>
      <c r="X872">
        <f t="shared" si="11"/>
        <v>0</v>
      </c>
      <c r="Z872" s="8"/>
      <c r="AA872">
        <f t="shared" si="12"/>
        <v>0</v>
      </c>
      <c r="AB872">
        <f t="shared" si="13"/>
        <v>0</v>
      </c>
      <c r="AC872">
        <f t="shared" si="14"/>
        <v>0</v>
      </c>
    </row>
    <row r="873">
      <c r="O873" s="8"/>
      <c r="P873">
        <f t="shared" ref="P873:R873" si="1127">B873+P874</f>
        <v>0</v>
      </c>
      <c r="Q873">
        <f t="shared" si="1127"/>
        <v>0</v>
      </c>
      <c r="R873">
        <f t="shared" si="1127"/>
        <v>0</v>
      </c>
      <c r="S873">
        <f t="shared" si="265"/>
        <v>0</v>
      </c>
      <c r="U873" s="8"/>
      <c r="V873">
        <f t="shared" si="9"/>
        <v>0</v>
      </c>
      <c r="W873">
        <f t="shared" si="10"/>
        <v>0</v>
      </c>
      <c r="X873">
        <f t="shared" si="11"/>
        <v>0</v>
      </c>
      <c r="Z873" s="8"/>
      <c r="AA873">
        <f t="shared" si="12"/>
        <v>0</v>
      </c>
      <c r="AB873">
        <f t="shared" si="13"/>
        <v>0</v>
      </c>
      <c r="AC873">
        <f t="shared" si="14"/>
        <v>0</v>
      </c>
    </row>
    <row r="874">
      <c r="O874" s="8"/>
      <c r="P874">
        <f t="shared" ref="P874:R874" si="1128">B874+P875</f>
        <v>0</v>
      </c>
      <c r="Q874">
        <f t="shared" si="1128"/>
        <v>0</v>
      </c>
      <c r="R874">
        <f t="shared" si="1128"/>
        <v>0</v>
      </c>
      <c r="S874">
        <f t="shared" si="265"/>
        <v>0</v>
      </c>
      <c r="U874" s="8"/>
      <c r="V874">
        <f t="shared" si="9"/>
        <v>0</v>
      </c>
      <c r="W874">
        <f t="shared" si="10"/>
        <v>0</v>
      </c>
      <c r="X874">
        <f t="shared" si="11"/>
        <v>0</v>
      </c>
      <c r="Z874" s="8"/>
      <c r="AA874">
        <f t="shared" si="12"/>
        <v>0</v>
      </c>
      <c r="AB874">
        <f t="shared" si="13"/>
        <v>0</v>
      </c>
      <c r="AC874">
        <f t="shared" si="14"/>
        <v>0</v>
      </c>
    </row>
    <row r="875">
      <c r="O875" s="8"/>
      <c r="P875">
        <f t="shared" ref="P875:R875" si="1129">B875+P876</f>
        <v>0</v>
      </c>
      <c r="Q875">
        <f t="shared" si="1129"/>
        <v>0</v>
      </c>
      <c r="R875">
        <f t="shared" si="1129"/>
        <v>0</v>
      </c>
      <c r="S875">
        <f t="shared" si="265"/>
        <v>0</v>
      </c>
      <c r="U875" s="8"/>
      <c r="V875">
        <f t="shared" si="9"/>
        <v>0</v>
      </c>
      <c r="W875">
        <f t="shared" si="10"/>
        <v>0</v>
      </c>
      <c r="X875">
        <f t="shared" si="11"/>
        <v>0</v>
      </c>
      <c r="Z875" s="8"/>
      <c r="AA875">
        <f t="shared" si="12"/>
        <v>0</v>
      </c>
      <c r="AB875">
        <f t="shared" si="13"/>
        <v>0</v>
      </c>
      <c r="AC875">
        <f t="shared" si="14"/>
        <v>0</v>
      </c>
    </row>
    <row r="876">
      <c r="O876" s="8"/>
      <c r="P876">
        <f t="shared" ref="P876:R876" si="1130">B876+P877</f>
        <v>0</v>
      </c>
      <c r="Q876">
        <f t="shared" si="1130"/>
        <v>0</v>
      </c>
      <c r="R876">
        <f t="shared" si="1130"/>
        <v>0</v>
      </c>
      <c r="S876">
        <f t="shared" si="265"/>
        <v>0</v>
      </c>
      <c r="U876" s="8"/>
      <c r="V876">
        <f t="shared" si="9"/>
        <v>0</v>
      </c>
      <c r="W876">
        <f t="shared" si="10"/>
        <v>0</v>
      </c>
      <c r="X876">
        <f t="shared" si="11"/>
        <v>0</v>
      </c>
      <c r="Z876" s="8"/>
      <c r="AA876">
        <f t="shared" si="12"/>
        <v>0</v>
      </c>
      <c r="AB876">
        <f t="shared" si="13"/>
        <v>0</v>
      </c>
      <c r="AC876">
        <f t="shared" si="14"/>
        <v>0</v>
      </c>
    </row>
    <row r="877">
      <c r="O877" s="8"/>
      <c r="P877">
        <f t="shared" ref="P877:R877" si="1131">B877+P878</f>
        <v>0</v>
      </c>
      <c r="Q877">
        <f t="shared" si="1131"/>
        <v>0</v>
      </c>
      <c r="R877">
        <f t="shared" si="1131"/>
        <v>0</v>
      </c>
      <c r="S877">
        <f t="shared" si="265"/>
        <v>0</v>
      </c>
      <c r="U877" s="8"/>
      <c r="V877">
        <f t="shared" si="9"/>
        <v>0</v>
      </c>
      <c r="W877">
        <f t="shared" si="10"/>
        <v>0</v>
      </c>
      <c r="X877">
        <f t="shared" si="11"/>
        <v>0</v>
      </c>
      <c r="Z877" s="8"/>
      <c r="AA877">
        <f t="shared" si="12"/>
        <v>0</v>
      </c>
      <c r="AB877">
        <f t="shared" si="13"/>
        <v>0</v>
      </c>
      <c r="AC877">
        <f t="shared" si="14"/>
        <v>0</v>
      </c>
    </row>
    <row r="878">
      <c r="O878" s="8"/>
      <c r="P878">
        <f t="shared" ref="P878:R878" si="1132">B878+P879</f>
        <v>0</v>
      </c>
      <c r="Q878">
        <f t="shared" si="1132"/>
        <v>0</v>
      </c>
      <c r="R878">
        <f t="shared" si="1132"/>
        <v>0</v>
      </c>
      <c r="S878">
        <f t="shared" si="265"/>
        <v>0</v>
      </c>
      <c r="U878" s="8"/>
      <c r="V878">
        <f t="shared" si="9"/>
        <v>0</v>
      </c>
      <c r="W878">
        <f t="shared" si="10"/>
        <v>0</v>
      </c>
      <c r="X878">
        <f t="shared" si="11"/>
        <v>0</v>
      </c>
      <c r="Z878" s="8"/>
      <c r="AA878">
        <f t="shared" si="12"/>
        <v>0</v>
      </c>
      <c r="AB878">
        <f t="shared" si="13"/>
        <v>0</v>
      </c>
      <c r="AC878">
        <f t="shared" si="14"/>
        <v>0</v>
      </c>
    </row>
    <row r="879">
      <c r="O879" s="8"/>
      <c r="P879">
        <f t="shared" ref="P879:R879" si="1133">B879+P880</f>
        <v>0</v>
      </c>
      <c r="Q879">
        <f t="shared" si="1133"/>
        <v>0</v>
      </c>
      <c r="R879">
        <f t="shared" si="1133"/>
        <v>0</v>
      </c>
      <c r="S879">
        <f t="shared" si="265"/>
        <v>0</v>
      </c>
      <c r="U879" s="8"/>
      <c r="V879">
        <f t="shared" si="9"/>
        <v>0</v>
      </c>
      <c r="W879">
        <f t="shared" si="10"/>
        <v>0</v>
      </c>
      <c r="X879">
        <f t="shared" si="11"/>
        <v>0</v>
      </c>
      <c r="Z879" s="8"/>
      <c r="AA879">
        <f t="shared" si="12"/>
        <v>0</v>
      </c>
      <c r="AB879">
        <f t="shared" si="13"/>
        <v>0</v>
      </c>
      <c r="AC879">
        <f t="shared" si="14"/>
        <v>0</v>
      </c>
    </row>
    <row r="880">
      <c r="O880" s="8"/>
      <c r="P880">
        <f t="shared" ref="P880:R880" si="1134">B880+P881</f>
        <v>0</v>
      </c>
      <c r="Q880">
        <f t="shared" si="1134"/>
        <v>0</v>
      </c>
      <c r="R880">
        <f t="shared" si="1134"/>
        <v>0</v>
      </c>
      <c r="S880">
        <f t="shared" si="265"/>
        <v>0</v>
      </c>
      <c r="U880" s="8"/>
      <c r="V880">
        <f t="shared" si="9"/>
        <v>0</v>
      </c>
      <c r="W880">
        <f t="shared" si="10"/>
        <v>0</v>
      </c>
      <c r="X880">
        <f t="shared" si="11"/>
        <v>0</v>
      </c>
      <c r="Z880" s="8"/>
      <c r="AA880">
        <f t="shared" si="12"/>
        <v>0</v>
      </c>
      <c r="AB880">
        <f t="shared" si="13"/>
        <v>0</v>
      </c>
      <c r="AC880">
        <f t="shared" si="14"/>
        <v>0</v>
      </c>
    </row>
    <row r="881">
      <c r="O881" s="8"/>
      <c r="P881">
        <f t="shared" ref="P881:R881" si="1135">B881+P882</f>
        <v>0</v>
      </c>
      <c r="Q881">
        <f t="shared" si="1135"/>
        <v>0</v>
      </c>
      <c r="R881">
        <f t="shared" si="1135"/>
        <v>0</v>
      </c>
      <c r="S881">
        <f t="shared" si="265"/>
        <v>0</v>
      </c>
      <c r="U881" s="8"/>
      <c r="V881">
        <f t="shared" si="9"/>
        <v>0</v>
      </c>
      <c r="W881">
        <f t="shared" si="10"/>
        <v>0</v>
      </c>
      <c r="X881">
        <f t="shared" si="11"/>
        <v>0</v>
      </c>
      <c r="Z881" s="8"/>
      <c r="AA881">
        <f t="shared" si="12"/>
        <v>0</v>
      </c>
      <c r="AB881">
        <f t="shared" si="13"/>
        <v>0</v>
      </c>
      <c r="AC881">
        <f t="shared" si="14"/>
        <v>0</v>
      </c>
    </row>
    <row r="882">
      <c r="O882" s="8"/>
      <c r="P882">
        <f t="shared" ref="P882:R882" si="1136">B882+P883</f>
        <v>0</v>
      </c>
      <c r="Q882">
        <f t="shared" si="1136"/>
        <v>0</v>
      </c>
      <c r="R882">
        <f t="shared" si="1136"/>
        <v>0</v>
      </c>
      <c r="S882">
        <f t="shared" si="265"/>
        <v>0</v>
      </c>
      <c r="U882" s="8"/>
      <c r="V882">
        <f t="shared" si="9"/>
        <v>0</v>
      </c>
      <c r="W882">
        <f t="shared" si="10"/>
        <v>0</v>
      </c>
      <c r="X882">
        <f t="shared" si="11"/>
        <v>0</v>
      </c>
      <c r="Z882" s="8"/>
      <c r="AA882">
        <f t="shared" si="12"/>
        <v>0</v>
      </c>
      <c r="AB882">
        <f t="shared" si="13"/>
        <v>0</v>
      </c>
      <c r="AC882">
        <f t="shared" si="14"/>
        <v>0</v>
      </c>
    </row>
    <row r="883">
      <c r="O883" s="8"/>
      <c r="P883">
        <f t="shared" ref="P883:R883" si="1137">B883+P884</f>
        <v>0</v>
      </c>
      <c r="Q883">
        <f t="shared" si="1137"/>
        <v>0</v>
      </c>
      <c r="R883">
        <f t="shared" si="1137"/>
        <v>0</v>
      </c>
      <c r="S883">
        <f t="shared" si="265"/>
        <v>0</v>
      </c>
      <c r="U883" s="8"/>
      <c r="V883">
        <f t="shared" si="9"/>
        <v>0</v>
      </c>
      <c r="W883">
        <f t="shared" si="10"/>
        <v>0</v>
      </c>
      <c r="X883">
        <f t="shared" si="11"/>
        <v>0</v>
      </c>
      <c r="Z883" s="8"/>
      <c r="AA883">
        <f t="shared" si="12"/>
        <v>0</v>
      </c>
      <c r="AB883">
        <f t="shared" si="13"/>
        <v>0</v>
      </c>
      <c r="AC883">
        <f t="shared" si="14"/>
        <v>0</v>
      </c>
    </row>
    <row r="884">
      <c r="O884" s="8"/>
      <c r="P884">
        <f t="shared" ref="P884:R884" si="1138">B884+P885</f>
        <v>0</v>
      </c>
      <c r="Q884">
        <f t="shared" si="1138"/>
        <v>0</v>
      </c>
      <c r="R884">
        <f t="shared" si="1138"/>
        <v>0</v>
      </c>
      <c r="S884">
        <f t="shared" si="265"/>
        <v>0</v>
      </c>
      <c r="U884" s="8"/>
      <c r="V884">
        <f t="shared" si="9"/>
        <v>0</v>
      </c>
      <c r="W884">
        <f t="shared" si="10"/>
        <v>0</v>
      </c>
      <c r="X884">
        <f t="shared" si="11"/>
        <v>0</v>
      </c>
      <c r="Z884" s="8"/>
      <c r="AA884">
        <f t="shared" si="12"/>
        <v>0</v>
      </c>
      <c r="AB884">
        <f t="shared" si="13"/>
        <v>0</v>
      </c>
      <c r="AC884">
        <f t="shared" si="14"/>
        <v>0</v>
      </c>
    </row>
    <row r="885">
      <c r="O885" s="8"/>
      <c r="P885">
        <f t="shared" ref="P885:R885" si="1139">B885+P886</f>
        <v>0</v>
      </c>
      <c r="Q885">
        <f t="shared" si="1139"/>
        <v>0</v>
      </c>
      <c r="R885">
        <f t="shared" si="1139"/>
        <v>0</v>
      </c>
      <c r="S885">
        <f t="shared" si="265"/>
        <v>0</v>
      </c>
      <c r="U885" s="8"/>
      <c r="V885">
        <f t="shared" si="9"/>
        <v>0</v>
      </c>
      <c r="W885">
        <f t="shared" si="10"/>
        <v>0</v>
      </c>
      <c r="X885">
        <f t="shared" si="11"/>
        <v>0</v>
      </c>
      <c r="Z885" s="8"/>
      <c r="AA885">
        <f t="shared" si="12"/>
        <v>0</v>
      </c>
      <c r="AB885">
        <f t="shared" si="13"/>
        <v>0</v>
      </c>
      <c r="AC885">
        <f t="shared" si="14"/>
        <v>0</v>
      </c>
    </row>
    <row r="886">
      <c r="O886" s="8"/>
      <c r="P886">
        <f t="shared" ref="P886:R886" si="1140">B886+P887</f>
        <v>0</v>
      </c>
      <c r="Q886">
        <f t="shared" si="1140"/>
        <v>0</v>
      </c>
      <c r="R886">
        <f t="shared" si="1140"/>
        <v>0</v>
      </c>
      <c r="S886">
        <f t="shared" si="265"/>
        <v>0</v>
      </c>
      <c r="U886" s="8"/>
      <c r="V886">
        <f t="shared" si="9"/>
        <v>0</v>
      </c>
      <c r="W886">
        <f t="shared" si="10"/>
        <v>0</v>
      </c>
      <c r="X886">
        <f t="shared" si="11"/>
        <v>0</v>
      </c>
      <c r="Z886" s="8"/>
      <c r="AA886">
        <f t="shared" si="12"/>
        <v>0</v>
      </c>
      <c r="AB886">
        <f t="shared" si="13"/>
        <v>0</v>
      </c>
      <c r="AC886">
        <f t="shared" si="14"/>
        <v>0</v>
      </c>
    </row>
    <row r="887">
      <c r="O887" s="8"/>
      <c r="P887">
        <f t="shared" ref="P887:R887" si="1141">B887+P888</f>
        <v>0</v>
      </c>
      <c r="Q887">
        <f t="shared" si="1141"/>
        <v>0</v>
      </c>
      <c r="R887">
        <f t="shared" si="1141"/>
        <v>0</v>
      </c>
      <c r="S887">
        <f t="shared" si="265"/>
        <v>0</v>
      </c>
      <c r="U887" s="8"/>
      <c r="V887">
        <f t="shared" si="9"/>
        <v>0</v>
      </c>
      <c r="W887">
        <f t="shared" si="10"/>
        <v>0</v>
      </c>
      <c r="X887">
        <f t="shared" si="11"/>
        <v>0</v>
      </c>
      <c r="Z887" s="8"/>
      <c r="AA887">
        <f t="shared" si="12"/>
        <v>0</v>
      </c>
      <c r="AB887">
        <f t="shared" si="13"/>
        <v>0</v>
      </c>
      <c r="AC887">
        <f t="shared" si="14"/>
        <v>0</v>
      </c>
    </row>
    <row r="888">
      <c r="O888" s="8"/>
      <c r="P888">
        <f t="shared" ref="P888:R888" si="1142">B888+P889</f>
        <v>0</v>
      </c>
      <c r="Q888">
        <f t="shared" si="1142"/>
        <v>0</v>
      </c>
      <c r="R888">
        <f t="shared" si="1142"/>
        <v>0</v>
      </c>
      <c r="S888">
        <f t="shared" si="265"/>
        <v>0</v>
      </c>
      <c r="U888" s="8"/>
      <c r="V888">
        <f t="shared" si="9"/>
        <v>0</v>
      </c>
      <c r="W888">
        <f t="shared" si="10"/>
        <v>0</v>
      </c>
      <c r="X888">
        <f t="shared" si="11"/>
        <v>0</v>
      </c>
      <c r="Z888" s="8"/>
      <c r="AA888">
        <f t="shared" si="12"/>
        <v>0</v>
      </c>
      <c r="AB888">
        <f t="shared" si="13"/>
        <v>0</v>
      </c>
      <c r="AC888">
        <f t="shared" si="14"/>
        <v>0</v>
      </c>
    </row>
    <row r="889">
      <c r="O889" s="8"/>
      <c r="P889">
        <f t="shared" ref="P889:R889" si="1143">B889+P890</f>
        <v>0</v>
      </c>
      <c r="Q889">
        <f t="shared" si="1143"/>
        <v>0</v>
      </c>
      <c r="R889">
        <f t="shared" si="1143"/>
        <v>0</v>
      </c>
      <c r="S889">
        <f t="shared" si="265"/>
        <v>0</v>
      </c>
      <c r="U889" s="8"/>
      <c r="V889">
        <f t="shared" si="9"/>
        <v>0</v>
      </c>
      <c r="W889">
        <f t="shared" si="10"/>
        <v>0</v>
      </c>
      <c r="X889">
        <f t="shared" si="11"/>
        <v>0</v>
      </c>
      <c r="Z889" s="8"/>
      <c r="AA889">
        <f t="shared" si="12"/>
        <v>0</v>
      </c>
      <c r="AB889">
        <f t="shared" si="13"/>
        <v>0</v>
      </c>
      <c r="AC889">
        <f t="shared" si="14"/>
        <v>0</v>
      </c>
    </row>
    <row r="890">
      <c r="O890" s="8"/>
      <c r="P890">
        <f t="shared" ref="P890:R890" si="1144">B890+P891</f>
        <v>0</v>
      </c>
      <c r="Q890">
        <f t="shared" si="1144"/>
        <v>0</v>
      </c>
      <c r="R890">
        <f t="shared" si="1144"/>
        <v>0</v>
      </c>
      <c r="S890">
        <f t="shared" si="265"/>
        <v>0</v>
      </c>
      <c r="U890" s="8"/>
      <c r="V890">
        <f t="shared" si="9"/>
        <v>0</v>
      </c>
      <c r="W890">
        <f t="shared" si="10"/>
        <v>0</v>
      </c>
      <c r="X890">
        <f t="shared" si="11"/>
        <v>0</v>
      </c>
      <c r="Z890" s="8"/>
      <c r="AA890">
        <f t="shared" si="12"/>
        <v>0</v>
      </c>
      <c r="AB890">
        <f t="shared" si="13"/>
        <v>0</v>
      </c>
      <c r="AC890">
        <f t="shared" si="14"/>
        <v>0</v>
      </c>
    </row>
    <row r="891">
      <c r="O891" s="8"/>
      <c r="P891">
        <f t="shared" ref="P891:R891" si="1145">B891+P892</f>
        <v>0</v>
      </c>
      <c r="Q891">
        <f t="shared" si="1145"/>
        <v>0</v>
      </c>
      <c r="R891">
        <f t="shared" si="1145"/>
        <v>0</v>
      </c>
      <c r="S891">
        <f t="shared" si="265"/>
        <v>0</v>
      </c>
      <c r="U891" s="8"/>
      <c r="V891">
        <f t="shared" si="9"/>
        <v>0</v>
      </c>
      <c r="W891">
        <f t="shared" si="10"/>
        <v>0</v>
      </c>
      <c r="X891">
        <f t="shared" si="11"/>
        <v>0</v>
      </c>
      <c r="Z891" s="8"/>
      <c r="AA891">
        <f t="shared" si="12"/>
        <v>0</v>
      </c>
      <c r="AB891">
        <f t="shared" si="13"/>
        <v>0</v>
      </c>
      <c r="AC891">
        <f t="shared" si="14"/>
        <v>0</v>
      </c>
    </row>
    <row r="892">
      <c r="O892" s="8"/>
      <c r="P892">
        <f t="shared" ref="P892:R892" si="1146">B892+P893</f>
        <v>0</v>
      </c>
      <c r="Q892">
        <f t="shared" si="1146"/>
        <v>0</v>
      </c>
      <c r="R892">
        <f t="shared" si="1146"/>
        <v>0</v>
      </c>
      <c r="S892">
        <f t="shared" si="265"/>
        <v>0</v>
      </c>
      <c r="U892" s="8"/>
      <c r="V892">
        <f t="shared" si="9"/>
        <v>0</v>
      </c>
      <c r="W892">
        <f t="shared" si="10"/>
        <v>0</v>
      </c>
      <c r="X892">
        <f t="shared" si="11"/>
        <v>0</v>
      </c>
      <c r="Z892" s="8"/>
      <c r="AA892">
        <f t="shared" si="12"/>
        <v>0</v>
      </c>
      <c r="AB892">
        <f t="shared" si="13"/>
        <v>0</v>
      </c>
      <c r="AC892">
        <f t="shared" si="14"/>
        <v>0</v>
      </c>
    </row>
    <row r="893">
      <c r="O893" s="8"/>
      <c r="P893">
        <f t="shared" ref="P893:R893" si="1147">B893+P894</f>
        <v>0</v>
      </c>
      <c r="Q893">
        <f t="shared" si="1147"/>
        <v>0</v>
      </c>
      <c r="R893">
        <f t="shared" si="1147"/>
        <v>0</v>
      </c>
      <c r="S893">
        <f t="shared" si="265"/>
        <v>0</v>
      </c>
      <c r="U893" s="8"/>
      <c r="V893">
        <f t="shared" si="9"/>
        <v>0</v>
      </c>
      <c r="W893">
        <f t="shared" si="10"/>
        <v>0</v>
      </c>
      <c r="X893">
        <f t="shared" si="11"/>
        <v>0</v>
      </c>
      <c r="Z893" s="8"/>
      <c r="AA893">
        <f t="shared" si="12"/>
        <v>0</v>
      </c>
      <c r="AB893">
        <f t="shared" si="13"/>
        <v>0</v>
      </c>
      <c r="AC893">
        <f t="shared" si="14"/>
        <v>0</v>
      </c>
    </row>
    <row r="894">
      <c r="O894" s="8"/>
      <c r="P894">
        <f t="shared" ref="P894:R894" si="1148">B894+P895</f>
        <v>0</v>
      </c>
      <c r="Q894">
        <f t="shared" si="1148"/>
        <v>0</v>
      </c>
      <c r="R894">
        <f t="shared" si="1148"/>
        <v>0</v>
      </c>
      <c r="S894">
        <f t="shared" si="265"/>
        <v>0</v>
      </c>
      <c r="U894" s="8"/>
      <c r="V894">
        <f t="shared" si="9"/>
        <v>0</v>
      </c>
      <c r="W894">
        <f t="shared" si="10"/>
        <v>0</v>
      </c>
      <c r="X894">
        <f t="shared" si="11"/>
        <v>0</v>
      </c>
      <c r="Z894" s="8"/>
      <c r="AA894">
        <f t="shared" si="12"/>
        <v>0</v>
      </c>
      <c r="AB894">
        <f t="shared" si="13"/>
        <v>0</v>
      </c>
      <c r="AC894">
        <f t="shared" si="14"/>
        <v>0</v>
      </c>
    </row>
    <row r="895">
      <c r="O895" s="8"/>
      <c r="P895">
        <f t="shared" ref="P895:R895" si="1149">B895+P896</f>
        <v>0</v>
      </c>
      <c r="Q895">
        <f t="shared" si="1149"/>
        <v>0</v>
      </c>
      <c r="R895">
        <f t="shared" si="1149"/>
        <v>0</v>
      </c>
      <c r="S895">
        <f t="shared" si="265"/>
        <v>0</v>
      </c>
      <c r="U895" s="8"/>
      <c r="V895">
        <f t="shared" si="9"/>
        <v>0</v>
      </c>
      <c r="W895">
        <f t="shared" si="10"/>
        <v>0</v>
      </c>
      <c r="X895">
        <f t="shared" si="11"/>
        <v>0</v>
      </c>
      <c r="Z895" s="8"/>
      <c r="AA895">
        <f t="shared" si="12"/>
        <v>0</v>
      </c>
      <c r="AB895">
        <f t="shared" si="13"/>
        <v>0</v>
      </c>
      <c r="AC895">
        <f t="shared" si="14"/>
        <v>0</v>
      </c>
    </row>
    <row r="896">
      <c r="O896" s="8"/>
      <c r="P896">
        <f t="shared" ref="P896:R896" si="1150">B896+P897</f>
        <v>0</v>
      </c>
      <c r="Q896">
        <f t="shared" si="1150"/>
        <v>0</v>
      </c>
      <c r="R896">
        <f t="shared" si="1150"/>
        <v>0</v>
      </c>
      <c r="S896">
        <f t="shared" si="265"/>
        <v>0</v>
      </c>
      <c r="U896" s="8"/>
      <c r="V896">
        <f t="shared" si="9"/>
        <v>0</v>
      </c>
      <c r="W896">
        <f t="shared" si="10"/>
        <v>0</v>
      </c>
      <c r="X896">
        <f t="shared" si="11"/>
        <v>0</v>
      </c>
      <c r="Z896" s="8"/>
      <c r="AA896">
        <f t="shared" si="12"/>
        <v>0</v>
      </c>
      <c r="AB896">
        <f t="shared" si="13"/>
        <v>0</v>
      </c>
      <c r="AC896">
        <f t="shared" si="14"/>
        <v>0</v>
      </c>
    </row>
    <row r="897">
      <c r="O897" s="8"/>
      <c r="P897">
        <f t="shared" ref="P897:R897" si="1151">B897+P898</f>
        <v>0</v>
      </c>
      <c r="Q897">
        <f t="shared" si="1151"/>
        <v>0</v>
      </c>
      <c r="R897">
        <f t="shared" si="1151"/>
        <v>0</v>
      </c>
      <c r="S897">
        <f t="shared" si="265"/>
        <v>0</v>
      </c>
      <c r="U897" s="8"/>
      <c r="V897">
        <f t="shared" si="9"/>
        <v>0</v>
      </c>
      <c r="W897">
        <f t="shared" si="10"/>
        <v>0</v>
      </c>
      <c r="X897">
        <f t="shared" si="11"/>
        <v>0</v>
      </c>
      <c r="Z897" s="8"/>
      <c r="AA897">
        <f t="shared" si="12"/>
        <v>0</v>
      </c>
      <c r="AB897">
        <f t="shared" si="13"/>
        <v>0</v>
      </c>
      <c r="AC897">
        <f t="shared" si="14"/>
        <v>0</v>
      </c>
    </row>
    <row r="898">
      <c r="O898" s="8"/>
      <c r="P898">
        <f t="shared" ref="P898:R898" si="1152">B898+P899</f>
        <v>0</v>
      </c>
      <c r="Q898">
        <f t="shared" si="1152"/>
        <v>0</v>
      </c>
      <c r="R898">
        <f t="shared" si="1152"/>
        <v>0</v>
      </c>
      <c r="S898">
        <f t="shared" si="265"/>
        <v>0</v>
      </c>
      <c r="U898" s="8"/>
      <c r="V898">
        <f t="shared" si="9"/>
        <v>0</v>
      </c>
      <c r="W898">
        <f t="shared" si="10"/>
        <v>0</v>
      </c>
      <c r="X898">
        <f t="shared" si="11"/>
        <v>0</v>
      </c>
      <c r="Z898" s="8"/>
      <c r="AA898">
        <f t="shared" si="12"/>
        <v>0</v>
      </c>
      <c r="AB898">
        <f t="shared" si="13"/>
        <v>0</v>
      </c>
      <c r="AC898">
        <f t="shared" si="14"/>
        <v>0</v>
      </c>
    </row>
    <row r="899">
      <c r="O899" s="8"/>
      <c r="P899">
        <f t="shared" ref="P899:R899" si="1153">B899+P900</f>
        <v>0</v>
      </c>
      <c r="Q899">
        <f t="shared" si="1153"/>
        <v>0</v>
      </c>
      <c r="R899">
        <f t="shared" si="1153"/>
        <v>0</v>
      </c>
      <c r="S899">
        <f t="shared" si="265"/>
        <v>0</v>
      </c>
      <c r="U899" s="8"/>
      <c r="V899">
        <f t="shared" si="9"/>
        <v>0</v>
      </c>
      <c r="W899">
        <f t="shared" si="10"/>
        <v>0</v>
      </c>
      <c r="X899">
        <f t="shared" si="11"/>
        <v>0</v>
      </c>
      <c r="Z899" s="8"/>
      <c r="AA899">
        <f t="shared" si="12"/>
        <v>0</v>
      </c>
      <c r="AB899">
        <f t="shared" si="13"/>
        <v>0</v>
      </c>
      <c r="AC899">
        <f t="shared" si="14"/>
        <v>0</v>
      </c>
    </row>
    <row r="900">
      <c r="O900" s="8"/>
      <c r="P900">
        <f t="shared" ref="P900:R900" si="1154">B900+P901</f>
        <v>0</v>
      </c>
      <c r="Q900">
        <f t="shared" si="1154"/>
        <v>0</v>
      </c>
      <c r="R900">
        <f t="shared" si="1154"/>
        <v>0</v>
      </c>
      <c r="S900">
        <f t="shared" si="265"/>
        <v>0</v>
      </c>
      <c r="U900" s="8"/>
      <c r="V900">
        <f t="shared" si="9"/>
        <v>0</v>
      </c>
      <c r="W900">
        <f t="shared" si="10"/>
        <v>0</v>
      </c>
      <c r="X900">
        <f t="shared" si="11"/>
        <v>0</v>
      </c>
      <c r="Z900" s="8"/>
      <c r="AA900">
        <f t="shared" si="12"/>
        <v>0</v>
      </c>
      <c r="AB900">
        <f t="shared" si="13"/>
        <v>0</v>
      </c>
      <c r="AC900">
        <f t="shared" si="14"/>
        <v>0</v>
      </c>
    </row>
    <row r="901">
      <c r="O901" s="8"/>
      <c r="P901">
        <f t="shared" ref="P901:R901" si="1155">B901+P902</f>
        <v>0</v>
      </c>
      <c r="Q901">
        <f t="shared" si="1155"/>
        <v>0</v>
      </c>
      <c r="R901">
        <f t="shared" si="1155"/>
        <v>0</v>
      </c>
      <c r="S901">
        <f t="shared" si="265"/>
        <v>0</v>
      </c>
      <c r="U901" s="8"/>
      <c r="V901">
        <f t="shared" si="9"/>
        <v>0</v>
      </c>
      <c r="W901">
        <f t="shared" si="10"/>
        <v>0</v>
      </c>
      <c r="X901">
        <f t="shared" si="11"/>
        <v>0</v>
      </c>
      <c r="Z901" s="8"/>
      <c r="AA901">
        <f t="shared" si="12"/>
        <v>0</v>
      </c>
      <c r="AB901">
        <f t="shared" si="13"/>
        <v>0</v>
      </c>
      <c r="AC901">
        <f t="shared" si="14"/>
        <v>0</v>
      </c>
    </row>
    <row r="902">
      <c r="O902" s="8"/>
      <c r="P902">
        <f t="shared" ref="P902:R902" si="1156">B902+P903</f>
        <v>0</v>
      </c>
      <c r="Q902">
        <f t="shared" si="1156"/>
        <v>0</v>
      </c>
      <c r="R902">
        <f t="shared" si="1156"/>
        <v>0</v>
      </c>
      <c r="S902">
        <f t="shared" si="265"/>
        <v>0</v>
      </c>
      <c r="U902" s="8"/>
      <c r="V902">
        <f t="shared" si="9"/>
        <v>0</v>
      </c>
      <c r="W902">
        <f t="shared" si="10"/>
        <v>0</v>
      </c>
      <c r="X902">
        <f t="shared" si="11"/>
        <v>0</v>
      </c>
      <c r="Z902" s="8"/>
      <c r="AA902">
        <f t="shared" si="12"/>
        <v>0</v>
      </c>
      <c r="AB902">
        <f t="shared" si="13"/>
        <v>0</v>
      </c>
      <c r="AC902">
        <f t="shared" si="14"/>
        <v>0</v>
      </c>
    </row>
    <row r="903">
      <c r="O903" s="8"/>
      <c r="P903">
        <f t="shared" ref="P903:R903" si="1157">B903+P904</f>
        <v>0</v>
      </c>
      <c r="Q903">
        <f t="shared" si="1157"/>
        <v>0</v>
      </c>
      <c r="R903">
        <f t="shared" si="1157"/>
        <v>0</v>
      </c>
      <c r="S903">
        <f t="shared" si="265"/>
        <v>0</v>
      </c>
      <c r="U903" s="8"/>
      <c r="V903">
        <f t="shared" si="9"/>
        <v>0</v>
      </c>
      <c r="W903">
        <f t="shared" si="10"/>
        <v>0</v>
      </c>
      <c r="X903">
        <f t="shared" si="11"/>
        <v>0</v>
      </c>
      <c r="Z903" s="8"/>
      <c r="AA903">
        <f t="shared" si="12"/>
        <v>0</v>
      </c>
      <c r="AB903">
        <f t="shared" si="13"/>
        <v>0</v>
      </c>
      <c r="AC903">
        <f t="shared" si="14"/>
        <v>0</v>
      </c>
    </row>
    <row r="904">
      <c r="O904" s="8"/>
      <c r="P904">
        <f t="shared" ref="P904:R904" si="1158">B904+P905</f>
        <v>0</v>
      </c>
      <c r="Q904">
        <f t="shared" si="1158"/>
        <v>0</v>
      </c>
      <c r="R904">
        <f t="shared" si="1158"/>
        <v>0</v>
      </c>
      <c r="S904">
        <f t="shared" si="265"/>
        <v>0</v>
      </c>
      <c r="U904" s="8"/>
      <c r="V904">
        <f t="shared" si="9"/>
        <v>0</v>
      </c>
      <c r="W904">
        <f t="shared" si="10"/>
        <v>0</v>
      </c>
      <c r="X904">
        <f t="shared" si="11"/>
        <v>0</v>
      </c>
      <c r="Z904" s="8"/>
      <c r="AA904">
        <f t="shared" si="12"/>
        <v>0</v>
      </c>
      <c r="AB904">
        <f t="shared" si="13"/>
        <v>0</v>
      </c>
      <c r="AC904">
        <f t="shared" si="14"/>
        <v>0</v>
      </c>
    </row>
    <row r="905">
      <c r="O905" s="8"/>
      <c r="P905">
        <f t="shared" ref="P905:R905" si="1159">B905+P906</f>
        <v>0</v>
      </c>
      <c r="Q905">
        <f t="shared" si="1159"/>
        <v>0</v>
      </c>
      <c r="R905">
        <f t="shared" si="1159"/>
        <v>0</v>
      </c>
      <c r="S905">
        <f t="shared" si="265"/>
        <v>0</v>
      </c>
      <c r="U905" s="8"/>
      <c r="V905">
        <f t="shared" si="9"/>
        <v>0</v>
      </c>
      <c r="W905">
        <f t="shared" si="10"/>
        <v>0</v>
      </c>
      <c r="X905">
        <f t="shared" si="11"/>
        <v>0</v>
      </c>
      <c r="Z905" s="8"/>
      <c r="AA905">
        <f t="shared" si="12"/>
        <v>0</v>
      </c>
      <c r="AB905">
        <f t="shared" si="13"/>
        <v>0</v>
      </c>
      <c r="AC905">
        <f t="shared" si="14"/>
        <v>0</v>
      </c>
    </row>
    <row r="906">
      <c r="O906" s="8"/>
      <c r="P906">
        <f t="shared" ref="P906:R906" si="1160">B906+P907</f>
        <v>0</v>
      </c>
      <c r="Q906">
        <f t="shared" si="1160"/>
        <v>0</v>
      </c>
      <c r="R906">
        <f t="shared" si="1160"/>
        <v>0</v>
      </c>
      <c r="S906">
        <f t="shared" si="265"/>
        <v>0</v>
      </c>
      <c r="U906" s="8"/>
      <c r="V906">
        <f t="shared" si="9"/>
        <v>0</v>
      </c>
      <c r="W906">
        <f t="shared" si="10"/>
        <v>0</v>
      </c>
      <c r="X906">
        <f t="shared" si="11"/>
        <v>0</v>
      </c>
      <c r="Z906" s="8"/>
      <c r="AA906">
        <f t="shared" si="12"/>
        <v>0</v>
      </c>
      <c r="AB906">
        <f t="shared" si="13"/>
        <v>0</v>
      </c>
      <c r="AC906">
        <f t="shared" si="14"/>
        <v>0</v>
      </c>
    </row>
    <row r="907">
      <c r="O907" s="8"/>
      <c r="P907">
        <f t="shared" ref="P907:R907" si="1161">B907+P908</f>
        <v>0</v>
      </c>
      <c r="Q907">
        <f t="shared" si="1161"/>
        <v>0</v>
      </c>
      <c r="R907">
        <f t="shared" si="1161"/>
        <v>0</v>
      </c>
      <c r="S907">
        <f t="shared" si="265"/>
        <v>0</v>
      </c>
      <c r="U907" s="8"/>
      <c r="V907">
        <f t="shared" si="9"/>
        <v>0</v>
      </c>
      <c r="W907">
        <f t="shared" si="10"/>
        <v>0</v>
      </c>
      <c r="X907">
        <f t="shared" si="11"/>
        <v>0</v>
      </c>
      <c r="Z907" s="8"/>
      <c r="AA907">
        <f t="shared" si="12"/>
        <v>0</v>
      </c>
      <c r="AB907">
        <f t="shared" si="13"/>
        <v>0</v>
      </c>
      <c r="AC907">
        <f t="shared" si="14"/>
        <v>0</v>
      </c>
    </row>
    <row r="908">
      <c r="O908" s="8"/>
      <c r="P908">
        <f t="shared" ref="P908:R908" si="1162">B908+P909</f>
        <v>0</v>
      </c>
      <c r="Q908">
        <f t="shared" si="1162"/>
        <v>0</v>
      </c>
      <c r="R908">
        <f t="shared" si="1162"/>
        <v>0</v>
      </c>
      <c r="S908">
        <f t="shared" si="265"/>
        <v>0</v>
      </c>
      <c r="U908" s="8"/>
      <c r="V908">
        <f t="shared" si="9"/>
        <v>0</v>
      </c>
      <c r="W908">
        <f t="shared" si="10"/>
        <v>0</v>
      </c>
      <c r="X908">
        <f t="shared" si="11"/>
        <v>0</v>
      </c>
      <c r="Z908" s="8"/>
      <c r="AA908">
        <f t="shared" si="12"/>
        <v>0</v>
      </c>
      <c r="AB908">
        <f t="shared" si="13"/>
        <v>0</v>
      </c>
      <c r="AC908">
        <f t="shared" si="14"/>
        <v>0</v>
      </c>
    </row>
    <row r="909">
      <c r="O909" s="8"/>
      <c r="P909">
        <f t="shared" ref="P909:R909" si="1163">B909+P910</f>
        <v>0</v>
      </c>
      <c r="Q909">
        <f t="shared" si="1163"/>
        <v>0</v>
      </c>
      <c r="R909">
        <f t="shared" si="1163"/>
        <v>0</v>
      </c>
      <c r="S909">
        <f t="shared" si="265"/>
        <v>0</v>
      </c>
      <c r="U909" s="8"/>
      <c r="V909">
        <f t="shared" si="9"/>
        <v>0</v>
      </c>
      <c r="W909">
        <f t="shared" si="10"/>
        <v>0</v>
      </c>
      <c r="X909">
        <f t="shared" si="11"/>
        <v>0</v>
      </c>
      <c r="Z909" s="8"/>
      <c r="AA909">
        <f t="shared" si="12"/>
        <v>0</v>
      </c>
      <c r="AB909">
        <f t="shared" si="13"/>
        <v>0</v>
      </c>
      <c r="AC909">
        <f t="shared" si="14"/>
        <v>0</v>
      </c>
    </row>
    <row r="910">
      <c r="O910" s="8"/>
      <c r="P910">
        <f t="shared" ref="P910:R910" si="1164">B910+P911</f>
        <v>0</v>
      </c>
      <c r="Q910">
        <f t="shared" si="1164"/>
        <v>0</v>
      </c>
      <c r="R910">
        <f t="shared" si="1164"/>
        <v>0</v>
      </c>
      <c r="S910">
        <f t="shared" si="265"/>
        <v>0</v>
      </c>
      <c r="U910" s="8"/>
      <c r="V910">
        <f t="shared" si="9"/>
        <v>0</v>
      </c>
      <c r="W910">
        <f t="shared" si="10"/>
        <v>0</v>
      </c>
      <c r="X910">
        <f t="shared" si="11"/>
        <v>0</v>
      </c>
      <c r="Z910" s="8"/>
      <c r="AA910">
        <f t="shared" si="12"/>
        <v>0</v>
      </c>
      <c r="AB910">
        <f t="shared" si="13"/>
        <v>0</v>
      </c>
      <c r="AC910">
        <f t="shared" si="14"/>
        <v>0</v>
      </c>
    </row>
    <row r="911">
      <c r="O911" s="8"/>
      <c r="P911">
        <f t="shared" ref="P911:R911" si="1165">B911+P912</f>
        <v>0</v>
      </c>
      <c r="Q911">
        <f t="shared" si="1165"/>
        <v>0</v>
      </c>
      <c r="R911">
        <f t="shared" si="1165"/>
        <v>0</v>
      </c>
      <c r="S911">
        <f t="shared" si="265"/>
        <v>0</v>
      </c>
      <c r="U911" s="8"/>
      <c r="V911">
        <f t="shared" si="9"/>
        <v>0</v>
      </c>
      <c r="W911">
        <f t="shared" si="10"/>
        <v>0</v>
      </c>
      <c r="X911">
        <f t="shared" si="11"/>
        <v>0</v>
      </c>
      <c r="Z911" s="8"/>
      <c r="AA911">
        <f t="shared" si="12"/>
        <v>0</v>
      </c>
      <c r="AB911">
        <f t="shared" si="13"/>
        <v>0</v>
      </c>
      <c r="AC911">
        <f t="shared" si="14"/>
        <v>0</v>
      </c>
    </row>
    <row r="912">
      <c r="O912" s="8"/>
      <c r="P912">
        <f t="shared" ref="P912:R912" si="1166">B912+P913</f>
        <v>0</v>
      </c>
      <c r="Q912">
        <f t="shared" si="1166"/>
        <v>0</v>
      </c>
      <c r="R912">
        <f t="shared" si="1166"/>
        <v>0</v>
      </c>
      <c r="S912">
        <f t="shared" si="265"/>
        <v>0</v>
      </c>
      <c r="U912" s="8"/>
      <c r="V912">
        <f t="shared" si="9"/>
        <v>0</v>
      </c>
      <c r="W912">
        <f t="shared" si="10"/>
        <v>0</v>
      </c>
      <c r="X912">
        <f t="shared" si="11"/>
        <v>0</v>
      </c>
      <c r="Z912" s="8"/>
      <c r="AA912">
        <f t="shared" si="12"/>
        <v>0</v>
      </c>
      <c r="AB912">
        <f t="shared" si="13"/>
        <v>0</v>
      </c>
      <c r="AC912">
        <f t="shared" si="14"/>
        <v>0</v>
      </c>
    </row>
    <row r="913">
      <c r="O913" s="8"/>
      <c r="P913">
        <f t="shared" ref="P913:R913" si="1167">B913+P914</f>
        <v>0</v>
      </c>
      <c r="Q913">
        <f t="shared" si="1167"/>
        <v>0</v>
      </c>
      <c r="R913">
        <f t="shared" si="1167"/>
        <v>0</v>
      </c>
      <c r="S913">
        <f t="shared" si="265"/>
        <v>0</v>
      </c>
      <c r="U913" s="8"/>
      <c r="V913">
        <f t="shared" si="9"/>
        <v>0</v>
      </c>
      <c r="W913">
        <f t="shared" si="10"/>
        <v>0</v>
      </c>
      <c r="X913">
        <f t="shared" si="11"/>
        <v>0</v>
      </c>
      <c r="Z913" s="8"/>
      <c r="AA913">
        <f t="shared" si="12"/>
        <v>0</v>
      </c>
      <c r="AB913">
        <f t="shared" si="13"/>
        <v>0</v>
      </c>
      <c r="AC913">
        <f t="shared" si="14"/>
        <v>0</v>
      </c>
    </row>
    <row r="914">
      <c r="O914" s="8"/>
      <c r="P914">
        <f t="shared" ref="P914:R914" si="1168">B914+P915</f>
        <v>0</v>
      </c>
      <c r="Q914">
        <f t="shared" si="1168"/>
        <v>0</v>
      </c>
      <c r="R914">
        <f t="shared" si="1168"/>
        <v>0</v>
      </c>
      <c r="S914">
        <f t="shared" si="265"/>
        <v>0</v>
      </c>
      <c r="U914" s="8"/>
      <c r="V914">
        <f t="shared" si="9"/>
        <v>0</v>
      </c>
      <c r="W914">
        <f t="shared" si="10"/>
        <v>0</v>
      </c>
      <c r="X914">
        <f t="shared" si="11"/>
        <v>0</v>
      </c>
      <c r="Z914" s="8"/>
      <c r="AA914">
        <f t="shared" si="12"/>
        <v>0</v>
      </c>
      <c r="AB914">
        <f t="shared" si="13"/>
        <v>0</v>
      </c>
      <c r="AC914">
        <f t="shared" si="14"/>
        <v>0</v>
      </c>
    </row>
    <row r="915">
      <c r="O915" s="8"/>
      <c r="P915">
        <f t="shared" ref="P915:R915" si="1169">B915+P916</f>
        <v>0</v>
      </c>
      <c r="Q915">
        <f t="shared" si="1169"/>
        <v>0</v>
      </c>
      <c r="R915">
        <f t="shared" si="1169"/>
        <v>0</v>
      </c>
      <c r="S915">
        <f t="shared" si="265"/>
        <v>0</v>
      </c>
      <c r="U915" s="8"/>
      <c r="V915">
        <f t="shared" si="9"/>
        <v>0</v>
      </c>
      <c r="W915">
        <f t="shared" si="10"/>
        <v>0</v>
      </c>
      <c r="X915">
        <f t="shared" si="11"/>
        <v>0</v>
      </c>
      <c r="Z915" s="8"/>
      <c r="AA915">
        <f t="shared" si="12"/>
        <v>0</v>
      </c>
      <c r="AB915">
        <f t="shared" si="13"/>
        <v>0</v>
      </c>
      <c r="AC915">
        <f t="shared" si="14"/>
        <v>0</v>
      </c>
    </row>
    <row r="916">
      <c r="O916" s="8"/>
      <c r="P916">
        <f t="shared" ref="P916:R916" si="1170">B916+P917</f>
        <v>0</v>
      </c>
      <c r="Q916">
        <f t="shared" si="1170"/>
        <v>0</v>
      </c>
      <c r="R916">
        <f t="shared" si="1170"/>
        <v>0</v>
      </c>
      <c r="S916">
        <f t="shared" si="265"/>
        <v>0</v>
      </c>
      <c r="U916" s="8"/>
      <c r="V916">
        <f t="shared" si="9"/>
        <v>0</v>
      </c>
      <c r="W916">
        <f t="shared" si="10"/>
        <v>0</v>
      </c>
      <c r="X916">
        <f t="shared" si="11"/>
        <v>0</v>
      </c>
      <c r="Z916" s="8"/>
      <c r="AA916">
        <f t="shared" si="12"/>
        <v>0</v>
      </c>
      <c r="AB916">
        <f t="shared" si="13"/>
        <v>0</v>
      </c>
      <c r="AC916">
        <f t="shared" si="14"/>
        <v>0</v>
      </c>
    </row>
    <row r="917">
      <c r="O917" s="8"/>
      <c r="P917">
        <f t="shared" ref="P917:R917" si="1171">B917+P918</f>
        <v>0</v>
      </c>
      <c r="Q917">
        <f t="shared" si="1171"/>
        <v>0</v>
      </c>
      <c r="R917">
        <f t="shared" si="1171"/>
        <v>0</v>
      </c>
      <c r="S917">
        <f t="shared" si="265"/>
        <v>0</v>
      </c>
      <c r="U917" s="8"/>
      <c r="V917">
        <f t="shared" si="9"/>
        <v>0</v>
      </c>
      <c r="W917">
        <f t="shared" si="10"/>
        <v>0</v>
      </c>
      <c r="X917">
        <f t="shared" si="11"/>
        <v>0</v>
      </c>
      <c r="Z917" s="8"/>
      <c r="AA917">
        <f t="shared" si="12"/>
        <v>0</v>
      </c>
      <c r="AB917">
        <f t="shared" si="13"/>
        <v>0</v>
      </c>
      <c r="AC917">
        <f t="shared" si="14"/>
        <v>0</v>
      </c>
    </row>
    <row r="918">
      <c r="O918" s="8"/>
      <c r="P918">
        <f t="shared" ref="P918:R918" si="1172">B918+P919</f>
        <v>0</v>
      </c>
      <c r="Q918">
        <f t="shared" si="1172"/>
        <v>0</v>
      </c>
      <c r="R918">
        <f t="shared" si="1172"/>
        <v>0</v>
      </c>
      <c r="S918">
        <f t="shared" si="265"/>
        <v>0</v>
      </c>
      <c r="U918" s="8"/>
      <c r="V918">
        <f t="shared" si="9"/>
        <v>0</v>
      </c>
      <c r="W918">
        <f t="shared" si="10"/>
        <v>0</v>
      </c>
      <c r="X918">
        <f t="shared" si="11"/>
        <v>0</v>
      </c>
      <c r="Z918" s="8"/>
      <c r="AA918">
        <f t="shared" si="12"/>
        <v>0</v>
      </c>
      <c r="AB918">
        <f t="shared" si="13"/>
        <v>0</v>
      </c>
      <c r="AC918">
        <f t="shared" si="14"/>
        <v>0</v>
      </c>
    </row>
    <row r="919">
      <c r="O919" s="8"/>
      <c r="P919">
        <f t="shared" ref="P919:R919" si="1173">B919+P920</f>
        <v>0</v>
      </c>
      <c r="Q919">
        <f t="shared" si="1173"/>
        <v>0</v>
      </c>
      <c r="R919">
        <f t="shared" si="1173"/>
        <v>0</v>
      </c>
      <c r="S919">
        <f t="shared" si="265"/>
        <v>0</v>
      </c>
      <c r="U919" s="8"/>
      <c r="V919">
        <f t="shared" si="9"/>
        <v>0</v>
      </c>
      <c r="W919">
        <f t="shared" si="10"/>
        <v>0</v>
      </c>
      <c r="X919">
        <f t="shared" si="11"/>
        <v>0</v>
      </c>
      <c r="Z919" s="8"/>
      <c r="AA919">
        <f t="shared" si="12"/>
        <v>0</v>
      </c>
      <c r="AB919">
        <f t="shared" si="13"/>
        <v>0</v>
      </c>
      <c r="AC919">
        <f t="shared" si="14"/>
        <v>0</v>
      </c>
    </row>
    <row r="920">
      <c r="O920" s="8"/>
      <c r="P920">
        <f t="shared" ref="P920:R920" si="1174">B920+P921</f>
        <v>0</v>
      </c>
      <c r="Q920">
        <f t="shared" si="1174"/>
        <v>0</v>
      </c>
      <c r="R920">
        <f t="shared" si="1174"/>
        <v>0</v>
      </c>
      <c r="S920">
        <f t="shared" si="265"/>
        <v>0</v>
      </c>
      <c r="U920" s="8"/>
      <c r="V920">
        <f t="shared" si="9"/>
        <v>0</v>
      </c>
      <c r="W920">
        <f t="shared" si="10"/>
        <v>0</v>
      </c>
      <c r="X920">
        <f t="shared" si="11"/>
        <v>0</v>
      </c>
      <c r="Z920" s="8"/>
      <c r="AA920">
        <f t="shared" si="12"/>
        <v>0</v>
      </c>
      <c r="AB920">
        <f t="shared" si="13"/>
        <v>0</v>
      </c>
      <c r="AC920">
        <f t="shared" si="14"/>
        <v>0</v>
      </c>
    </row>
    <row r="921">
      <c r="O921" s="8"/>
      <c r="P921">
        <f t="shared" ref="P921:R921" si="1175">B921+P922</f>
        <v>0</v>
      </c>
      <c r="Q921">
        <f t="shared" si="1175"/>
        <v>0</v>
      </c>
      <c r="R921">
        <f t="shared" si="1175"/>
        <v>0</v>
      </c>
      <c r="S921">
        <f t="shared" si="265"/>
        <v>0</v>
      </c>
      <c r="U921" s="8"/>
      <c r="V921">
        <f t="shared" si="9"/>
        <v>0</v>
      </c>
      <c r="W921">
        <f t="shared" si="10"/>
        <v>0</v>
      </c>
      <c r="X921">
        <f t="shared" si="11"/>
        <v>0</v>
      </c>
      <c r="Z921" s="8"/>
      <c r="AA921">
        <f t="shared" si="12"/>
        <v>0</v>
      </c>
      <c r="AB921">
        <f t="shared" si="13"/>
        <v>0</v>
      </c>
      <c r="AC921">
        <f t="shared" si="14"/>
        <v>0</v>
      </c>
    </row>
    <row r="922">
      <c r="O922" s="8"/>
      <c r="P922">
        <f t="shared" ref="P922:R922" si="1176">B922+P923</f>
        <v>0</v>
      </c>
      <c r="Q922">
        <f t="shared" si="1176"/>
        <v>0</v>
      </c>
      <c r="R922">
        <f t="shared" si="1176"/>
        <v>0</v>
      </c>
      <c r="S922">
        <f t="shared" si="265"/>
        <v>0</v>
      </c>
      <c r="U922" s="8"/>
      <c r="V922">
        <f t="shared" si="9"/>
        <v>0</v>
      </c>
      <c r="W922">
        <f t="shared" si="10"/>
        <v>0</v>
      </c>
      <c r="X922">
        <f t="shared" si="11"/>
        <v>0</v>
      </c>
      <c r="Z922" s="8"/>
      <c r="AA922">
        <f t="shared" si="12"/>
        <v>0</v>
      </c>
      <c r="AB922">
        <f t="shared" si="13"/>
        <v>0</v>
      </c>
      <c r="AC922">
        <f t="shared" si="14"/>
        <v>0</v>
      </c>
    </row>
    <row r="923">
      <c r="O923" s="8"/>
      <c r="P923">
        <f t="shared" ref="P923:R923" si="1177">B923+P924</f>
        <v>0</v>
      </c>
      <c r="Q923">
        <f t="shared" si="1177"/>
        <v>0</v>
      </c>
      <c r="R923">
        <f t="shared" si="1177"/>
        <v>0</v>
      </c>
      <c r="S923">
        <f t="shared" si="265"/>
        <v>0</v>
      </c>
      <c r="U923" s="8"/>
      <c r="V923">
        <f t="shared" si="9"/>
        <v>0</v>
      </c>
      <c r="W923">
        <f t="shared" si="10"/>
        <v>0</v>
      </c>
      <c r="X923">
        <f t="shared" si="11"/>
        <v>0</v>
      </c>
      <c r="Z923" s="8"/>
      <c r="AA923">
        <f t="shared" si="12"/>
        <v>0</v>
      </c>
      <c r="AB923">
        <f t="shared" si="13"/>
        <v>0</v>
      </c>
      <c r="AC923">
        <f t="shared" si="14"/>
        <v>0</v>
      </c>
    </row>
    <row r="924">
      <c r="O924" s="8"/>
      <c r="P924">
        <f t="shared" ref="P924:R924" si="1178">B924+P925</f>
        <v>0</v>
      </c>
      <c r="Q924">
        <f t="shared" si="1178"/>
        <v>0</v>
      </c>
      <c r="R924">
        <f t="shared" si="1178"/>
        <v>0</v>
      </c>
      <c r="S924">
        <f t="shared" si="265"/>
        <v>0</v>
      </c>
      <c r="U924" s="8"/>
      <c r="V924">
        <f t="shared" si="9"/>
        <v>0</v>
      </c>
      <c r="W924">
        <f t="shared" si="10"/>
        <v>0</v>
      </c>
      <c r="X924">
        <f t="shared" si="11"/>
        <v>0</v>
      </c>
      <c r="Z924" s="8"/>
      <c r="AA924">
        <f t="shared" si="12"/>
        <v>0</v>
      </c>
      <c r="AB924">
        <f t="shared" si="13"/>
        <v>0</v>
      </c>
      <c r="AC924">
        <f t="shared" si="14"/>
        <v>0</v>
      </c>
    </row>
    <row r="925">
      <c r="O925" s="8"/>
      <c r="P925">
        <f t="shared" ref="P925:R925" si="1179">B925+P926</f>
        <v>0</v>
      </c>
      <c r="Q925">
        <f t="shared" si="1179"/>
        <v>0</v>
      </c>
      <c r="R925">
        <f t="shared" si="1179"/>
        <v>0</v>
      </c>
      <c r="S925">
        <f t="shared" si="265"/>
        <v>0</v>
      </c>
      <c r="U925" s="8"/>
      <c r="V925">
        <f t="shared" si="9"/>
        <v>0</v>
      </c>
      <c r="W925">
        <f t="shared" si="10"/>
        <v>0</v>
      </c>
      <c r="X925">
        <f t="shared" si="11"/>
        <v>0</v>
      </c>
      <c r="Z925" s="8"/>
      <c r="AA925">
        <f t="shared" si="12"/>
        <v>0</v>
      </c>
      <c r="AB925">
        <f t="shared" si="13"/>
        <v>0</v>
      </c>
      <c r="AC925">
        <f t="shared" si="14"/>
        <v>0</v>
      </c>
    </row>
    <row r="926">
      <c r="O926" s="8"/>
      <c r="P926">
        <f t="shared" ref="P926:R926" si="1180">B926+P927</f>
        <v>0</v>
      </c>
      <c r="Q926">
        <f t="shared" si="1180"/>
        <v>0</v>
      </c>
      <c r="R926">
        <f t="shared" si="1180"/>
        <v>0</v>
      </c>
      <c r="S926">
        <f t="shared" si="265"/>
        <v>0</v>
      </c>
      <c r="U926" s="8"/>
      <c r="V926">
        <f t="shared" si="9"/>
        <v>0</v>
      </c>
      <c r="W926">
        <f t="shared" si="10"/>
        <v>0</v>
      </c>
      <c r="X926">
        <f t="shared" si="11"/>
        <v>0</v>
      </c>
      <c r="Z926" s="8"/>
      <c r="AA926">
        <f t="shared" si="12"/>
        <v>0</v>
      </c>
      <c r="AB926">
        <f t="shared" si="13"/>
        <v>0</v>
      </c>
      <c r="AC926">
        <f t="shared" si="14"/>
        <v>0</v>
      </c>
    </row>
    <row r="927">
      <c r="O927" s="8"/>
      <c r="P927">
        <f t="shared" ref="P927:R927" si="1181">B927+P928</f>
        <v>0</v>
      </c>
      <c r="Q927">
        <f t="shared" si="1181"/>
        <v>0</v>
      </c>
      <c r="R927">
        <f t="shared" si="1181"/>
        <v>0</v>
      </c>
      <c r="S927">
        <f t="shared" si="265"/>
        <v>0</v>
      </c>
      <c r="U927" s="8"/>
      <c r="V927">
        <f t="shared" si="9"/>
        <v>0</v>
      </c>
      <c r="W927">
        <f t="shared" si="10"/>
        <v>0</v>
      </c>
      <c r="X927">
        <f t="shared" si="11"/>
        <v>0</v>
      </c>
      <c r="Z927" s="8"/>
      <c r="AA927">
        <f t="shared" si="12"/>
        <v>0</v>
      </c>
      <c r="AB927">
        <f t="shared" si="13"/>
        <v>0</v>
      </c>
      <c r="AC927">
        <f t="shared" si="14"/>
        <v>0</v>
      </c>
    </row>
    <row r="928">
      <c r="O928" s="8"/>
      <c r="P928">
        <f t="shared" ref="P928:R928" si="1182">B928+P929</f>
        <v>0</v>
      </c>
      <c r="Q928">
        <f t="shared" si="1182"/>
        <v>0</v>
      </c>
      <c r="R928">
        <f t="shared" si="1182"/>
        <v>0</v>
      </c>
      <c r="S928">
        <f t="shared" si="265"/>
        <v>0</v>
      </c>
      <c r="U928" s="8"/>
      <c r="V928">
        <f t="shared" si="9"/>
        <v>0</v>
      </c>
      <c r="W928">
        <f t="shared" si="10"/>
        <v>0</v>
      </c>
      <c r="X928">
        <f t="shared" si="11"/>
        <v>0</v>
      </c>
      <c r="Z928" s="8"/>
      <c r="AA928">
        <f t="shared" si="12"/>
        <v>0</v>
      </c>
      <c r="AB928">
        <f t="shared" si="13"/>
        <v>0</v>
      </c>
      <c r="AC928">
        <f t="shared" si="14"/>
        <v>0</v>
      </c>
    </row>
    <row r="929">
      <c r="O929" s="8"/>
      <c r="P929">
        <f t="shared" ref="P929:R929" si="1183">B929+P930</f>
        <v>0</v>
      </c>
      <c r="Q929">
        <f t="shared" si="1183"/>
        <v>0</v>
      </c>
      <c r="R929">
        <f t="shared" si="1183"/>
        <v>0</v>
      </c>
      <c r="S929">
        <f t="shared" si="265"/>
        <v>0</v>
      </c>
      <c r="U929" s="8"/>
      <c r="V929">
        <f t="shared" si="9"/>
        <v>0</v>
      </c>
      <c r="W929">
        <f t="shared" si="10"/>
        <v>0</v>
      </c>
      <c r="X929">
        <f t="shared" si="11"/>
        <v>0</v>
      </c>
      <c r="Z929" s="8"/>
      <c r="AA929">
        <f t="shared" si="12"/>
        <v>0</v>
      </c>
      <c r="AB929">
        <f t="shared" si="13"/>
        <v>0</v>
      </c>
      <c r="AC929">
        <f t="shared" si="14"/>
        <v>0</v>
      </c>
    </row>
    <row r="930">
      <c r="O930" s="8"/>
      <c r="P930">
        <f t="shared" ref="P930:R930" si="1184">B930+P931</f>
        <v>0</v>
      </c>
      <c r="Q930">
        <f t="shared" si="1184"/>
        <v>0</v>
      </c>
      <c r="R930">
        <f t="shared" si="1184"/>
        <v>0</v>
      </c>
      <c r="S930">
        <f t="shared" si="265"/>
        <v>0</v>
      </c>
      <c r="U930" s="8"/>
      <c r="V930">
        <f t="shared" si="9"/>
        <v>0</v>
      </c>
      <c r="W930">
        <f t="shared" si="10"/>
        <v>0</v>
      </c>
      <c r="X930">
        <f t="shared" si="11"/>
        <v>0</v>
      </c>
      <c r="Z930" s="8"/>
      <c r="AA930">
        <f t="shared" si="12"/>
        <v>0</v>
      </c>
      <c r="AB930">
        <f t="shared" si="13"/>
        <v>0</v>
      </c>
      <c r="AC930">
        <f t="shared" si="14"/>
        <v>0</v>
      </c>
    </row>
    <row r="931">
      <c r="O931" s="8"/>
      <c r="P931">
        <f t="shared" ref="P931:R931" si="1185">B931+P932</f>
        <v>0</v>
      </c>
      <c r="Q931">
        <f t="shared" si="1185"/>
        <v>0</v>
      </c>
      <c r="R931">
        <f t="shared" si="1185"/>
        <v>0</v>
      </c>
      <c r="S931">
        <f t="shared" si="265"/>
        <v>0</v>
      </c>
      <c r="U931" s="8"/>
      <c r="V931">
        <f t="shared" si="9"/>
        <v>0</v>
      </c>
      <c r="W931">
        <f t="shared" si="10"/>
        <v>0</v>
      </c>
      <c r="X931">
        <f t="shared" si="11"/>
        <v>0</v>
      </c>
      <c r="Z931" s="8"/>
      <c r="AA931">
        <f t="shared" si="12"/>
        <v>0</v>
      </c>
      <c r="AB931">
        <f t="shared" si="13"/>
        <v>0</v>
      </c>
      <c r="AC931">
        <f t="shared" si="14"/>
        <v>0</v>
      </c>
    </row>
    <row r="932">
      <c r="O932" s="8"/>
      <c r="P932">
        <f t="shared" ref="P932:R932" si="1186">B932+P933</f>
        <v>0</v>
      </c>
      <c r="Q932">
        <f t="shared" si="1186"/>
        <v>0</v>
      </c>
      <c r="R932">
        <f t="shared" si="1186"/>
        <v>0</v>
      </c>
      <c r="S932">
        <f t="shared" si="265"/>
        <v>0</v>
      </c>
      <c r="U932" s="8"/>
      <c r="V932">
        <f t="shared" si="9"/>
        <v>0</v>
      </c>
      <c r="W932">
        <f t="shared" si="10"/>
        <v>0</v>
      </c>
      <c r="X932">
        <f t="shared" si="11"/>
        <v>0</v>
      </c>
      <c r="Z932" s="8"/>
      <c r="AA932">
        <f t="shared" si="12"/>
        <v>0</v>
      </c>
      <c r="AB932">
        <f t="shared" si="13"/>
        <v>0</v>
      </c>
      <c r="AC932">
        <f t="shared" si="14"/>
        <v>0</v>
      </c>
    </row>
    <row r="933">
      <c r="O933" s="8"/>
      <c r="P933">
        <f t="shared" ref="P933:R933" si="1187">B933+P934</f>
        <v>0</v>
      </c>
      <c r="Q933">
        <f t="shared" si="1187"/>
        <v>0</v>
      </c>
      <c r="R933">
        <f t="shared" si="1187"/>
        <v>0</v>
      </c>
      <c r="S933">
        <f t="shared" si="265"/>
        <v>0</v>
      </c>
      <c r="U933" s="8"/>
      <c r="V933">
        <f t="shared" si="9"/>
        <v>0</v>
      </c>
      <c r="W933">
        <f t="shared" si="10"/>
        <v>0</v>
      </c>
      <c r="X933">
        <f t="shared" si="11"/>
        <v>0</v>
      </c>
      <c r="Z933" s="8"/>
      <c r="AA933">
        <f t="shared" si="12"/>
        <v>0</v>
      </c>
      <c r="AB933">
        <f t="shared" si="13"/>
        <v>0</v>
      </c>
      <c r="AC933">
        <f t="shared" si="14"/>
        <v>0</v>
      </c>
    </row>
    <row r="934">
      <c r="O934" s="8"/>
      <c r="P934">
        <f t="shared" ref="P934:R934" si="1188">B934+P935</f>
        <v>0</v>
      </c>
      <c r="Q934">
        <f t="shared" si="1188"/>
        <v>0</v>
      </c>
      <c r="R934">
        <f t="shared" si="1188"/>
        <v>0</v>
      </c>
      <c r="S934">
        <f t="shared" si="265"/>
        <v>0</v>
      </c>
      <c r="U934" s="8"/>
      <c r="V934">
        <f t="shared" si="9"/>
        <v>0</v>
      </c>
      <c r="W934">
        <f t="shared" si="10"/>
        <v>0</v>
      </c>
      <c r="X934">
        <f t="shared" si="11"/>
        <v>0</v>
      </c>
      <c r="Z934" s="8"/>
      <c r="AA934">
        <f t="shared" si="12"/>
        <v>0</v>
      </c>
      <c r="AB934">
        <f t="shared" si="13"/>
        <v>0</v>
      </c>
      <c r="AC934">
        <f t="shared" si="14"/>
        <v>0</v>
      </c>
    </row>
    <row r="935">
      <c r="O935" s="8"/>
      <c r="P935">
        <f t="shared" ref="P935:R935" si="1189">B935+P936</f>
        <v>0</v>
      </c>
      <c r="Q935">
        <f t="shared" si="1189"/>
        <v>0</v>
      </c>
      <c r="R935">
        <f t="shared" si="1189"/>
        <v>0</v>
      </c>
      <c r="S935">
        <f t="shared" si="265"/>
        <v>0</v>
      </c>
      <c r="U935" s="8"/>
      <c r="V935">
        <f t="shared" si="9"/>
        <v>0</v>
      </c>
      <c r="W935">
        <f t="shared" si="10"/>
        <v>0</v>
      </c>
      <c r="X935">
        <f t="shared" si="11"/>
        <v>0</v>
      </c>
      <c r="Z935" s="8"/>
      <c r="AA935">
        <f t="shared" si="12"/>
        <v>0</v>
      </c>
      <c r="AB935">
        <f t="shared" si="13"/>
        <v>0</v>
      </c>
      <c r="AC935">
        <f t="shared" si="14"/>
        <v>0</v>
      </c>
    </row>
    <row r="936">
      <c r="O936" s="8"/>
      <c r="P936">
        <f t="shared" ref="P936:R936" si="1190">B936+P937</f>
        <v>0</v>
      </c>
      <c r="Q936">
        <f t="shared" si="1190"/>
        <v>0</v>
      </c>
      <c r="R936">
        <f t="shared" si="1190"/>
        <v>0</v>
      </c>
      <c r="S936">
        <f t="shared" si="265"/>
        <v>0</v>
      </c>
      <c r="U936" s="8"/>
      <c r="V936">
        <f t="shared" si="9"/>
        <v>0</v>
      </c>
      <c r="W936">
        <f t="shared" si="10"/>
        <v>0</v>
      </c>
      <c r="X936">
        <f t="shared" si="11"/>
        <v>0</v>
      </c>
      <c r="Z936" s="8"/>
      <c r="AA936">
        <f t="shared" si="12"/>
        <v>0</v>
      </c>
      <c r="AB936">
        <f t="shared" si="13"/>
        <v>0</v>
      </c>
      <c r="AC936">
        <f t="shared" si="14"/>
        <v>0</v>
      </c>
    </row>
    <row r="937">
      <c r="O937" s="8"/>
      <c r="P937">
        <f t="shared" ref="P937:R937" si="1191">B937+P938</f>
        <v>0</v>
      </c>
      <c r="Q937">
        <f t="shared" si="1191"/>
        <v>0</v>
      </c>
      <c r="R937">
        <f t="shared" si="1191"/>
        <v>0</v>
      </c>
      <c r="S937">
        <f t="shared" si="265"/>
        <v>0</v>
      </c>
      <c r="U937" s="8"/>
      <c r="V937">
        <f t="shared" si="9"/>
        <v>0</v>
      </c>
      <c r="W937">
        <f t="shared" si="10"/>
        <v>0</v>
      </c>
      <c r="X937">
        <f t="shared" si="11"/>
        <v>0</v>
      </c>
      <c r="Z937" s="8"/>
      <c r="AA937">
        <f t="shared" si="12"/>
        <v>0</v>
      </c>
      <c r="AB937">
        <f t="shared" si="13"/>
        <v>0</v>
      </c>
      <c r="AC937">
        <f t="shared" si="14"/>
        <v>0</v>
      </c>
    </row>
    <row r="938">
      <c r="O938" s="8"/>
      <c r="P938">
        <f t="shared" ref="P938:R938" si="1192">B938+P939</f>
        <v>0</v>
      </c>
      <c r="Q938">
        <f t="shared" si="1192"/>
        <v>0</v>
      </c>
      <c r="R938">
        <f t="shared" si="1192"/>
        <v>0</v>
      </c>
      <c r="S938">
        <f t="shared" si="265"/>
        <v>0</v>
      </c>
      <c r="U938" s="8"/>
      <c r="V938">
        <f t="shared" si="9"/>
        <v>0</v>
      </c>
      <c r="W938">
        <f t="shared" si="10"/>
        <v>0</v>
      </c>
      <c r="X938">
        <f t="shared" si="11"/>
        <v>0</v>
      </c>
      <c r="Z938" s="8"/>
      <c r="AA938">
        <f t="shared" si="12"/>
        <v>0</v>
      </c>
      <c r="AB938">
        <f t="shared" si="13"/>
        <v>0</v>
      </c>
      <c r="AC938">
        <f t="shared" si="14"/>
        <v>0</v>
      </c>
    </row>
    <row r="939">
      <c r="O939" s="8"/>
      <c r="P939">
        <f t="shared" ref="P939:R939" si="1193">B939+P940</f>
        <v>0</v>
      </c>
      <c r="Q939">
        <f t="shared" si="1193"/>
        <v>0</v>
      </c>
      <c r="R939">
        <f t="shared" si="1193"/>
        <v>0</v>
      </c>
      <c r="S939">
        <f t="shared" si="265"/>
        <v>0</v>
      </c>
      <c r="U939" s="8"/>
      <c r="V939">
        <f t="shared" si="9"/>
        <v>0</v>
      </c>
      <c r="W939">
        <f t="shared" si="10"/>
        <v>0</v>
      </c>
      <c r="X939">
        <f t="shared" si="11"/>
        <v>0</v>
      </c>
      <c r="Z939" s="8"/>
      <c r="AA939">
        <f t="shared" si="12"/>
        <v>0</v>
      </c>
      <c r="AB939">
        <f t="shared" si="13"/>
        <v>0</v>
      </c>
      <c r="AC939">
        <f t="shared" si="14"/>
        <v>0</v>
      </c>
    </row>
    <row r="940">
      <c r="O940" s="8"/>
      <c r="P940">
        <f t="shared" ref="P940:R940" si="1194">B940+P941</f>
        <v>0</v>
      </c>
      <c r="Q940">
        <f t="shared" si="1194"/>
        <v>0</v>
      </c>
      <c r="R940">
        <f t="shared" si="1194"/>
        <v>0</v>
      </c>
      <c r="S940">
        <f t="shared" si="265"/>
        <v>0</v>
      </c>
      <c r="U940" s="8"/>
      <c r="V940">
        <f t="shared" si="9"/>
        <v>0</v>
      </c>
      <c r="W940">
        <f t="shared" si="10"/>
        <v>0</v>
      </c>
      <c r="X940">
        <f t="shared" si="11"/>
        <v>0</v>
      </c>
      <c r="Z940" s="8"/>
      <c r="AA940">
        <f t="shared" si="12"/>
        <v>0</v>
      </c>
      <c r="AB940">
        <f t="shared" si="13"/>
        <v>0</v>
      </c>
      <c r="AC940">
        <f t="shared" si="14"/>
        <v>0</v>
      </c>
    </row>
    <row r="941">
      <c r="O941" s="8"/>
      <c r="P941">
        <f t="shared" ref="P941:R941" si="1195">B941+P942</f>
        <v>0</v>
      </c>
      <c r="Q941">
        <f t="shared" si="1195"/>
        <v>0</v>
      </c>
      <c r="R941">
        <f t="shared" si="1195"/>
        <v>0</v>
      </c>
      <c r="S941">
        <f t="shared" si="265"/>
        <v>0</v>
      </c>
      <c r="U941" s="8"/>
      <c r="V941">
        <f t="shared" si="9"/>
        <v>0</v>
      </c>
      <c r="W941">
        <f t="shared" si="10"/>
        <v>0</v>
      </c>
      <c r="X941">
        <f t="shared" si="11"/>
        <v>0</v>
      </c>
      <c r="Z941" s="8"/>
      <c r="AA941">
        <f t="shared" si="12"/>
        <v>0</v>
      </c>
      <c r="AB941">
        <f t="shared" si="13"/>
        <v>0</v>
      </c>
      <c r="AC941">
        <f t="shared" si="14"/>
        <v>0</v>
      </c>
    </row>
    <row r="942">
      <c r="O942" s="8"/>
      <c r="P942">
        <f t="shared" ref="P942:R942" si="1196">B942+P943</f>
        <v>0</v>
      </c>
      <c r="Q942">
        <f t="shared" si="1196"/>
        <v>0</v>
      </c>
      <c r="R942">
        <f t="shared" si="1196"/>
        <v>0</v>
      </c>
      <c r="S942">
        <f t="shared" si="265"/>
        <v>0</v>
      </c>
      <c r="U942" s="8"/>
      <c r="V942">
        <f t="shared" si="9"/>
        <v>0</v>
      </c>
      <c r="W942">
        <f t="shared" si="10"/>
        <v>0</v>
      </c>
      <c r="X942">
        <f t="shared" si="11"/>
        <v>0</v>
      </c>
      <c r="Z942" s="8"/>
      <c r="AA942">
        <f t="shared" si="12"/>
        <v>0</v>
      </c>
      <c r="AB942">
        <f t="shared" si="13"/>
        <v>0</v>
      </c>
      <c r="AC942">
        <f t="shared" si="14"/>
        <v>0</v>
      </c>
    </row>
    <row r="943">
      <c r="O943" s="8"/>
      <c r="P943">
        <f t="shared" ref="P943:R943" si="1197">B943+P944</f>
        <v>0</v>
      </c>
      <c r="Q943">
        <f t="shared" si="1197"/>
        <v>0</v>
      </c>
      <c r="R943">
        <f t="shared" si="1197"/>
        <v>0</v>
      </c>
      <c r="S943">
        <f t="shared" si="265"/>
        <v>0</v>
      </c>
      <c r="U943" s="8"/>
      <c r="V943">
        <f t="shared" si="9"/>
        <v>0</v>
      </c>
      <c r="W943">
        <f t="shared" si="10"/>
        <v>0</v>
      </c>
      <c r="X943">
        <f t="shared" si="11"/>
        <v>0</v>
      </c>
      <c r="Z943" s="8"/>
      <c r="AA943">
        <f t="shared" si="12"/>
        <v>0</v>
      </c>
      <c r="AB943">
        <f t="shared" si="13"/>
        <v>0</v>
      </c>
      <c r="AC943">
        <f t="shared" si="14"/>
        <v>0</v>
      </c>
    </row>
    <row r="944">
      <c r="O944" s="8"/>
      <c r="P944">
        <f t="shared" ref="P944:R944" si="1198">B944+P945</f>
        <v>0</v>
      </c>
      <c r="Q944">
        <f t="shared" si="1198"/>
        <v>0</v>
      </c>
      <c r="R944">
        <f t="shared" si="1198"/>
        <v>0</v>
      </c>
      <c r="S944">
        <f t="shared" si="265"/>
        <v>0</v>
      </c>
      <c r="U944" s="8"/>
      <c r="V944">
        <f t="shared" si="9"/>
        <v>0</v>
      </c>
      <c r="W944">
        <f t="shared" si="10"/>
        <v>0</v>
      </c>
      <c r="X944">
        <f t="shared" si="11"/>
        <v>0</v>
      </c>
      <c r="Z944" s="8"/>
      <c r="AA944">
        <f t="shared" si="12"/>
        <v>0</v>
      </c>
      <c r="AB944">
        <f t="shared" si="13"/>
        <v>0</v>
      </c>
      <c r="AC944">
        <f t="shared" si="14"/>
        <v>0</v>
      </c>
    </row>
    <row r="945">
      <c r="O945" s="8"/>
      <c r="P945">
        <f t="shared" ref="P945:R945" si="1199">B945+P946</f>
        <v>0</v>
      </c>
      <c r="Q945">
        <f t="shared" si="1199"/>
        <v>0</v>
      </c>
      <c r="R945">
        <f t="shared" si="1199"/>
        <v>0</v>
      </c>
      <c r="S945">
        <f t="shared" si="265"/>
        <v>0</v>
      </c>
      <c r="U945" s="8"/>
      <c r="V945">
        <f t="shared" si="9"/>
        <v>0</v>
      </c>
      <c r="W945">
        <f t="shared" si="10"/>
        <v>0</v>
      </c>
      <c r="X945">
        <f t="shared" si="11"/>
        <v>0</v>
      </c>
      <c r="Z945" s="8"/>
      <c r="AA945">
        <f t="shared" si="12"/>
        <v>0</v>
      </c>
      <c r="AB945">
        <f t="shared" si="13"/>
        <v>0</v>
      </c>
      <c r="AC945">
        <f t="shared" si="14"/>
        <v>0</v>
      </c>
    </row>
    <row r="946">
      <c r="O946" s="8"/>
      <c r="P946">
        <f t="shared" ref="P946:R946" si="1200">B946+P947</f>
        <v>0</v>
      </c>
      <c r="Q946">
        <f t="shared" si="1200"/>
        <v>0</v>
      </c>
      <c r="R946">
        <f t="shared" si="1200"/>
        <v>0</v>
      </c>
      <c r="S946">
        <f t="shared" si="265"/>
        <v>0</v>
      </c>
      <c r="U946" s="8"/>
      <c r="V946">
        <f t="shared" si="9"/>
        <v>0</v>
      </c>
      <c r="W946">
        <f t="shared" si="10"/>
        <v>0</v>
      </c>
      <c r="X946">
        <f t="shared" si="11"/>
        <v>0</v>
      </c>
      <c r="Z946" s="8"/>
      <c r="AA946">
        <f t="shared" si="12"/>
        <v>0</v>
      </c>
      <c r="AB946">
        <f t="shared" si="13"/>
        <v>0</v>
      </c>
      <c r="AC946">
        <f t="shared" si="14"/>
        <v>0</v>
      </c>
    </row>
    <row r="947">
      <c r="O947" s="8"/>
      <c r="P947">
        <f t="shared" ref="P947:R947" si="1201">B947+P948</f>
        <v>0</v>
      </c>
      <c r="Q947">
        <f t="shared" si="1201"/>
        <v>0</v>
      </c>
      <c r="R947">
        <f t="shared" si="1201"/>
        <v>0</v>
      </c>
      <c r="S947">
        <f t="shared" si="265"/>
        <v>0</v>
      </c>
      <c r="U947" s="8"/>
      <c r="V947">
        <f t="shared" si="9"/>
        <v>0</v>
      </c>
      <c r="W947">
        <f t="shared" si="10"/>
        <v>0</v>
      </c>
      <c r="X947">
        <f t="shared" si="11"/>
        <v>0</v>
      </c>
      <c r="Z947" s="8"/>
      <c r="AA947">
        <f t="shared" si="12"/>
        <v>0</v>
      </c>
      <c r="AB947">
        <f t="shared" si="13"/>
        <v>0</v>
      </c>
      <c r="AC947">
        <f t="shared" si="14"/>
        <v>0</v>
      </c>
    </row>
    <row r="948">
      <c r="O948" s="8"/>
      <c r="P948">
        <f t="shared" ref="P948:R948" si="1202">B948+P949</f>
        <v>0</v>
      </c>
      <c r="Q948">
        <f t="shared" si="1202"/>
        <v>0</v>
      </c>
      <c r="R948">
        <f t="shared" si="1202"/>
        <v>0</v>
      </c>
      <c r="S948">
        <f t="shared" si="265"/>
        <v>0</v>
      </c>
      <c r="U948" s="8"/>
      <c r="V948">
        <f t="shared" si="9"/>
        <v>0</v>
      </c>
      <c r="W948">
        <f t="shared" si="10"/>
        <v>0</v>
      </c>
      <c r="X948">
        <f t="shared" si="11"/>
        <v>0</v>
      </c>
      <c r="Z948" s="8"/>
      <c r="AA948">
        <f t="shared" si="12"/>
        <v>0</v>
      </c>
      <c r="AB948">
        <f t="shared" si="13"/>
        <v>0</v>
      </c>
      <c r="AC948">
        <f t="shared" si="14"/>
        <v>0</v>
      </c>
    </row>
    <row r="949">
      <c r="O949" s="8"/>
      <c r="P949">
        <f t="shared" ref="P949:R949" si="1203">B949+P950</f>
        <v>0</v>
      </c>
      <c r="Q949">
        <f t="shared" si="1203"/>
        <v>0</v>
      </c>
      <c r="R949">
        <f t="shared" si="1203"/>
        <v>0</v>
      </c>
      <c r="S949">
        <f t="shared" si="265"/>
        <v>0</v>
      </c>
      <c r="U949" s="8"/>
      <c r="V949">
        <f t="shared" si="9"/>
        <v>0</v>
      </c>
      <c r="W949">
        <f t="shared" si="10"/>
        <v>0</v>
      </c>
      <c r="X949">
        <f t="shared" si="11"/>
        <v>0</v>
      </c>
      <c r="Z949" s="8"/>
      <c r="AA949">
        <f t="shared" si="12"/>
        <v>0</v>
      </c>
      <c r="AB949">
        <f t="shared" si="13"/>
        <v>0</v>
      </c>
      <c r="AC949">
        <f t="shared" si="14"/>
        <v>0</v>
      </c>
    </row>
    <row r="950">
      <c r="O950" s="8"/>
      <c r="P950">
        <f t="shared" ref="P950:R950" si="1204">B950+P951</f>
        <v>0</v>
      </c>
      <c r="Q950">
        <f t="shared" si="1204"/>
        <v>0</v>
      </c>
      <c r="R950">
        <f t="shared" si="1204"/>
        <v>0</v>
      </c>
      <c r="S950">
        <f t="shared" si="265"/>
        <v>0</v>
      </c>
      <c r="U950" s="8"/>
      <c r="V950">
        <f t="shared" si="9"/>
        <v>0</v>
      </c>
      <c r="W950">
        <f t="shared" si="10"/>
        <v>0</v>
      </c>
      <c r="X950">
        <f t="shared" si="11"/>
        <v>0</v>
      </c>
      <c r="Z950" s="8"/>
      <c r="AA950">
        <f t="shared" si="12"/>
        <v>0</v>
      </c>
      <c r="AB950">
        <f t="shared" si="13"/>
        <v>0</v>
      </c>
      <c r="AC950">
        <f t="shared" si="14"/>
        <v>0</v>
      </c>
    </row>
    <row r="951">
      <c r="O951" s="8"/>
      <c r="P951">
        <f t="shared" ref="P951:R951" si="1205">B951+P952</f>
        <v>0</v>
      </c>
      <c r="Q951">
        <f t="shared" si="1205"/>
        <v>0</v>
      </c>
      <c r="R951">
        <f t="shared" si="1205"/>
        <v>0</v>
      </c>
      <c r="S951">
        <f t="shared" si="265"/>
        <v>0</v>
      </c>
      <c r="U951" s="8"/>
      <c r="V951">
        <f t="shared" si="9"/>
        <v>0</v>
      </c>
      <c r="W951">
        <f t="shared" si="10"/>
        <v>0</v>
      </c>
      <c r="X951">
        <f t="shared" si="11"/>
        <v>0</v>
      </c>
      <c r="Z951" s="8"/>
      <c r="AA951">
        <f t="shared" si="12"/>
        <v>0</v>
      </c>
      <c r="AB951">
        <f t="shared" si="13"/>
        <v>0</v>
      </c>
      <c r="AC951">
        <f t="shared" si="14"/>
        <v>0</v>
      </c>
    </row>
    <row r="952">
      <c r="O952" s="8"/>
      <c r="P952">
        <f t="shared" ref="P952:R952" si="1206">B952+P953</f>
        <v>0</v>
      </c>
      <c r="Q952">
        <f t="shared" si="1206"/>
        <v>0</v>
      </c>
      <c r="R952">
        <f t="shared" si="1206"/>
        <v>0</v>
      </c>
      <c r="S952">
        <f t="shared" si="265"/>
        <v>0</v>
      </c>
      <c r="U952" s="8"/>
      <c r="V952">
        <f t="shared" si="9"/>
        <v>0</v>
      </c>
      <c r="W952">
        <f t="shared" si="10"/>
        <v>0</v>
      </c>
      <c r="X952">
        <f t="shared" si="11"/>
        <v>0</v>
      </c>
      <c r="Z952" s="8"/>
      <c r="AA952">
        <f t="shared" si="12"/>
        <v>0</v>
      </c>
      <c r="AB952">
        <f t="shared" si="13"/>
        <v>0</v>
      </c>
      <c r="AC952">
        <f t="shared" si="14"/>
        <v>0</v>
      </c>
    </row>
    <row r="953">
      <c r="O953" s="8"/>
      <c r="P953">
        <f t="shared" ref="P953:R953" si="1207">B953+P954</f>
        <v>0</v>
      </c>
      <c r="Q953">
        <f t="shared" si="1207"/>
        <v>0</v>
      </c>
      <c r="R953">
        <f t="shared" si="1207"/>
        <v>0</v>
      </c>
      <c r="S953">
        <f t="shared" si="265"/>
        <v>0</v>
      </c>
      <c r="U953" s="8"/>
      <c r="V953">
        <f t="shared" si="9"/>
        <v>0</v>
      </c>
      <c r="W953">
        <f t="shared" si="10"/>
        <v>0</v>
      </c>
      <c r="X953">
        <f t="shared" si="11"/>
        <v>0</v>
      </c>
      <c r="Z953" s="8"/>
      <c r="AA953">
        <f t="shared" si="12"/>
        <v>0</v>
      </c>
      <c r="AB953">
        <f t="shared" si="13"/>
        <v>0</v>
      </c>
      <c r="AC953">
        <f t="shared" si="14"/>
        <v>0</v>
      </c>
    </row>
    <row r="954">
      <c r="O954" s="8"/>
      <c r="P954">
        <f t="shared" ref="P954:R954" si="1208">B954+P955</f>
        <v>0</v>
      </c>
      <c r="Q954">
        <f t="shared" si="1208"/>
        <v>0</v>
      </c>
      <c r="R954">
        <f t="shared" si="1208"/>
        <v>0</v>
      </c>
      <c r="S954">
        <f t="shared" si="265"/>
        <v>0</v>
      </c>
      <c r="U954" s="8"/>
      <c r="V954">
        <f t="shared" si="9"/>
        <v>0</v>
      </c>
      <c r="W954">
        <f t="shared" si="10"/>
        <v>0</v>
      </c>
      <c r="X954">
        <f t="shared" si="11"/>
        <v>0</v>
      </c>
      <c r="Z954" s="8"/>
      <c r="AA954">
        <f t="shared" si="12"/>
        <v>0</v>
      </c>
      <c r="AB954">
        <f t="shared" si="13"/>
        <v>0</v>
      </c>
      <c r="AC954">
        <f t="shared" si="14"/>
        <v>0</v>
      </c>
    </row>
    <row r="955">
      <c r="O955" s="8"/>
      <c r="P955">
        <f t="shared" ref="P955:R955" si="1209">B955+P956</f>
        <v>0</v>
      </c>
      <c r="Q955">
        <f t="shared" si="1209"/>
        <v>0</v>
      </c>
      <c r="R955">
        <f t="shared" si="1209"/>
        <v>0</v>
      </c>
      <c r="S955">
        <f t="shared" si="265"/>
        <v>0</v>
      </c>
      <c r="U955" s="8"/>
      <c r="V955">
        <f t="shared" si="9"/>
        <v>0</v>
      </c>
      <c r="W955">
        <f t="shared" si="10"/>
        <v>0</v>
      </c>
      <c r="X955">
        <f t="shared" si="11"/>
        <v>0</v>
      </c>
      <c r="Z955" s="8"/>
      <c r="AA955">
        <f t="shared" si="12"/>
        <v>0</v>
      </c>
      <c r="AB955">
        <f t="shared" si="13"/>
        <v>0</v>
      </c>
      <c r="AC955">
        <f t="shared" si="14"/>
        <v>0</v>
      </c>
    </row>
    <row r="956">
      <c r="O956" s="8"/>
      <c r="P956">
        <f t="shared" ref="P956:R956" si="1210">B956+P957</f>
        <v>0</v>
      </c>
      <c r="Q956">
        <f t="shared" si="1210"/>
        <v>0</v>
      </c>
      <c r="R956">
        <f t="shared" si="1210"/>
        <v>0</v>
      </c>
      <c r="S956">
        <f t="shared" si="265"/>
        <v>0</v>
      </c>
      <c r="U956" s="8"/>
      <c r="V956">
        <f t="shared" si="9"/>
        <v>0</v>
      </c>
      <c r="W956">
        <f t="shared" si="10"/>
        <v>0</v>
      </c>
      <c r="X956">
        <f t="shared" si="11"/>
        <v>0</v>
      </c>
      <c r="Z956" s="8"/>
      <c r="AA956">
        <f t="shared" si="12"/>
        <v>0</v>
      </c>
      <c r="AB956">
        <f t="shared" si="13"/>
        <v>0</v>
      </c>
      <c r="AC956">
        <f t="shared" si="14"/>
        <v>0</v>
      </c>
    </row>
    <row r="957">
      <c r="O957" s="8"/>
      <c r="P957">
        <f t="shared" ref="P957:R957" si="1211">B957+P958</f>
        <v>0</v>
      </c>
      <c r="Q957">
        <f t="shared" si="1211"/>
        <v>0</v>
      </c>
      <c r="R957">
        <f t="shared" si="1211"/>
        <v>0</v>
      </c>
      <c r="S957">
        <f t="shared" si="265"/>
        <v>0</v>
      </c>
      <c r="U957" s="8"/>
      <c r="V957">
        <f t="shared" si="9"/>
        <v>0</v>
      </c>
      <c r="W957">
        <f t="shared" si="10"/>
        <v>0</v>
      </c>
      <c r="X957">
        <f t="shared" si="11"/>
        <v>0</v>
      </c>
      <c r="Z957" s="8"/>
      <c r="AA957">
        <f t="shared" si="12"/>
        <v>0</v>
      </c>
      <c r="AB957">
        <f t="shared" si="13"/>
        <v>0</v>
      </c>
      <c r="AC957">
        <f t="shared" si="14"/>
        <v>0</v>
      </c>
    </row>
    <row r="958">
      <c r="O958" s="8"/>
      <c r="P958">
        <f t="shared" ref="P958:R958" si="1212">B958+P959</f>
        <v>0</v>
      </c>
      <c r="Q958">
        <f t="shared" si="1212"/>
        <v>0</v>
      </c>
      <c r="R958">
        <f t="shared" si="1212"/>
        <v>0</v>
      </c>
      <c r="S958">
        <f t="shared" si="265"/>
        <v>0</v>
      </c>
      <c r="U958" s="8"/>
      <c r="V958">
        <f t="shared" si="9"/>
        <v>0</v>
      </c>
      <c r="W958">
        <f t="shared" si="10"/>
        <v>0</v>
      </c>
      <c r="X958">
        <f t="shared" si="11"/>
        <v>0</v>
      </c>
      <c r="Z958" s="8"/>
      <c r="AA958">
        <f t="shared" si="12"/>
        <v>0</v>
      </c>
      <c r="AB958">
        <f t="shared" si="13"/>
        <v>0</v>
      </c>
      <c r="AC958">
        <f t="shared" si="14"/>
        <v>0</v>
      </c>
    </row>
    <row r="959">
      <c r="O959" s="8"/>
      <c r="P959">
        <f t="shared" ref="P959:R959" si="1213">B959+P960</f>
        <v>0</v>
      </c>
      <c r="Q959">
        <f t="shared" si="1213"/>
        <v>0</v>
      </c>
      <c r="R959">
        <f t="shared" si="1213"/>
        <v>0</v>
      </c>
      <c r="S959">
        <f t="shared" si="265"/>
        <v>0</v>
      </c>
      <c r="U959" s="8"/>
      <c r="V959">
        <f t="shared" si="9"/>
        <v>0</v>
      </c>
      <c r="W959">
        <f t="shared" si="10"/>
        <v>0</v>
      </c>
      <c r="X959">
        <f t="shared" si="11"/>
        <v>0</v>
      </c>
      <c r="Z959" s="8"/>
      <c r="AA959">
        <f t="shared" si="12"/>
        <v>0</v>
      </c>
      <c r="AB959">
        <f t="shared" si="13"/>
        <v>0</v>
      </c>
      <c r="AC959">
        <f t="shared" si="14"/>
        <v>0</v>
      </c>
    </row>
    <row r="960">
      <c r="O960" s="8"/>
      <c r="P960">
        <f t="shared" ref="P960:R960" si="1214">B960+P961</f>
        <v>0</v>
      </c>
      <c r="Q960">
        <f t="shared" si="1214"/>
        <v>0</v>
      </c>
      <c r="R960">
        <f t="shared" si="1214"/>
        <v>0</v>
      </c>
      <c r="S960">
        <f t="shared" si="265"/>
        <v>0</v>
      </c>
      <c r="U960" s="8"/>
      <c r="V960">
        <f t="shared" si="9"/>
        <v>0</v>
      </c>
      <c r="W960">
        <f t="shared" si="10"/>
        <v>0</v>
      </c>
      <c r="X960">
        <f t="shared" si="11"/>
        <v>0</v>
      </c>
      <c r="Z960" s="8"/>
      <c r="AA960">
        <f t="shared" si="12"/>
        <v>0</v>
      </c>
      <c r="AB960">
        <f t="shared" si="13"/>
        <v>0</v>
      </c>
      <c r="AC960">
        <f t="shared" si="14"/>
        <v>0</v>
      </c>
    </row>
    <row r="961">
      <c r="O961" s="8"/>
      <c r="P961">
        <f t="shared" ref="P961:R961" si="1215">B961+P962</f>
        <v>0</v>
      </c>
      <c r="Q961">
        <f t="shared" si="1215"/>
        <v>0</v>
      </c>
      <c r="R961">
        <f t="shared" si="1215"/>
        <v>0</v>
      </c>
      <c r="S961">
        <f t="shared" si="265"/>
        <v>0</v>
      </c>
      <c r="U961" s="8"/>
      <c r="V961">
        <f t="shared" si="9"/>
        <v>0</v>
      </c>
      <c r="W961">
        <f t="shared" si="10"/>
        <v>0</v>
      </c>
      <c r="X961">
        <f t="shared" si="11"/>
        <v>0</v>
      </c>
      <c r="Z961" s="8"/>
      <c r="AA961">
        <f t="shared" si="12"/>
        <v>0</v>
      </c>
      <c r="AB961">
        <f t="shared" si="13"/>
        <v>0</v>
      </c>
      <c r="AC961">
        <f t="shared" si="14"/>
        <v>0</v>
      </c>
    </row>
    <row r="962">
      <c r="O962" s="8"/>
      <c r="P962">
        <f t="shared" ref="P962:R962" si="1216">B962+P963</f>
        <v>0</v>
      </c>
      <c r="Q962">
        <f t="shared" si="1216"/>
        <v>0</v>
      </c>
      <c r="R962">
        <f t="shared" si="1216"/>
        <v>0</v>
      </c>
      <c r="S962">
        <f t="shared" si="265"/>
        <v>0</v>
      </c>
      <c r="U962" s="8"/>
      <c r="V962">
        <f t="shared" si="9"/>
        <v>0</v>
      </c>
      <c r="W962">
        <f t="shared" si="10"/>
        <v>0</v>
      </c>
      <c r="X962">
        <f t="shared" si="11"/>
        <v>0</v>
      </c>
      <c r="Z962" s="8"/>
      <c r="AA962">
        <f t="shared" si="12"/>
        <v>0</v>
      </c>
      <c r="AB962">
        <f t="shared" si="13"/>
        <v>0</v>
      </c>
      <c r="AC962">
        <f t="shared" si="14"/>
        <v>0</v>
      </c>
    </row>
    <row r="963">
      <c r="O963" s="8"/>
      <c r="P963">
        <f t="shared" ref="P963:R963" si="1217">B963+P964</f>
        <v>0</v>
      </c>
      <c r="Q963">
        <f t="shared" si="1217"/>
        <v>0</v>
      </c>
      <c r="R963">
        <f t="shared" si="1217"/>
        <v>0</v>
      </c>
      <c r="S963">
        <f t="shared" si="265"/>
        <v>0</v>
      </c>
      <c r="U963" s="8"/>
      <c r="V963">
        <f t="shared" si="9"/>
        <v>0</v>
      </c>
      <c r="W963">
        <f t="shared" si="10"/>
        <v>0</v>
      </c>
      <c r="X963">
        <f t="shared" si="11"/>
        <v>0</v>
      </c>
      <c r="Z963" s="8"/>
      <c r="AA963">
        <f t="shared" si="12"/>
        <v>0</v>
      </c>
      <c r="AB963">
        <f t="shared" si="13"/>
        <v>0</v>
      </c>
      <c r="AC963">
        <f t="shared" si="14"/>
        <v>0</v>
      </c>
    </row>
    <row r="964">
      <c r="O964" s="8"/>
      <c r="P964">
        <f t="shared" ref="P964:R964" si="1218">B964+P965</f>
        <v>0</v>
      </c>
      <c r="Q964">
        <f t="shared" si="1218"/>
        <v>0</v>
      </c>
      <c r="R964">
        <f t="shared" si="1218"/>
        <v>0</v>
      </c>
      <c r="S964">
        <f t="shared" si="265"/>
        <v>0</v>
      </c>
      <c r="U964" s="8"/>
      <c r="V964">
        <f t="shared" si="9"/>
        <v>0</v>
      </c>
      <c r="W964">
        <f t="shared" si="10"/>
        <v>0</v>
      </c>
      <c r="X964">
        <f t="shared" si="11"/>
        <v>0</v>
      </c>
      <c r="Z964" s="8"/>
      <c r="AA964">
        <f t="shared" si="12"/>
        <v>0</v>
      </c>
      <c r="AB964">
        <f t="shared" si="13"/>
        <v>0</v>
      </c>
      <c r="AC964">
        <f t="shared" si="14"/>
        <v>0</v>
      </c>
    </row>
    <row r="965">
      <c r="O965" s="8"/>
      <c r="P965">
        <f t="shared" ref="P965:R965" si="1219">B965+P966</f>
        <v>0</v>
      </c>
      <c r="Q965">
        <f t="shared" si="1219"/>
        <v>0</v>
      </c>
      <c r="R965">
        <f t="shared" si="1219"/>
        <v>0</v>
      </c>
      <c r="S965">
        <f t="shared" si="265"/>
        <v>0</v>
      </c>
      <c r="U965" s="8"/>
      <c r="V965">
        <f t="shared" si="9"/>
        <v>0</v>
      </c>
      <c r="W965">
        <f t="shared" si="10"/>
        <v>0</v>
      </c>
      <c r="X965">
        <f t="shared" si="11"/>
        <v>0</v>
      </c>
      <c r="Z965" s="8"/>
      <c r="AA965">
        <f t="shared" si="12"/>
        <v>0</v>
      </c>
      <c r="AB965">
        <f t="shared" si="13"/>
        <v>0</v>
      </c>
      <c r="AC965">
        <f t="shared" si="14"/>
        <v>0</v>
      </c>
    </row>
    <row r="966">
      <c r="O966" s="8"/>
      <c r="P966">
        <f t="shared" ref="P966:R966" si="1220">B966+P967</f>
        <v>0</v>
      </c>
      <c r="Q966">
        <f t="shared" si="1220"/>
        <v>0</v>
      </c>
      <c r="R966">
        <f t="shared" si="1220"/>
        <v>0</v>
      </c>
      <c r="S966">
        <f t="shared" si="265"/>
        <v>0</v>
      </c>
      <c r="U966" s="8"/>
      <c r="V966">
        <f t="shared" si="9"/>
        <v>0</v>
      </c>
      <c r="W966">
        <f t="shared" si="10"/>
        <v>0</v>
      </c>
      <c r="X966">
        <f t="shared" si="11"/>
        <v>0</v>
      </c>
      <c r="Z966" s="8"/>
      <c r="AA966">
        <f t="shared" si="12"/>
        <v>0</v>
      </c>
      <c r="AB966">
        <f t="shared" si="13"/>
        <v>0</v>
      </c>
      <c r="AC966">
        <f t="shared" si="14"/>
        <v>0</v>
      </c>
    </row>
    <row r="967">
      <c r="O967" s="8"/>
      <c r="P967">
        <f t="shared" ref="P967:R967" si="1221">B967+P968</f>
        <v>0</v>
      </c>
      <c r="Q967">
        <f t="shared" si="1221"/>
        <v>0</v>
      </c>
      <c r="R967">
        <f t="shared" si="1221"/>
        <v>0</v>
      </c>
      <c r="S967">
        <f t="shared" si="265"/>
        <v>0</v>
      </c>
      <c r="U967" s="8"/>
      <c r="V967">
        <f t="shared" si="9"/>
        <v>0</v>
      </c>
      <c r="W967">
        <f t="shared" si="10"/>
        <v>0</v>
      </c>
      <c r="X967">
        <f t="shared" si="11"/>
        <v>0</v>
      </c>
      <c r="Z967" s="8"/>
      <c r="AA967">
        <f t="shared" si="12"/>
        <v>0</v>
      </c>
      <c r="AB967">
        <f t="shared" si="13"/>
        <v>0</v>
      </c>
      <c r="AC967">
        <f t="shared" si="14"/>
        <v>0</v>
      </c>
    </row>
    <row r="968">
      <c r="O968" s="8"/>
      <c r="P968">
        <f t="shared" ref="P968:R968" si="1222">B968+P969</f>
        <v>0</v>
      </c>
      <c r="Q968">
        <f t="shared" si="1222"/>
        <v>0</v>
      </c>
      <c r="R968">
        <f t="shared" si="1222"/>
        <v>0</v>
      </c>
      <c r="S968">
        <f t="shared" si="265"/>
        <v>0</v>
      </c>
      <c r="U968" s="8"/>
      <c r="V968">
        <f t="shared" si="9"/>
        <v>0</v>
      </c>
      <c r="W968">
        <f t="shared" si="10"/>
        <v>0</v>
      </c>
      <c r="X968">
        <f t="shared" si="11"/>
        <v>0</v>
      </c>
      <c r="Z968" s="8"/>
      <c r="AA968">
        <f t="shared" si="12"/>
        <v>0</v>
      </c>
      <c r="AB968">
        <f t="shared" si="13"/>
        <v>0</v>
      </c>
      <c r="AC968">
        <f t="shared" si="14"/>
        <v>0</v>
      </c>
    </row>
    <row r="969">
      <c r="O969" s="8"/>
      <c r="P969">
        <f t="shared" ref="P969:R969" si="1223">B969+P970</f>
        <v>0</v>
      </c>
      <c r="Q969">
        <f t="shared" si="1223"/>
        <v>0</v>
      </c>
      <c r="R969">
        <f t="shared" si="1223"/>
        <v>0</v>
      </c>
      <c r="S969">
        <f t="shared" si="265"/>
        <v>0</v>
      </c>
      <c r="U969" s="8"/>
      <c r="V969">
        <f t="shared" si="9"/>
        <v>0</v>
      </c>
      <c r="W969">
        <f t="shared" si="10"/>
        <v>0</v>
      </c>
      <c r="X969">
        <f t="shared" si="11"/>
        <v>0</v>
      </c>
      <c r="Z969" s="8"/>
      <c r="AA969">
        <f t="shared" si="12"/>
        <v>0</v>
      </c>
      <c r="AB969">
        <f t="shared" si="13"/>
        <v>0</v>
      </c>
      <c r="AC969">
        <f t="shared" si="14"/>
        <v>0</v>
      </c>
    </row>
    <row r="970">
      <c r="O970" s="8"/>
      <c r="P970">
        <f t="shared" ref="P970:R970" si="1224">B970+P971</f>
        <v>0</v>
      </c>
      <c r="Q970">
        <f t="shared" si="1224"/>
        <v>0</v>
      </c>
      <c r="R970">
        <f t="shared" si="1224"/>
        <v>0</v>
      </c>
      <c r="S970">
        <f t="shared" si="265"/>
        <v>0</v>
      </c>
      <c r="U970" s="8"/>
      <c r="V970">
        <f t="shared" si="9"/>
        <v>0</v>
      </c>
      <c r="W970">
        <f t="shared" si="10"/>
        <v>0</v>
      </c>
      <c r="X970">
        <f t="shared" si="11"/>
        <v>0</v>
      </c>
      <c r="Z970" s="8"/>
      <c r="AA970">
        <f t="shared" si="12"/>
        <v>0</v>
      </c>
      <c r="AB970">
        <f t="shared" si="13"/>
        <v>0</v>
      </c>
      <c r="AC970">
        <f t="shared" si="14"/>
        <v>0</v>
      </c>
    </row>
    <row r="971">
      <c r="O971" s="8"/>
      <c r="P971">
        <f t="shared" ref="P971:R971" si="1225">B971+P972</f>
        <v>0</v>
      </c>
      <c r="Q971">
        <f t="shared" si="1225"/>
        <v>0</v>
      </c>
      <c r="R971">
        <f t="shared" si="1225"/>
        <v>0</v>
      </c>
      <c r="S971">
        <f t="shared" si="265"/>
        <v>0</v>
      </c>
      <c r="U971" s="8"/>
      <c r="V971">
        <f t="shared" si="9"/>
        <v>0</v>
      </c>
      <c r="W971">
        <f t="shared" si="10"/>
        <v>0</v>
      </c>
      <c r="X971">
        <f t="shared" si="11"/>
        <v>0</v>
      </c>
      <c r="Z971" s="8"/>
      <c r="AA971">
        <f t="shared" si="12"/>
        <v>0</v>
      </c>
      <c r="AB971">
        <f t="shared" si="13"/>
        <v>0</v>
      </c>
      <c r="AC971">
        <f t="shared" si="14"/>
        <v>0</v>
      </c>
    </row>
    <row r="972">
      <c r="O972" s="8"/>
      <c r="P972">
        <f t="shared" ref="P972:R972" si="1226">B972+P973</f>
        <v>0</v>
      </c>
      <c r="Q972">
        <f t="shared" si="1226"/>
        <v>0</v>
      </c>
      <c r="R972">
        <f t="shared" si="1226"/>
        <v>0</v>
      </c>
      <c r="S972">
        <f t="shared" si="265"/>
        <v>0</v>
      </c>
      <c r="U972" s="8"/>
      <c r="V972">
        <f t="shared" si="9"/>
        <v>0</v>
      </c>
      <c r="W972">
        <f t="shared" si="10"/>
        <v>0</v>
      </c>
      <c r="X972">
        <f t="shared" si="11"/>
        <v>0</v>
      </c>
      <c r="Z972" s="8"/>
      <c r="AA972">
        <f t="shared" si="12"/>
        <v>0</v>
      </c>
      <c r="AB972">
        <f t="shared" si="13"/>
        <v>0</v>
      </c>
      <c r="AC972">
        <f t="shared" si="14"/>
        <v>0</v>
      </c>
    </row>
    <row r="973">
      <c r="O973" s="8"/>
      <c r="P973">
        <f t="shared" ref="P973:R973" si="1227">B973+P974</f>
        <v>0</v>
      </c>
      <c r="Q973">
        <f t="shared" si="1227"/>
        <v>0</v>
      </c>
      <c r="R973">
        <f t="shared" si="1227"/>
        <v>0</v>
      </c>
      <c r="S973">
        <f t="shared" si="265"/>
        <v>0</v>
      </c>
      <c r="U973" s="8"/>
      <c r="V973">
        <f t="shared" si="9"/>
        <v>0</v>
      </c>
      <c r="W973">
        <f t="shared" si="10"/>
        <v>0</v>
      </c>
      <c r="X973">
        <f t="shared" si="11"/>
        <v>0</v>
      </c>
      <c r="Z973" s="8"/>
      <c r="AA973">
        <f t="shared" si="12"/>
        <v>0</v>
      </c>
      <c r="AB973">
        <f t="shared" si="13"/>
        <v>0</v>
      </c>
      <c r="AC973">
        <f t="shared" si="14"/>
        <v>0</v>
      </c>
    </row>
    <row r="974">
      <c r="O974" s="8"/>
      <c r="P974">
        <f t="shared" ref="P974:R974" si="1228">B974+P975</f>
        <v>0</v>
      </c>
      <c r="Q974">
        <f t="shared" si="1228"/>
        <v>0</v>
      </c>
      <c r="R974">
        <f t="shared" si="1228"/>
        <v>0</v>
      </c>
      <c r="S974">
        <f t="shared" si="265"/>
        <v>0</v>
      </c>
      <c r="U974" s="8"/>
      <c r="V974">
        <f t="shared" si="9"/>
        <v>0</v>
      </c>
      <c r="W974">
        <f t="shared" si="10"/>
        <v>0</v>
      </c>
      <c r="X974">
        <f t="shared" si="11"/>
        <v>0</v>
      </c>
      <c r="Z974" s="8"/>
      <c r="AA974">
        <f t="shared" si="12"/>
        <v>0</v>
      </c>
      <c r="AB974">
        <f t="shared" si="13"/>
        <v>0</v>
      </c>
      <c r="AC974">
        <f t="shared" si="14"/>
        <v>0</v>
      </c>
    </row>
    <row r="975">
      <c r="O975" s="8"/>
      <c r="P975">
        <f t="shared" ref="P975:R975" si="1229">B975+P976</f>
        <v>0</v>
      </c>
      <c r="Q975">
        <f t="shared" si="1229"/>
        <v>0</v>
      </c>
      <c r="R975">
        <f t="shared" si="1229"/>
        <v>0</v>
      </c>
      <c r="S975">
        <f t="shared" si="265"/>
        <v>0</v>
      </c>
      <c r="U975" s="8"/>
      <c r="V975">
        <f t="shared" si="9"/>
        <v>0</v>
      </c>
      <c r="W975">
        <f t="shared" si="10"/>
        <v>0</v>
      </c>
      <c r="X975">
        <f t="shared" si="11"/>
        <v>0</v>
      </c>
      <c r="Z975" s="8"/>
      <c r="AA975">
        <f t="shared" si="12"/>
        <v>0</v>
      </c>
      <c r="AB975">
        <f t="shared" si="13"/>
        <v>0</v>
      </c>
      <c r="AC975">
        <f t="shared" si="14"/>
        <v>0</v>
      </c>
    </row>
    <row r="976">
      <c r="O976" s="8"/>
      <c r="P976">
        <f t="shared" ref="P976:R976" si="1230">B976+P977</f>
        <v>0</v>
      </c>
      <c r="Q976">
        <f t="shared" si="1230"/>
        <v>0</v>
      </c>
      <c r="R976">
        <f t="shared" si="1230"/>
        <v>0</v>
      </c>
      <c r="S976">
        <f t="shared" si="265"/>
        <v>0</v>
      </c>
      <c r="U976" s="8"/>
      <c r="V976">
        <f t="shared" si="9"/>
        <v>0</v>
      </c>
      <c r="W976">
        <f t="shared" si="10"/>
        <v>0</v>
      </c>
      <c r="X976">
        <f t="shared" si="11"/>
        <v>0</v>
      </c>
      <c r="Z976" s="8"/>
      <c r="AA976">
        <f t="shared" si="12"/>
        <v>0</v>
      </c>
      <c r="AB976">
        <f t="shared" si="13"/>
        <v>0</v>
      </c>
      <c r="AC976">
        <f t="shared" si="14"/>
        <v>0</v>
      </c>
    </row>
    <row r="977">
      <c r="O977" s="8"/>
      <c r="P977">
        <f t="shared" ref="P977:R977" si="1231">B977+P978</f>
        <v>0</v>
      </c>
      <c r="Q977">
        <f t="shared" si="1231"/>
        <v>0</v>
      </c>
      <c r="R977">
        <f t="shared" si="1231"/>
        <v>0</v>
      </c>
      <c r="S977">
        <f t="shared" si="265"/>
        <v>0</v>
      </c>
      <c r="U977" s="8"/>
      <c r="V977">
        <f t="shared" si="9"/>
        <v>0</v>
      </c>
      <c r="W977">
        <f t="shared" si="10"/>
        <v>0</v>
      </c>
      <c r="X977">
        <f t="shared" si="11"/>
        <v>0</v>
      </c>
      <c r="Z977" s="8"/>
      <c r="AA977">
        <f t="shared" si="12"/>
        <v>0</v>
      </c>
      <c r="AB977">
        <f t="shared" si="13"/>
        <v>0</v>
      </c>
      <c r="AC977">
        <f t="shared" si="14"/>
        <v>0</v>
      </c>
    </row>
    <row r="978">
      <c r="O978" s="8"/>
      <c r="P978">
        <f t="shared" ref="P978:R978" si="1232">B978+P979</f>
        <v>0</v>
      </c>
      <c r="Q978">
        <f t="shared" si="1232"/>
        <v>0</v>
      </c>
      <c r="R978">
        <f t="shared" si="1232"/>
        <v>0</v>
      </c>
      <c r="S978">
        <f t="shared" si="265"/>
        <v>0</v>
      </c>
      <c r="U978" s="8"/>
      <c r="V978">
        <f t="shared" si="9"/>
        <v>0</v>
      </c>
      <c r="W978">
        <f t="shared" si="10"/>
        <v>0</v>
      </c>
      <c r="X978">
        <f t="shared" si="11"/>
        <v>0</v>
      </c>
      <c r="Z978" s="8"/>
      <c r="AA978">
        <f t="shared" si="12"/>
        <v>0</v>
      </c>
      <c r="AB978">
        <f t="shared" si="13"/>
        <v>0</v>
      </c>
      <c r="AC978">
        <f t="shared" si="14"/>
        <v>0</v>
      </c>
    </row>
    <row r="979">
      <c r="O979" s="8"/>
      <c r="P979">
        <f t="shared" ref="P979:R979" si="1233">B979+P980</f>
        <v>0</v>
      </c>
      <c r="Q979">
        <f t="shared" si="1233"/>
        <v>0</v>
      </c>
      <c r="R979">
        <f t="shared" si="1233"/>
        <v>0</v>
      </c>
      <c r="S979">
        <f t="shared" si="265"/>
        <v>0</v>
      </c>
      <c r="U979" s="8"/>
      <c r="V979">
        <f t="shared" si="9"/>
        <v>0</v>
      </c>
      <c r="W979">
        <f t="shared" si="10"/>
        <v>0</v>
      </c>
      <c r="X979">
        <f t="shared" si="11"/>
        <v>0</v>
      </c>
      <c r="Z979" s="8"/>
      <c r="AA979">
        <f t="shared" si="12"/>
        <v>0</v>
      </c>
      <c r="AB979">
        <f t="shared" si="13"/>
        <v>0</v>
      </c>
      <c r="AC979">
        <f t="shared" si="14"/>
        <v>0</v>
      </c>
    </row>
    <row r="980">
      <c r="O980" s="8"/>
      <c r="P980">
        <f t="shared" ref="P980:R980" si="1234">B980+P981</f>
        <v>0</v>
      </c>
      <c r="Q980">
        <f t="shared" si="1234"/>
        <v>0</v>
      </c>
      <c r="R980">
        <f t="shared" si="1234"/>
        <v>0</v>
      </c>
      <c r="S980">
        <f t="shared" si="265"/>
        <v>0</v>
      </c>
      <c r="U980" s="8"/>
      <c r="V980">
        <f t="shared" si="9"/>
        <v>0</v>
      </c>
      <c r="W980">
        <f t="shared" si="10"/>
        <v>0</v>
      </c>
      <c r="X980">
        <f t="shared" si="11"/>
        <v>0</v>
      </c>
      <c r="Z980" s="8"/>
      <c r="AA980">
        <f t="shared" si="12"/>
        <v>0</v>
      </c>
      <c r="AB980">
        <f t="shared" si="13"/>
        <v>0</v>
      </c>
      <c r="AC980">
        <f t="shared" si="14"/>
        <v>0</v>
      </c>
    </row>
    <row r="981">
      <c r="O981" s="8"/>
      <c r="P981">
        <f t="shared" ref="P981:R981" si="1235">B981+P982</f>
        <v>0</v>
      </c>
      <c r="Q981">
        <f t="shared" si="1235"/>
        <v>0</v>
      </c>
      <c r="R981">
        <f t="shared" si="1235"/>
        <v>0</v>
      </c>
      <c r="S981">
        <f t="shared" si="265"/>
        <v>0</v>
      </c>
      <c r="U981" s="8"/>
      <c r="V981">
        <f t="shared" si="9"/>
        <v>0</v>
      </c>
      <c r="W981">
        <f t="shared" si="10"/>
        <v>0</v>
      </c>
      <c r="X981">
        <f t="shared" si="11"/>
        <v>0</v>
      </c>
      <c r="Z981" s="8"/>
      <c r="AA981">
        <f t="shared" si="12"/>
        <v>0</v>
      </c>
      <c r="AB981">
        <f t="shared" si="13"/>
        <v>0</v>
      </c>
      <c r="AC981">
        <f t="shared" si="14"/>
        <v>0</v>
      </c>
    </row>
    <row r="982">
      <c r="O982" s="8"/>
      <c r="P982">
        <f t="shared" ref="P982:R982" si="1236">B982+P983</f>
        <v>0</v>
      </c>
      <c r="Q982">
        <f t="shared" si="1236"/>
        <v>0</v>
      </c>
      <c r="R982">
        <f t="shared" si="1236"/>
        <v>0</v>
      </c>
      <c r="S982">
        <f t="shared" si="265"/>
        <v>0</v>
      </c>
      <c r="U982" s="8"/>
      <c r="V982">
        <f t="shared" si="9"/>
        <v>0</v>
      </c>
      <c r="W982">
        <f t="shared" si="10"/>
        <v>0</v>
      </c>
      <c r="X982">
        <f t="shared" si="11"/>
        <v>0</v>
      </c>
      <c r="Z982" s="8"/>
      <c r="AA982">
        <f t="shared" si="12"/>
        <v>0</v>
      </c>
      <c r="AB982">
        <f t="shared" si="13"/>
        <v>0</v>
      </c>
      <c r="AC982">
        <f t="shared" si="14"/>
        <v>0</v>
      </c>
    </row>
    <row r="983">
      <c r="O983" s="8"/>
      <c r="P983">
        <f t="shared" ref="P983:R983" si="1237">B983+P984</f>
        <v>0</v>
      </c>
      <c r="Q983">
        <f t="shared" si="1237"/>
        <v>0</v>
      </c>
      <c r="R983">
        <f t="shared" si="1237"/>
        <v>0</v>
      </c>
      <c r="S983">
        <f t="shared" si="265"/>
        <v>0</v>
      </c>
      <c r="U983" s="8"/>
      <c r="V983">
        <f t="shared" si="9"/>
        <v>0</v>
      </c>
      <c r="W983">
        <f t="shared" si="10"/>
        <v>0</v>
      </c>
      <c r="X983">
        <f t="shared" si="11"/>
        <v>0</v>
      </c>
      <c r="Z983" s="8"/>
      <c r="AA983">
        <f t="shared" si="12"/>
        <v>0</v>
      </c>
      <c r="AB983">
        <f t="shared" si="13"/>
        <v>0</v>
      </c>
      <c r="AC983">
        <f t="shared" si="14"/>
        <v>0</v>
      </c>
    </row>
    <row r="984">
      <c r="O984" s="8"/>
      <c r="P984">
        <f t="shared" ref="P984:R984" si="1238">B984+P985</f>
        <v>0</v>
      </c>
      <c r="Q984">
        <f t="shared" si="1238"/>
        <v>0</v>
      </c>
      <c r="R984">
        <f t="shared" si="1238"/>
        <v>0</v>
      </c>
      <c r="S984">
        <f t="shared" si="265"/>
        <v>0</v>
      </c>
      <c r="U984" s="8"/>
      <c r="V984">
        <f t="shared" si="9"/>
        <v>0</v>
      </c>
      <c r="W984">
        <f t="shared" si="10"/>
        <v>0</v>
      </c>
      <c r="X984">
        <f t="shared" si="11"/>
        <v>0</v>
      </c>
      <c r="Z984" s="8"/>
      <c r="AA984">
        <f t="shared" si="12"/>
        <v>0</v>
      </c>
      <c r="AB984">
        <f t="shared" si="13"/>
        <v>0</v>
      </c>
      <c r="AC984">
        <f t="shared" si="14"/>
        <v>0</v>
      </c>
    </row>
    <row r="985">
      <c r="O985" s="8"/>
      <c r="P985">
        <f t="shared" ref="P985:R985" si="1239">B985+P986</f>
        <v>0</v>
      </c>
      <c r="Q985">
        <f t="shared" si="1239"/>
        <v>0</v>
      </c>
      <c r="R985">
        <f t="shared" si="1239"/>
        <v>0</v>
      </c>
      <c r="S985">
        <f t="shared" si="265"/>
        <v>0</v>
      </c>
      <c r="U985" s="8"/>
      <c r="V985">
        <f t="shared" si="9"/>
        <v>0</v>
      </c>
      <c r="W985">
        <f t="shared" si="10"/>
        <v>0</v>
      </c>
      <c r="X985">
        <f t="shared" si="11"/>
        <v>0</v>
      </c>
      <c r="Z985" s="8"/>
      <c r="AA985">
        <f t="shared" si="12"/>
        <v>0</v>
      </c>
      <c r="AB985">
        <f t="shared" si="13"/>
        <v>0</v>
      </c>
      <c r="AC985">
        <f t="shared" si="14"/>
        <v>0</v>
      </c>
    </row>
    <row r="986">
      <c r="O986" s="8"/>
      <c r="P986">
        <f t="shared" ref="P986:R986" si="1240">B986+P987</f>
        <v>0</v>
      </c>
      <c r="Q986">
        <f t="shared" si="1240"/>
        <v>0</v>
      </c>
      <c r="R986">
        <f t="shared" si="1240"/>
        <v>0</v>
      </c>
      <c r="S986">
        <f t="shared" si="265"/>
        <v>0</v>
      </c>
      <c r="U986" s="8"/>
      <c r="V986">
        <f t="shared" si="9"/>
        <v>0</v>
      </c>
      <c r="W986">
        <f t="shared" si="10"/>
        <v>0</v>
      </c>
      <c r="X986">
        <f t="shared" si="11"/>
        <v>0</v>
      </c>
      <c r="Z986" s="8"/>
      <c r="AA986">
        <f t="shared" si="12"/>
        <v>0</v>
      </c>
      <c r="AB986">
        <f t="shared" si="13"/>
        <v>0</v>
      </c>
      <c r="AC986">
        <f t="shared" si="14"/>
        <v>0</v>
      </c>
    </row>
    <row r="987">
      <c r="O987" s="8"/>
      <c r="P987">
        <f t="shared" ref="P987:R987" si="1241">B987+P988</f>
        <v>0</v>
      </c>
      <c r="Q987">
        <f t="shared" si="1241"/>
        <v>0</v>
      </c>
      <c r="R987">
        <f t="shared" si="1241"/>
        <v>0</v>
      </c>
      <c r="S987">
        <f t="shared" si="265"/>
        <v>0</v>
      </c>
      <c r="U987" s="8"/>
      <c r="V987">
        <f t="shared" si="9"/>
        <v>0</v>
      </c>
      <c r="W987">
        <f t="shared" si="10"/>
        <v>0</v>
      </c>
      <c r="X987">
        <f t="shared" si="11"/>
        <v>0</v>
      </c>
      <c r="Z987" s="8"/>
      <c r="AA987">
        <f t="shared" si="12"/>
        <v>0</v>
      </c>
      <c r="AB987">
        <f t="shared" si="13"/>
        <v>0</v>
      </c>
      <c r="AC987">
        <f t="shared" si="14"/>
        <v>0</v>
      </c>
    </row>
    <row r="988">
      <c r="O988" s="8"/>
      <c r="P988">
        <f t="shared" ref="P988:R988" si="1242">B988+P989</f>
        <v>0</v>
      </c>
      <c r="Q988">
        <f t="shared" si="1242"/>
        <v>0</v>
      </c>
      <c r="R988">
        <f t="shared" si="1242"/>
        <v>0</v>
      </c>
      <c r="S988">
        <f t="shared" si="265"/>
        <v>0</v>
      </c>
      <c r="U988" s="8"/>
      <c r="V988">
        <f t="shared" si="9"/>
        <v>0</v>
      </c>
      <c r="W988">
        <f t="shared" si="10"/>
        <v>0</v>
      </c>
      <c r="X988">
        <f t="shared" si="11"/>
        <v>0</v>
      </c>
      <c r="Z988" s="8"/>
      <c r="AA988">
        <f t="shared" si="12"/>
        <v>0</v>
      </c>
      <c r="AB988">
        <f t="shared" si="13"/>
        <v>0</v>
      </c>
      <c r="AC988">
        <f t="shared" si="14"/>
        <v>0</v>
      </c>
    </row>
    <row r="989">
      <c r="O989" s="8"/>
      <c r="P989">
        <f t="shared" ref="P989:R989" si="1243">B989+P990</f>
        <v>0</v>
      </c>
      <c r="Q989">
        <f t="shared" si="1243"/>
        <v>0</v>
      </c>
      <c r="R989">
        <f t="shared" si="1243"/>
        <v>0</v>
      </c>
      <c r="S989">
        <f t="shared" si="265"/>
        <v>0</v>
      </c>
      <c r="U989" s="8"/>
      <c r="V989">
        <f t="shared" si="9"/>
        <v>0</v>
      </c>
      <c r="W989">
        <f t="shared" si="10"/>
        <v>0</v>
      </c>
      <c r="X989">
        <f t="shared" si="11"/>
        <v>0</v>
      </c>
      <c r="Z989" s="8"/>
      <c r="AA989">
        <f t="shared" si="12"/>
        <v>0</v>
      </c>
      <c r="AB989">
        <f t="shared" si="13"/>
        <v>0</v>
      </c>
      <c r="AC989">
        <f t="shared" si="14"/>
        <v>0</v>
      </c>
    </row>
    <row r="990">
      <c r="O990" s="8"/>
      <c r="P990">
        <f t="shared" ref="P990:R990" si="1244">B990+P991</f>
        <v>0</v>
      </c>
      <c r="Q990">
        <f t="shared" si="1244"/>
        <v>0</v>
      </c>
      <c r="R990">
        <f t="shared" si="1244"/>
        <v>0</v>
      </c>
      <c r="S990">
        <f t="shared" si="265"/>
        <v>0</v>
      </c>
      <c r="U990" s="8"/>
      <c r="V990">
        <f t="shared" si="9"/>
        <v>0</v>
      </c>
      <c r="W990">
        <f t="shared" si="10"/>
        <v>0</v>
      </c>
      <c r="X990">
        <f t="shared" si="11"/>
        <v>0</v>
      </c>
      <c r="Z990" s="8"/>
      <c r="AA990">
        <f t="shared" si="12"/>
        <v>0</v>
      </c>
      <c r="AB990">
        <f t="shared" si="13"/>
        <v>0</v>
      </c>
      <c r="AC990">
        <f t="shared" si="14"/>
        <v>0</v>
      </c>
    </row>
    <row r="991">
      <c r="O991" s="8"/>
      <c r="P991">
        <f t="shared" ref="P991:R991" si="1245">B991+P992</f>
        <v>0</v>
      </c>
      <c r="Q991">
        <f t="shared" si="1245"/>
        <v>0</v>
      </c>
      <c r="R991">
        <f t="shared" si="1245"/>
        <v>0</v>
      </c>
      <c r="S991">
        <f t="shared" si="265"/>
        <v>0</v>
      </c>
      <c r="U991" s="8"/>
      <c r="V991">
        <f t="shared" si="9"/>
        <v>0</v>
      </c>
      <c r="W991">
        <f t="shared" si="10"/>
        <v>0</v>
      </c>
      <c r="X991">
        <f t="shared" si="11"/>
        <v>0</v>
      </c>
      <c r="Z991" s="8"/>
      <c r="AA991">
        <f t="shared" si="12"/>
        <v>0</v>
      </c>
      <c r="AB991">
        <f t="shared" si="13"/>
        <v>0</v>
      </c>
      <c r="AC991">
        <f t="shared" si="14"/>
        <v>0</v>
      </c>
    </row>
    <row r="992">
      <c r="O992" s="8"/>
      <c r="P992">
        <f t="shared" ref="P992:R992" si="1246">B992+P993</f>
        <v>0</v>
      </c>
      <c r="Q992">
        <f t="shared" si="1246"/>
        <v>0</v>
      </c>
      <c r="R992">
        <f t="shared" si="1246"/>
        <v>0</v>
      </c>
      <c r="S992">
        <f t="shared" si="265"/>
        <v>0</v>
      </c>
      <c r="U992" s="8"/>
      <c r="V992">
        <f t="shared" si="9"/>
        <v>0</v>
      </c>
      <c r="W992">
        <f t="shared" si="10"/>
        <v>0</v>
      </c>
      <c r="X992">
        <f t="shared" si="11"/>
        <v>0</v>
      </c>
      <c r="Z992" s="8"/>
      <c r="AA992">
        <f t="shared" si="12"/>
        <v>0</v>
      </c>
      <c r="AB992">
        <f t="shared" si="13"/>
        <v>0</v>
      </c>
      <c r="AC992">
        <f t="shared" si="14"/>
        <v>0</v>
      </c>
    </row>
    <row r="993">
      <c r="O993" s="8"/>
      <c r="P993">
        <f t="shared" ref="P993:R993" si="1247">B993+P994</f>
        <v>0</v>
      </c>
      <c r="Q993">
        <f t="shared" si="1247"/>
        <v>0</v>
      </c>
      <c r="R993">
        <f t="shared" si="1247"/>
        <v>0</v>
      </c>
      <c r="S993">
        <f t="shared" si="265"/>
        <v>0</v>
      </c>
      <c r="U993" s="8"/>
      <c r="V993">
        <f t="shared" si="9"/>
        <v>0</v>
      </c>
      <c r="W993">
        <f t="shared" si="10"/>
        <v>0</v>
      </c>
      <c r="X993">
        <f t="shared" si="11"/>
        <v>0</v>
      </c>
      <c r="Z993" s="8"/>
      <c r="AA993">
        <f t="shared" si="12"/>
        <v>0</v>
      </c>
      <c r="AB993">
        <f t="shared" si="13"/>
        <v>0</v>
      </c>
      <c r="AC993">
        <f t="shared" si="14"/>
        <v>0</v>
      </c>
    </row>
    <row r="994">
      <c r="O994" s="8"/>
      <c r="P994">
        <f t="shared" ref="P994:R994" si="1248">B994+P995</f>
        <v>0</v>
      </c>
      <c r="Q994">
        <f t="shared" si="1248"/>
        <v>0</v>
      </c>
      <c r="R994">
        <f t="shared" si="1248"/>
        <v>0</v>
      </c>
      <c r="S994">
        <f t="shared" si="265"/>
        <v>0</v>
      </c>
      <c r="U994" s="8"/>
      <c r="V994">
        <f t="shared" si="9"/>
        <v>0</v>
      </c>
      <c r="W994">
        <f t="shared" si="10"/>
        <v>0</v>
      </c>
      <c r="X994">
        <f t="shared" si="11"/>
        <v>0</v>
      </c>
      <c r="Z994" s="8"/>
      <c r="AA994">
        <f t="shared" si="12"/>
        <v>0</v>
      </c>
      <c r="AB994">
        <f t="shared" si="13"/>
        <v>0</v>
      </c>
      <c r="AC994">
        <f t="shared" si="14"/>
        <v>0</v>
      </c>
    </row>
    <row r="995">
      <c r="O995" s="8"/>
      <c r="P995">
        <f t="shared" ref="P995:R995" si="1249">B995+P996</f>
        <v>0</v>
      </c>
      <c r="Q995">
        <f t="shared" si="1249"/>
        <v>0</v>
      </c>
      <c r="R995">
        <f t="shared" si="1249"/>
        <v>0</v>
      </c>
      <c r="S995">
        <f t="shared" si="265"/>
        <v>0</v>
      </c>
      <c r="U995" s="8"/>
      <c r="V995">
        <f t="shared" si="9"/>
        <v>0</v>
      </c>
      <c r="W995">
        <f t="shared" si="10"/>
        <v>0</v>
      </c>
      <c r="X995">
        <f t="shared" si="11"/>
        <v>0</v>
      </c>
      <c r="Z995" s="8"/>
      <c r="AA995">
        <f t="shared" si="12"/>
        <v>0</v>
      </c>
      <c r="AB995">
        <f t="shared" si="13"/>
        <v>0</v>
      </c>
      <c r="AC995">
        <f t="shared" si="14"/>
        <v>0</v>
      </c>
    </row>
    <row r="996">
      <c r="O996" s="8"/>
      <c r="P996">
        <f t="shared" ref="P996:R996" si="1250">B996+P997</f>
        <v>0</v>
      </c>
      <c r="Q996">
        <f t="shared" si="1250"/>
        <v>0</v>
      </c>
      <c r="R996">
        <f t="shared" si="1250"/>
        <v>0</v>
      </c>
      <c r="S996">
        <f t="shared" si="265"/>
        <v>0</v>
      </c>
      <c r="U996" s="8"/>
      <c r="V996">
        <f t="shared" si="9"/>
        <v>0</v>
      </c>
      <c r="W996">
        <f t="shared" si="10"/>
        <v>0</v>
      </c>
      <c r="X996">
        <f t="shared" si="11"/>
        <v>0</v>
      </c>
      <c r="Z996" s="8"/>
      <c r="AA996">
        <f t="shared" si="12"/>
        <v>0</v>
      </c>
      <c r="AB996">
        <f t="shared" si="13"/>
        <v>0</v>
      </c>
      <c r="AC996">
        <f t="shared" si="14"/>
        <v>0</v>
      </c>
    </row>
    <row r="997">
      <c r="O997" s="8"/>
      <c r="P997">
        <f t="shared" ref="P997:R997" si="1251">B997+P998</f>
        <v>0</v>
      </c>
      <c r="Q997">
        <f t="shared" si="1251"/>
        <v>0</v>
      </c>
      <c r="R997">
        <f t="shared" si="1251"/>
        <v>0</v>
      </c>
      <c r="S997">
        <f t="shared" si="265"/>
        <v>0</v>
      </c>
      <c r="U997" s="8"/>
      <c r="V997">
        <f t="shared" si="9"/>
        <v>0</v>
      </c>
      <c r="W997">
        <f t="shared" si="10"/>
        <v>0</v>
      </c>
      <c r="X997">
        <f t="shared" si="11"/>
        <v>0</v>
      </c>
      <c r="Z997" s="8"/>
      <c r="AA997">
        <f t="shared" si="12"/>
        <v>0</v>
      </c>
      <c r="AB997">
        <f t="shared" si="13"/>
        <v>0</v>
      </c>
      <c r="AC997">
        <f t="shared" si="14"/>
        <v>0</v>
      </c>
    </row>
    <row r="998">
      <c r="O998" s="8"/>
      <c r="P998">
        <f t="shared" ref="P998:R998" si="1252">B998+P999</f>
        <v>0</v>
      </c>
      <c r="Q998">
        <f t="shared" si="1252"/>
        <v>0</v>
      </c>
      <c r="R998">
        <f t="shared" si="1252"/>
        <v>0</v>
      </c>
      <c r="S998">
        <f t="shared" si="265"/>
        <v>0</v>
      </c>
      <c r="U998" s="8"/>
      <c r="V998">
        <f t="shared" si="9"/>
        <v>0</v>
      </c>
      <c r="W998">
        <f t="shared" si="10"/>
        <v>0</v>
      </c>
      <c r="X998">
        <f t="shared" si="11"/>
        <v>0</v>
      </c>
      <c r="Z998" s="8"/>
      <c r="AA998">
        <f t="shared" si="12"/>
        <v>0</v>
      </c>
      <c r="AB998">
        <f t="shared" si="13"/>
        <v>0</v>
      </c>
      <c r="AC998">
        <f t="shared" si="14"/>
        <v>0</v>
      </c>
    </row>
    <row r="999">
      <c r="O999" s="8"/>
      <c r="P999">
        <f t="shared" ref="P999:R999" si="1253">B999+P1000</f>
        <v>0</v>
      </c>
      <c r="Q999">
        <f t="shared" si="1253"/>
        <v>0</v>
      </c>
      <c r="R999">
        <f t="shared" si="1253"/>
        <v>0</v>
      </c>
      <c r="S999">
        <f t="shared" si="265"/>
        <v>0</v>
      </c>
      <c r="U999" s="8"/>
      <c r="V999">
        <f t="shared" si="9"/>
        <v>0</v>
      </c>
      <c r="W999">
        <f t="shared" si="10"/>
        <v>0</v>
      </c>
      <c r="X999">
        <f t="shared" si="11"/>
        <v>0</v>
      </c>
      <c r="Z999" s="8"/>
      <c r="AA999">
        <f t="shared" si="12"/>
        <v>0</v>
      </c>
      <c r="AB999">
        <f t="shared" si="13"/>
        <v>0</v>
      </c>
      <c r="AC999">
        <f t="shared" si="14"/>
        <v>0</v>
      </c>
    </row>
    <row r="1000">
      <c r="O1000" s="8"/>
      <c r="P1000">
        <f t="shared" ref="P1000:R1000" si="1254">B1000+P1001</f>
        <v>0</v>
      </c>
      <c r="Q1000">
        <f t="shared" si="1254"/>
        <v>0</v>
      </c>
      <c r="R1000">
        <f t="shared" si="1254"/>
        <v>0</v>
      </c>
      <c r="S1000">
        <f t="shared" si="265"/>
        <v>0</v>
      </c>
      <c r="U1000" s="8"/>
      <c r="V1000">
        <f t="shared" si="9"/>
        <v>0</v>
      </c>
      <c r="W1000">
        <f t="shared" si="10"/>
        <v>0</v>
      </c>
      <c r="X1000">
        <f t="shared" si="11"/>
        <v>0</v>
      </c>
      <c r="Z1000" s="8"/>
      <c r="AA1000">
        <f t="shared" si="12"/>
        <v>0</v>
      </c>
      <c r="AB1000">
        <f t="shared" si="13"/>
        <v>0</v>
      </c>
      <c r="AC1000">
        <f t="shared" si="14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>IFERROR(__xludf.DUMMYFUNCTION("QUERY(Data!A:F,""Select C,E,F where (E is not null and F is not null) Order by C desc"",1)"),"Date")</f>
        <v>Date</v>
      </c>
      <c r="B1" t="str">
        <f>IFERROR(__xludf.DUMMYFUNCTION("""COMPUTED_VALUE"""),"Jeffrey")</f>
        <v>Jeffrey</v>
      </c>
      <c r="C1" t="str">
        <f>IFERROR(__xludf.DUMMYFUNCTION("""COMPUTED_VALUE"""),"Robert")</f>
        <v>Robert</v>
      </c>
      <c r="E1" t="str">
        <f>IFERROR(__xludf.DUMMYFUNCTION("QUERY(A:A,""select A"",1)"),"Date")</f>
        <v>Date</v>
      </c>
      <c r="F1" t="s">
        <v>4</v>
      </c>
      <c r="G1" t="s">
        <v>5</v>
      </c>
      <c r="I1" t="str">
        <f>IFERROR(__xludf.DUMMYFUNCTION("QUERY(A:A,""select A"",1)"),"Date")</f>
        <v>Date</v>
      </c>
      <c r="J1" t="s">
        <v>4</v>
      </c>
    </row>
    <row r="2">
      <c r="A2" s="8">
        <f>IFERROR(__xludf.DUMMYFUNCTION("""COMPUTED_VALUE"""),46110.0)</f>
        <v>46110</v>
      </c>
      <c r="B2">
        <f>IFERROR(__xludf.DUMMYFUNCTION("""COMPUTED_VALUE"""),3.0)</f>
        <v>3</v>
      </c>
      <c r="C2">
        <f>IFERROR(__xludf.DUMMYFUNCTION("""COMPUTED_VALUE"""),1.0)</f>
        <v>1</v>
      </c>
      <c r="D2">
        <f>sum(B:B)</f>
        <v>1259</v>
      </c>
      <c r="E2" s="8">
        <f>IFERROR(__xludf.DUMMYFUNCTION("""COMPUTED_VALUE"""),46110.0)</f>
        <v>46110</v>
      </c>
      <c r="F2">
        <f t="shared" ref="F2:G2" si="1">B2+F3</f>
        <v>1259</v>
      </c>
      <c r="G2">
        <f t="shared" si="1"/>
        <v>1183</v>
      </c>
      <c r="I2" s="8">
        <f>IFERROR(__xludf.DUMMYFUNCTION("""COMPUTED_VALUE"""),46110.0)</f>
        <v>46110</v>
      </c>
      <c r="J2">
        <f t="shared" ref="J2:J1000" si="3">F2-G2</f>
        <v>76</v>
      </c>
    </row>
    <row r="3">
      <c r="A3" s="8">
        <f>IFERROR(__xludf.DUMMYFUNCTION("""COMPUTED_VALUE"""),46073.0)</f>
        <v>46073</v>
      </c>
      <c r="B3">
        <f>IFERROR(__xludf.DUMMYFUNCTION("""COMPUTED_VALUE"""),4.0)</f>
        <v>4</v>
      </c>
      <c r="C3">
        <f>IFERROR(__xludf.DUMMYFUNCTION("""COMPUTED_VALUE"""),3.0)</f>
        <v>3</v>
      </c>
      <c r="D3">
        <f>sum(C:C)</f>
        <v>1183</v>
      </c>
      <c r="E3" s="8">
        <f>IFERROR(__xludf.DUMMYFUNCTION("""COMPUTED_VALUE"""),46073.0)</f>
        <v>46073</v>
      </c>
      <c r="F3">
        <f t="shared" ref="F3:G3" si="2">B3+F4</f>
        <v>1256</v>
      </c>
      <c r="G3">
        <f t="shared" si="2"/>
        <v>1182</v>
      </c>
      <c r="I3" s="8">
        <f>IFERROR(__xludf.DUMMYFUNCTION("""COMPUTED_VALUE"""),46073.0)</f>
        <v>46073</v>
      </c>
      <c r="J3">
        <f t="shared" si="3"/>
        <v>74</v>
      </c>
    </row>
    <row r="4">
      <c r="A4" s="8">
        <f>IFERROR(__xludf.DUMMYFUNCTION("""COMPUTED_VALUE"""),46045.0)</f>
        <v>46045</v>
      </c>
      <c r="B4">
        <f>IFERROR(__xludf.DUMMYFUNCTION("""COMPUTED_VALUE"""),3.0)</f>
        <v>3</v>
      </c>
      <c r="C4">
        <f>IFERROR(__xludf.DUMMYFUNCTION("""COMPUTED_VALUE"""),1.0)</f>
        <v>1</v>
      </c>
      <c r="D4">
        <f>D2-D3</f>
        <v>76</v>
      </c>
      <c r="E4" s="8">
        <f>IFERROR(__xludf.DUMMYFUNCTION("""COMPUTED_VALUE"""),46045.0)</f>
        <v>46045</v>
      </c>
      <c r="F4">
        <f t="shared" ref="F4:G4" si="4">B4+F5</f>
        <v>1252</v>
      </c>
      <c r="G4">
        <f t="shared" si="4"/>
        <v>1179</v>
      </c>
      <c r="I4" s="8">
        <f>IFERROR(__xludf.DUMMYFUNCTION("""COMPUTED_VALUE"""),46045.0)</f>
        <v>46045</v>
      </c>
      <c r="J4">
        <f t="shared" si="3"/>
        <v>73</v>
      </c>
    </row>
    <row r="5">
      <c r="A5" s="8">
        <f>IFERROR(__xludf.DUMMYFUNCTION("""COMPUTED_VALUE"""),45969.0)</f>
        <v>45969</v>
      </c>
      <c r="B5">
        <f>IFERROR(__xludf.DUMMYFUNCTION("""COMPUTED_VALUE"""),4.0)</f>
        <v>4</v>
      </c>
      <c r="C5">
        <f>IFERROR(__xludf.DUMMYFUNCTION("""COMPUTED_VALUE"""),3.0)</f>
        <v>3</v>
      </c>
      <c r="E5" s="8">
        <f>IFERROR(__xludf.DUMMYFUNCTION("""COMPUTED_VALUE"""),45969.0)</f>
        <v>45969</v>
      </c>
      <c r="F5">
        <f t="shared" ref="F5:G5" si="5">B5+F6</f>
        <v>1249</v>
      </c>
      <c r="G5">
        <f t="shared" si="5"/>
        <v>1178</v>
      </c>
      <c r="I5" s="8">
        <f>IFERROR(__xludf.DUMMYFUNCTION("""COMPUTED_VALUE"""),45969.0)</f>
        <v>45969</v>
      </c>
      <c r="J5">
        <f t="shared" si="3"/>
        <v>71</v>
      </c>
    </row>
    <row r="6">
      <c r="A6" s="8">
        <f>IFERROR(__xludf.DUMMYFUNCTION("""COMPUTED_VALUE"""),45969.0)</f>
        <v>45969</v>
      </c>
      <c r="B6">
        <f>IFERROR(__xludf.DUMMYFUNCTION("""COMPUTED_VALUE"""),2.0)</f>
        <v>2</v>
      </c>
      <c r="C6">
        <f>IFERROR(__xludf.DUMMYFUNCTION("""COMPUTED_VALUE"""),1.0)</f>
        <v>1</v>
      </c>
      <c r="E6" s="8">
        <f>IFERROR(__xludf.DUMMYFUNCTION("""COMPUTED_VALUE"""),45969.0)</f>
        <v>45969</v>
      </c>
      <c r="F6">
        <f t="shared" ref="F6:G6" si="6">B6+F7</f>
        <v>1245</v>
      </c>
      <c r="G6">
        <f t="shared" si="6"/>
        <v>1175</v>
      </c>
      <c r="I6" s="8">
        <f>IFERROR(__xludf.DUMMYFUNCTION("""COMPUTED_VALUE"""),45969.0)</f>
        <v>45969</v>
      </c>
      <c r="J6">
        <f t="shared" si="3"/>
        <v>70</v>
      </c>
    </row>
    <row r="7">
      <c r="A7" s="8">
        <f>IFERROR(__xludf.DUMMYFUNCTION("""COMPUTED_VALUE"""),45949.0)</f>
        <v>45949</v>
      </c>
      <c r="B7">
        <f>IFERROR(__xludf.DUMMYFUNCTION("""COMPUTED_VALUE"""),1.0)</f>
        <v>1</v>
      </c>
      <c r="C7">
        <f>IFERROR(__xludf.DUMMYFUNCTION("""COMPUTED_VALUE"""),3.0)</f>
        <v>3</v>
      </c>
      <c r="E7" s="8">
        <f>IFERROR(__xludf.DUMMYFUNCTION("""COMPUTED_VALUE"""),45949.0)</f>
        <v>45949</v>
      </c>
      <c r="F7">
        <f t="shared" ref="F7:G7" si="7">B7+F8</f>
        <v>1243</v>
      </c>
      <c r="G7">
        <f t="shared" si="7"/>
        <v>1174</v>
      </c>
      <c r="I7" s="8">
        <f>IFERROR(__xludf.DUMMYFUNCTION("""COMPUTED_VALUE"""),45949.0)</f>
        <v>45949</v>
      </c>
      <c r="J7">
        <f t="shared" si="3"/>
        <v>69</v>
      </c>
    </row>
    <row r="8">
      <c r="A8" s="8">
        <f>IFERROR(__xludf.DUMMYFUNCTION("""COMPUTED_VALUE"""),45934.0)</f>
        <v>45934</v>
      </c>
      <c r="B8">
        <f>IFERROR(__xludf.DUMMYFUNCTION("""COMPUTED_VALUE"""),2.0)</f>
        <v>2</v>
      </c>
      <c r="C8">
        <f>IFERROR(__xludf.DUMMYFUNCTION("""COMPUTED_VALUE"""),3.0)</f>
        <v>3</v>
      </c>
      <c r="E8" s="8">
        <f>IFERROR(__xludf.DUMMYFUNCTION("""COMPUTED_VALUE"""),45934.0)</f>
        <v>45934</v>
      </c>
      <c r="F8">
        <f t="shared" ref="F8:G8" si="8">B8+F9</f>
        <v>1242</v>
      </c>
      <c r="G8">
        <f t="shared" si="8"/>
        <v>1171</v>
      </c>
      <c r="I8" s="8">
        <f>IFERROR(__xludf.DUMMYFUNCTION("""COMPUTED_VALUE"""),45934.0)</f>
        <v>45934</v>
      </c>
      <c r="J8">
        <f t="shared" si="3"/>
        <v>71</v>
      </c>
    </row>
    <row r="9">
      <c r="A9" s="8">
        <f>IFERROR(__xludf.DUMMYFUNCTION("""COMPUTED_VALUE"""),45934.0)</f>
        <v>45934</v>
      </c>
      <c r="B9">
        <f>IFERROR(__xludf.DUMMYFUNCTION("""COMPUTED_VALUE"""),3.0)</f>
        <v>3</v>
      </c>
      <c r="C9">
        <f>IFERROR(__xludf.DUMMYFUNCTION("""COMPUTED_VALUE"""),1.0)</f>
        <v>1</v>
      </c>
      <c r="E9" s="8">
        <f>IFERROR(__xludf.DUMMYFUNCTION("""COMPUTED_VALUE"""),45934.0)</f>
        <v>45934</v>
      </c>
      <c r="F9">
        <f t="shared" ref="F9:G9" si="9">B9+F10</f>
        <v>1240</v>
      </c>
      <c r="G9">
        <f t="shared" si="9"/>
        <v>1168</v>
      </c>
      <c r="I9" s="8">
        <f>IFERROR(__xludf.DUMMYFUNCTION("""COMPUTED_VALUE"""),45934.0)</f>
        <v>45934</v>
      </c>
      <c r="J9">
        <f t="shared" si="3"/>
        <v>72</v>
      </c>
    </row>
    <row r="10">
      <c r="A10" s="8">
        <f>IFERROR(__xludf.DUMMYFUNCTION("""COMPUTED_VALUE"""),45928.0)</f>
        <v>45928</v>
      </c>
      <c r="B10">
        <f>IFERROR(__xludf.DUMMYFUNCTION("""COMPUTED_VALUE"""),3.0)</f>
        <v>3</v>
      </c>
      <c r="C10">
        <f>IFERROR(__xludf.DUMMYFUNCTION("""COMPUTED_VALUE"""),1.0)</f>
        <v>1</v>
      </c>
      <c r="E10" s="8">
        <f>IFERROR(__xludf.DUMMYFUNCTION("""COMPUTED_VALUE"""),45928.0)</f>
        <v>45928</v>
      </c>
      <c r="F10">
        <f t="shared" ref="F10:G10" si="10">B10+F11</f>
        <v>1237</v>
      </c>
      <c r="G10">
        <f t="shared" si="10"/>
        <v>1167</v>
      </c>
      <c r="I10" s="8">
        <f>IFERROR(__xludf.DUMMYFUNCTION("""COMPUTED_VALUE"""),45928.0)</f>
        <v>45928</v>
      </c>
      <c r="J10">
        <f t="shared" si="3"/>
        <v>70</v>
      </c>
    </row>
    <row r="11">
      <c r="A11" s="8">
        <f>IFERROR(__xludf.DUMMYFUNCTION("""COMPUTED_VALUE"""),45906.0)</f>
        <v>45906</v>
      </c>
      <c r="B11">
        <f>IFERROR(__xludf.DUMMYFUNCTION("""COMPUTED_VALUE"""),3.0)</f>
        <v>3</v>
      </c>
      <c r="C11">
        <f>IFERROR(__xludf.DUMMYFUNCTION("""COMPUTED_VALUE"""),2.0)</f>
        <v>2</v>
      </c>
      <c r="E11" s="8">
        <f>IFERROR(__xludf.DUMMYFUNCTION("""COMPUTED_VALUE"""),45906.0)</f>
        <v>45906</v>
      </c>
      <c r="F11">
        <f t="shared" ref="F11:G11" si="11">B11+F12</f>
        <v>1234</v>
      </c>
      <c r="G11">
        <f t="shared" si="11"/>
        <v>1166</v>
      </c>
      <c r="I11" s="8">
        <f>IFERROR(__xludf.DUMMYFUNCTION("""COMPUTED_VALUE"""),45906.0)</f>
        <v>45906</v>
      </c>
      <c r="J11">
        <f t="shared" si="3"/>
        <v>68</v>
      </c>
    </row>
    <row r="12">
      <c r="A12" s="8">
        <f>IFERROR(__xludf.DUMMYFUNCTION("""COMPUTED_VALUE"""),45900.0)</f>
        <v>45900</v>
      </c>
      <c r="B12">
        <f>IFERROR(__xludf.DUMMYFUNCTION("""COMPUTED_VALUE"""),3.0)</f>
        <v>3</v>
      </c>
      <c r="C12">
        <f>IFERROR(__xludf.DUMMYFUNCTION("""COMPUTED_VALUE"""),2.0)</f>
        <v>2</v>
      </c>
      <c r="E12" s="8">
        <f>IFERROR(__xludf.DUMMYFUNCTION("""COMPUTED_VALUE"""),45900.0)</f>
        <v>45900</v>
      </c>
      <c r="F12">
        <f t="shared" ref="F12:G12" si="12">B12+F13</f>
        <v>1231</v>
      </c>
      <c r="G12">
        <f t="shared" si="12"/>
        <v>1164</v>
      </c>
      <c r="I12" s="8">
        <f>IFERROR(__xludf.DUMMYFUNCTION("""COMPUTED_VALUE"""),45900.0)</f>
        <v>45900</v>
      </c>
      <c r="J12">
        <f t="shared" si="3"/>
        <v>67</v>
      </c>
    </row>
    <row r="13">
      <c r="A13" s="8">
        <f>IFERROR(__xludf.DUMMYFUNCTION("""COMPUTED_VALUE"""),45899.0)</f>
        <v>45899</v>
      </c>
      <c r="B13">
        <f>IFERROR(__xludf.DUMMYFUNCTION("""COMPUTED_VALUE"""),1.0)</f>
        <v>1</v>
      </c>
      <c r="C13">
        <f>IFERROR(__xludf.DUMMYFUNCTION("""COMPUTED_VALUE"""),3.0)</f>
        <v>3</v>
      </c>
      <c r="E13" s="8">
        <f>IFERROR(__xludf.DUMMYFUNCTION("""COMPUTED_VALUE"""),45899.0)</f>
        <v>45899</v>
      </c>
      <c r="F13">
        <f t="shared" ref="F13:G13" si="13">B13+F14</f>
        <v>1228</v>
      </c>
      <c r="G13">
        <f t="shared" si="13"/>
        <v>1162</v>
      </c>
      <c r="I13" s="8">
        <f>IFERROR(__xludf.DUMMYFUNCTION("""COMPUTED_VALUE"""),45899.0)</f>
        <v>45899</v>
      </c>
      <c r="J13">
        <f t="shared" si="3"/>
        <v>66</v>
      </c>
    </row>
    <row r="14">
      <c r="A14" s="8">
        <f>IFERROR(__xludf.DUMMYFUNCTION("""COMPUTED_VALUE"""),45899.0)</f>
        <v>45899</v>
      </c>
      <c r="B14">
        <f>IFERROR(__xludf.DUMMYFUNCTION("""COMPUTED_VALUE"""),1.0)</f>
        <v>1</v>
      </c>
      <c r="C14">
        <f>IFERROR(__xludf.DUMMYFUNCTION("""COMPUTED_VALUE"""),3.0)</f>
        <v>3</v>
      </c>
      <c r="E14" s="8">
        <f>IFERROR(__xludf.DUMMYFUNCTION("""COMPUTED_VALUE"""),45899.0)</f>
        <v>45899</v>
      </c>
      <c r="F14">
        <f t="shared" ref="F14:G14" si="14">B14+F15</f>
        <v>1227</v>
      </c>
      <c r="G14">
        <f t="shared" si="14"/>
        <v>1159</v>
      </c>
      <c r="I14" s="8">
        <f>IFERROR(__xludf.DUMMYFUNCTION("""COMPUTED_VALUE"""),45899.0)</f>
        <v>45899</v>
      </c>
      <c r="J14">
        <f t="shared" si="3"/>
        <v>68</v>
      </c>
    </row>
    <row r="15">
      <c r="A15" s="8">
        <f>IFERROR(__xludf.DUMMYFUNCTION("""COMPUTED_VALUE"""),45893.0)</f>
        <v>45893</v>
      </c>
      <c r="B15">
        <f>IFERROR(__xludf.DUMMYFUNCTION("""COMPUTED_VALUE"""),1.0)</f>
        <v>1</v>
      </c>
      <c r="C15">
        <f>IFERROR(__xludf.DUMMYFUNCTION("""COMPUTED_VALUE"""),2.0)</f>
        <v>2</v>
      </c>
      <c r="E15" s="8">
        <f>IFERROR(__xludf.DUMMYFUNCTION("""COMPUTED_VALUE"""),45893.0)</f>
        <v>45893</v>
      </c>
      <c r="F15">
        <f t="shared" ref="F15:G15" si="15">B15+F16</f>
        <v>1226</v>
      </c>
      <c r="G15">
        <f t="shared" si="15"/>
        <v>1156</v>
      </c>
      <c r="I15" s="8">
        <f>IFERROR(__xludf.DUMMYFUNCTION("""COMPUTED_VALUE"""),45893.0)</f>
        <v>45893</v>
      </c>
      <c r="J15">
        <f t="shared" si="3"/>
        <v>70</v>
      </c>
    </row>
    <row r="16">
      <c r="A16" s="8">
        <f>IFERROR(__xludf.DUMMYFUNCTION("""COMPUTED_VALUE"""),45872.0)</f>
        <v>45872</v>
      </c>
      <c r="B16">
        <f>IFERROR(__xludf.DUMMYFUNCTION("""COMPUTED_VALUE"""),1.0)</f>
        <v>1</v>
      </c>
      <c r="C16">
        <f>IFERROR(__xludf.DUMMYFUNCTION("""COMPUTED_VALUE"""),3.0)</f>
        <v>3</v>
      </c>
      <c r="E16" s="8">
        <f>IFERROR(__xludf.DUMMYFUNCTION("""COMPUTED_VALUE"""),45872.0)</f>
        <v>45872</v>
      </c>
      <c r="F16">
        <f t="shared" ref="F16:G16" si="16">B16+F17</f>
        <v>1225</v>
      </c>
      <c r="G16">
        <f t="shared" si="16"/>
        <v>1154</v>
      </c>
      <c r="I16" s="8">
        <f>IFERROR(__xludf.DUMMYFUNCTION("""COMPUTED_VALUE"""),45872.0)</f>
        <v>45872</v>
      </c>
      <c r="J16">
        <f t="shared" si="3"/>
        <v>71</v>
      </c>
    </row>
    <row r="17">
      <c r="A17" s="8">
        <f>IFERROR(__xludf.DUMMYFUNCTION("""COMPUTED_VALUE"""),45864.0)</f>
        <v>45864</v>
      </c>
      <c r="B17">
        <f>IFERROR(__xludf.DUMMYFUNCTION("""COMPUTED_VALUE"""),3.0)</f>
        <v>3</v>
      </c>
      <c r="C17">
        <f>IFERROR(__xludf.DUMMYFUNCTION("""COMPUTED_VALUE"""),2.0)</f>
        <v>2</v>
      </c>
      <c r="E17" s="8">
        <f>IFERROR(__xludf.DUMMYFUNCTION("""COMPUTED_VALUE"""),45864.0)</f>
        <v>45864</v>
      </c>
      <c r="F17">
        <f t="shared" ref="F17:G17" si="17">B17+F18</f>
        <v>1224</v>
      </c>
      <c r="G17">
        <f t="shared" si="17"/>
        <v>1151</v>
      </c>
      <c r="I17" s="8">
        <f>IFERROR(__xludf.DUMMYFUNCTION("""COMPUTED_VALUE"""),45864.0)</f>
        <v>45864</v>
      </c>
      <c r="J17">
        <f t="shared" si="3"/>
        <v>73</v>
      </c>
    </row>
    <row r="18">
      <c r="A18" s="8">
        <f>IFERROR(__xludf.DUMMYFUNCTION("""COMPUTED_VALUE"""),45857.0)</f>
        <v>45857</v>
      </c>
      <c r="B18">
        <f>IFERROR(__xludf.DUMMYFUNCTION("""COMPUTED_VALUE"""),3.0)</f>
        <v>3</v>
      </c>
      <c r="C18">
        <f>IFERROR(__xludf.DUMMYFUNCTION("""COMPUTED_VALUE"""),1.0)</f>
        <v>1</v>
      </c>
      <c r="E18" s="8">
        <f>IFERROR(__xludf.DUMMYFUNCTION("""COMPUTED_VALUE"""),45857.0)</f>
        <v>45857</v>
      </c>
      <c r="F18">
        <f t="shared" ref="F18:G18" si="18">B18+F19</f>
        <v>1221</v>
      </c>
      <c r="G18">
        <f t="shared" si="18"/>
        <v>1149</v>
      </c>
      <c r="I18" s="8">
        <f>IFERROR(__xludf.DUMMYFUNCTION("""COMPUTED_VALUE"""),45857.0)</f>
        <v>45857</v>
      </c>
      <c r="J18">
        <f t="shared" si="3"/>
        <v>72</v>
      </c>
    </row>
    <row r="19">
      <c r="A19" s="8">
        <f>IFERROR(__xludf.DUMMYFUNCTION("""COMPUTED_VALUE"""),45857.0)</f>
        <v>45857</v>
      </c>
      <c r="B19">
        <f>IFERROR(__xludf.DUMMYFUNCTION("""COMPUTED_VALUE"""),3.0)</f>
        <v>3</v>
      </c>
      <c r="C19">
        <f>IFERROR(__xludf.DUMMYFUNCTION("""COMPUTED_VALUE"""),2.0)</f>
        <v>2</v>
      </c>
      <c r="E19" s="8">
        <f>IFERROR(__xludf.DUMMYFUNCTION("""COMPUTED_VALUE"""),45857.0)</f>
        <v>45857</v>
      </c>
      <c r="F19">
        <f t="shared" ref="F19:G19" si="19">B19+F20</f>
        <v>1218</v>
      </c>
      <c r="G19">
        <f t="shared" si="19"/>
        <v>1148</v>
      </c>
      <c r="I19" s="8">
        <f>IFERROR(__xludf.DUMMYFUNCTION("""COMPUTED_VALUE"""),45857.0)</f>
        <v>45857</v>
      </c>
      <c r="J19">
        <f t="shared" si="3"/>
        <v>70</v>
      </c>
    </row>
    <row r="20">
      <c r="A20" s="8">
        <f>IFERROR(__xludf.DUMMYFUNCTION("""COMPUTED_VALUE"""),45851.0)</f>
        <v>45851</v>
      </c>
      <c r="B20">
        <f>IFERROR(__xludf.DUMMYFUNCTION("""COMPUTED_VALUE"""),2.0)</f>
        <v>2</v>
      </c>
      <c r="C20">
        <f>IFERROR(__xludf.DUMMYFUNCTION("""COMPUTED_VALUE"""),1.0)</f>
        <v>1</v>
      </c>
      <c r="E20" s="8">
        <f>IFERROR(__xludf.DUMMYFUNCTION("""COMPUTED_VALUE"""),45851.0)</f>
        <v>45851</v>
      </c>
      <c r="F20">
        <f t="shared" ref="F20:G20" si="20">B20+F21</f>
        <v>1215</v>
      </c>
      <c r="G20">
        <f t="shared" si="20"/>
        <v>1146</v>
      </c>
      <c r="I20" s="8">
        <f>IFERROR(__xludf.DUMMYFUNCTION("""COMPUTED_VALUE"""),45851.0)</f>
        <v>45851</v>
      </c>
      <c r="J20">
        <f t="shared" si="3"/>
        <v>69</v>
      </c>
    </row>
    <row r="21">
      <c r="A21" s="8">
        <f>IFERROR(__xludf.DUMMYFUNCTION("""COMPUTED_VALUE"""),45844.0)</f>
        <v>45844</v>
      </c>
      <c r="B21">
        <f>IFERROR(__xludf.DUMMYFUNCTION("""COMPUTED_VALUE"""),1.0)</f>
        <v>1</v>
      </c>
      <c r="C21">
        <f>IFERROR(__xludf.DUMMYFUNCTION("""COMPUTED_VALUE"""),3.0)</f>
        <v>3</v>
      </c>
      <c r="E21" s="8">
        <f>IFERROR(__xludf.DUMMYFUNCTION("""COMPUTED_VALUE"""),45844.0)</f>
        <v>45844</v>
      </c>
      <c r="F21">
        <f t="shared" ref="F21:G21" si="21">B21+F22</f>
        <v>1213</v>
      </c>
      <c r="G21">
        <f t="shared" si="21"/>
        <v>1145</v>
      </c>
      <c r="I21" s="8">
        <f>IFERROR(__xludf.DUMMYFUNCTION("""COMPUTED_VALUE"""),45844.0)</f>
        <v>45844</v>
      </c>
      <c r="J21">
        <f t="shared" si="3"/>
        <v>68</v>
      </c>
    </row>
    <row r="22">
      <c r="A22" s="8">
        <f>IFERROR(__xludf.DUMMYFUNCTION("""COMPUTED_VALUE"""),45837.0)</f>
        <v>45837</v>
      </c>
      <c r="B22">
        <f>IFERROR(__xludf.DUMMYFUNCTION("""COMPUTED_VALUE"""),3.0)</f>
        <v>3</v>
      </c>
      <c r="C22">
        <f>IFERROR(__xludf.DUMMYFUNCTION("""COMPUTED_VALUE"""),2.0)</f>
        <v>2</v>
      </c>
      <c r="E22" s="8">
        <f>IFERROR(__xludf.DUMMYFUNCTION("""COMPUTED_VALUE"""),45837.0)</f>
        <v>45837</v>
      </c>
      <c r="F22">
        <f t="shared" ref="F22:G22" si="22">B22+F23</f>
        <v>1212</v>
      </c>
      <c r="G22">
        <f t="shared" si="22"/>
        <v>1142</v>
      </c>
      <c r="I22" s="8">
        <f>IFERROR(__xludf.DUMMYFUNCTION("""COMPUTED_VALUE"""),45837.0)</f>
        <v>45837</v>
      </c>
      <c r="J22">
        <f t="shared" si="3"/>
        <v>70</v>
      </c>
    </row>
    <row r="23">
      <c r="A23" s="8">
        <f>IFERROR(__xludf.DUMMYFUNCTION("""COMPUTED_VALUE"""),45823.0)</f>
        <v>45823</v>
      </c>
      <c r="B23">
        <f>IFERROR(__xludf.DUMMYFUNCTION("""COMPUTED_VALUE"""),2.0)</f>
        <v>2</v>
      </c>
      <c r="C23">
        <f>IFERROR(__xludf.DUMMYFUNCTION("""COMPUTED_VALUE"""),3.0)</f>
        <v>3</v>
      </c>
      <c r="E23" s="8">
        <f>IFERROR(__xludf.DUMMYFUNCTION("""COMPUTED_VALUE"""),45823.0)</f>
        <v>45823</v>
      </c>
      <c r="F23">
        <f t="shared" ref="F23:G23" si="23">B23+F24</f>
        <v>1209</v>
      </c>
      <c r="G23">
        <f t="shared" si="23"/>
        <v>1140</v>
      </c>
      <c r="I23" s="8">
        <f>IFERROR(__xludf.DUMMYFUNCTION("""COMPUTED_VALUE"""),45823.0)</f>
        <v>45823</v>
      </c>
      <c r="J23">
        <f t="shared" si="3"/>
        <v>69</v>
      </c>
    </row>
    <row r="24">
      <c r="A24" s="8">
        <f>IFERROR(__xludf.DUMMYFUNCTION("""COMPUTED_VALUE"""),45816.0)</f>
        <v>45816</v>
      </c>
      <c r="B24">
        <f>IFERROR(__xludf.DUMMYFUNCTION("""COMPUTED_VALUE"""),2.0)</f>
        <v>2</v>
      </c>
      <c r="C24">
        <f>IFERROR(__xludf.DUMMYFUNCTION("""COMPUTED_VALUE"""),1.0)</f>
        <v>1</v>
      </c>
      <c r="E24" s="8">
        <f>IFERROR(__xludf.DUMMYFUNCTION("""COMPUTED_VALUE"""),45816.0)</f>
        <v>45816</v>
      </c>
      <c r="F24">
        <f t="shared" ref="F24:G24" si="24">B24+F25</f>
        <v>1207</v>
      </c>
      <c r="G24">
        <f t="shared" si="24"/>
        <v>1137</v>
      </c>
      <c r="I24" s="8">
        <f>IFERROR(__xludf.DUMMYFUNCTION("""COMPUTED_VALUE"""),45816.0)</f>
        <v>45816</v>
      </c>
      <c r="J24">
        <f t="shared" si="3"/>
        <v>70</v>
      </c>
    </row>
    <row r="25">
      <c r="A25" s="8">
        <f>IFERROR(__xludf.DUMMYFUNCTION("""COMPUTED_VALUE"""),45815.0)</f>
        <v>45815</v>
      </c>
      <c r="B25">
        <f>IFERROR(__xludf.DUMMYFUNCTION("""COMPUTED_VALUE"""),3.0)</f>
        <v>3</v>
      </c>
      <c r="C25">
        <f>IFERROR(__xludf.DUMMYFUNCTION("""COMPUTED_VALUE"""),4.0)</f>
        <v>4</v>
      </c>
      <c r="E25" s="8">
        <f>IFERROR(__xludf.DUMMYFUNCTION("""COMPUTED_VALUE"""),45815.0)</f>
        <v>45815</v>
      </c>
      <c r="F25">
        <f t="shared" ref="F25:G25" si="25">B25+F26</f>
        <v>1205</v>
      </c>
      <c r="G25">
        <f t="shared" si="25"/>
        <v>1136</v>
      </c>
      <c r="I25" s="8">
        <f>IFERROR(__xludf.DUMMYFUNCTION("""COMPUTED_VALUE"""),45815.0)</f>
        <v>45815</v>
      </c>
      <c r="J25">
        <f t="shared" si="3"/>
        <v>69</v>
      </c>
    </row>
    <row r="26">
      <c r="A26" s="8">
        <f>IFERROR(__xludf.DUMMYFUNCTION("""COMPUTED_VALUE"""),45815.0)</f>
        <v>45815</v>
      </c>
      <c r="B26">
        <f>IFERROR(__xludf.DUMMYFUNCTION("""COMPUTED_VALUE"""),1.0)</f>
        <v>1</v>
      </c>
      <c r="C26">
        <f>IFERROR(__xludf.DUMMYFUNCTION("""COMPUTED_VALUE"""),3.0)</f>
        <v>3</v>
      </c>
      <c r="E26" s="8">
        <f>IFERROR(__xludf.DUMMYFUNCTION("""COMPUTED_VALUE"""),45815.0)</f>
        <v>45815</v>
      </c>
      <c r="F26">
        <f t="shared" ref="F26:G26" si="26">B26+F27</f>
        <v>1202</v>
      </c>
      <c r="G26">
        <f t="shared" si="26"/>
        <v>1132</v>
      </c>
      <c r="I26" s="8">
        <f>IFERROR(__xludf.DUMMYFUNCTION("""COMPUTED_VALUE"""),45815.0)</f>
        <v>45815</v>
      </c>
      <c r="J26">
        <f t="shared" si="3"/>
        <v>70</v>
      </c>
    </row>
    <row r="27">
      <c r="A27" s="8">
        <f>IFERROR(__xludf.DUMMYFUNCTION("""COMPUTED_VALUE"""),45815.0)</f>
        <v>45815</v>
      </c>
      <c r="B27">
        <f>IFERROR(__xludf.DUMMYFUNCTION("""COMPUTED_VALUE"""),3.0)</f>
        <v>3</v>
      </c>
      <c r="C27">
        <f>IFERROR(__xludf.DUMMYFUNCTION("""COMPUTED_VALUE"""),1.0)</f>
        <v>1</v>
      </c>
      <c r="E27" s="8">
        <f>IFERROR(__xludf.DUMMYFUNCTION("""COMPUTED_VALUE"""),45815.0)</f>
        <v>45815</v>
      </c>
      <c r="F27">
        <f t="shared" ref="F27:G27" si="27">B27+F28</f>
        <v>1201</v>
      </c>
      <c r="G27">
        <f t="shared" si="27"/>
        <v>1129</v>
      </c>
      <c r="I27" s="8">
        <f>IFERROR(__xludf.DUMMYFUNCTION("""COMPUTED_VALUE"""),45815.0)</f>
        <v>45815</v>
      </c>
      <c r="J27">
        <f t="shared" si="3"/>
        <v>72</v>
      </c>
    </row>
    <row r="28">
      <c r="A28" s="8">
        <f>IFERROR(__xludf.DUMMYFUNCTION("""COMPUTED_VALUE"""),45815.0)</f>
        <v>45815</v>
      </c>
      <c r="B28">
        <f>IFERROR(__xludf.DUMMYFUNCTION("""COMPUTED_VALUE"""),3.0)</f>
        <v>3</v>
      </c>
      <c r="C28">
        <f>IFERROR(__xludf.DUMMYFUNCTION("""COMPUTED_VALUE"""),2.0)</f>
        <v>2</v>
      </c>
      <c r="E28" s="8">
        <f>IFERROR(__xludf.DUMMYFUNCTION("""COMPUTED_VALUE"""),45815.0)</f>
        <v>45815</v>
      </c>
      <c r="F28">
        <f t="shared" ref="F28:G28" si="28">B28+F29</f>
        <v>1198</v>
      </c>
      <c r="G28">
        <f t="shared" si="28"/>
        <v>1128</v>
      </c>
      <c r="I28" s="8">
        <f>IFERROR(__xludf.DUMMYFUNCTION("""COMPUTED_VALUE"""),45815.0)</f>
        <v>45815</v>
      </c>
      <c r="J28">
        <f t="shared" si="3"/>
        <v>70</v>
      </c>
    </row>
    <row r="29">
      <c r="A29" s="8">
        <f>IFERROR(__xludf.DUMMYFUNCTION("""COMPUTED_VALUE"""),45809.0)</f>
        <v>45809</v>
      </c>
      <c r="B29">
        <f>IFERROR(__xludf.DUMMYFUNCTION("""COMPUTED_VALUE"""),3.0)</f>
        <v>3</v>
      </c>
      <c r="C29">
        <f>IFERROR(__xludf.DUMMYFUNCTION("""COMPUTED_VALUE"""),2.0)</f>
        <v>2</v>
      </c>
      <c r="E29" s="8">
        <f>IFERROR(__xludf.DUMMYFUNCTION("""COMPUTED_VALUE"""),45809.0)</f>
        <v>45809</v>
      </c>
      <c r="F29">
        <f t="shared" ref="F29:G29" si="29">B29+F30</f>
        <v>1195</v>
      </c>
      <c r="G29">
        <f t="shared" si="29"/>
        <v>1126</v>
      </c>
      <c r="I29" s="8">
        <f>IFERROR(__xludf.DUMMYFUNCTION("""COMPUTED_VALUE"""),45809.0)</f>
        <v>45809</v>
      </c>
      <c r="J29">
        <f t="shared" si="3"/>
        <v>69</v>
      </c>
    </row>
    <row r="30">
      <c r="A30" s="8">
        <f>IFERROR(__xludf.DUMMYFUNCTION("""COMPUTED_VALUE"""),45780.0)</f>
        <v>45780</v>
      </c>
      <c r="B30">
        <f>IFERROR(__xludf.DUMMYFUNCTION("""COMPUTED_VALUE"""),3.0)</f>
        <v>3</v>
      </c>
      <c r="C30">
        <f>IFERROR(__xludf.DUMMYFUNCTION("""COMPUTED_VALUE"""),1.0)</f>
        <v>1</v>
      </c>
      <c r="E30" s="8">
        <f>IFERROR(__xludf.DUMMYFUNCTION("""COMPUTED_VALUE"""),45780.0)</f>
        <v>45780</v>
      </c>
      <c r="F30">
        <f t="shared" ref="F30:G30" si="30">B30+F31</f>
        <v>1192</v>
      </c>
      <c r="G30">
        <f t="shared" si="30"/>
        <v>1124</v>
      </c>
      <c r="I30" s="8">
        <f>IFERROR(__xludf.DUMMYFUNCTION("""COMPUTED_VALUE"""),45780.0)</f>
        <v>45780</v>
      </c>
      <c r="J30">
        <f t="shared" si="3"/>
        <v>68</v>
      </c>
    </row>
    <row r="31">
      <c r="A31" s="8">
        <f>IFERROR(__xludf.DUMMYFUNCTION("""COMPUTED_VALUE"""),45780.0)</f>
        <v>45780</v>
      </c>
      <c r="B31">
        <f>IFERROR(__xludf.DUMMYFUNCTION("""COMPUTED_VALUE"""),1.0)</f>
        <v>1</v>
      </c>
      <c r="C31">
        <f>IFERROR(__xludf.DUMMYFUNCTION("""COMPUTED_VALUE"""),2.0)</f>
        <v>2</v>
      </c>
      <c r="E31" s="8">
        <f>IFERROR(__xludf.DUMMYFUNCTION("""COMPUTED_VALUE"""),45780.0)</f>
        <v>45780</v>
      </c>
      <c r="F31">
        <f t="shared" ref="F31:G31" si="31">B31+F32</f>
        <v>1189</v>
      </c>
      <c r="G31">
        <f t="shared" si="31"/>
        <v>1123</v>
      </c>
      <c r="I31" s="8">
        <f>IFERROR(__xludf.DUMMYFUNCTION("""COMPUTED_VALUE"""),45780.0)</f>
        <v>45780</v>
      </c>
      <c r="J31">
        <f t="shared" si="3"/>
        <v>66</v>
      </c>
    </row>
    <row r="32">
      <c r="A32" s="8">
        <f>IFERROR(__xludf.DUMMYFUNCTION("""COMPUTED_VALUE"""),45780.0)</f>
        <v>45780</v>
      </c>
      <c r="B32">
        <f>IFERROR(__xludf.DUMMYFUNCTION("""COMPUTED_VALUE"""),1.0)</f>
        <v>1</v>
      </c>
      <c r="C32">
        <f>IFERROR(__xludf.DUMMYFUNCTION("""COMPUTED_VALUE"""),3.0)</f>
        <v>3</v>
      </c>
      <c r="E32" s="8">
        <f>IFERROR(__xludf.DUMMYFUNCTION("""COMPUTED_VALUE"""),45780.0)</f>
        <v>45780</v>
      </c>
      <c r="F32">
        <f t="shared" ref="F32:G32" si="32">B32+F33</f>
        <v>1188</v>
      </c>
      <c r="G32">
        <f t="shared" si="32"/>
        <v>1121</v>
      </c>
      <c r="I32" s="8">
        <f>IFERROR(__xludf.DUMMYFUNCTION("""COMPUTED_VALUE"""),45780.0)</f>
        <v>45780</v>
      </c>
      <c r="J32">
        <f t="shared" si="3"/>
        <v>67</v>
      </c>
    </row>
    <row r="33">
      <c r="A33" s="8">
        <f>IFERROR(__xludf.DUMMYFUNCTION("""COMPUTED_VALUE"""),45780.0)</f>
        <v>45780</v>
      </c>
      <c r="B33">
        <f>IFERROR(__xludf.DUMMYFUNCTION("""COMPUTED_VALUE"""),4.0)</f>
        <v>4</v>
      </c>
      <c r="C33">
        <f>IFERROR(__xludf.DUMMYFUNCTION("""COMPUTED_VALUE"""),3.0)</f>
        <v>3</v>
      </c>
      <c r="E33" s="8">
        <f>IFERROR(__xludf.DUMMYFUNCTION("""COMPUTED_VALUE"""),45780.0)</f>
        <v>45780</v>
      </c>
      <c r="F33">
        <f t="shared" ref="F33:G33" si="33">B33+F34</f>
        <v>1187</v>
      </c>
      <c r="G33">
        <f t="shared" si="33"/>
        <v>1118</v>
      </c>
      <c r="I33" s="8">
        <f>IFERROR(__xludf.DUMMYFUNCTION("""COMPUTED_VALUE"""),45780.0)</f>
        <v>45780</v>
      </c>
      <c r="J33">
        <f t="shared" si="3"/>
        <v>69</v>
      </c>
    </row>
    <row r="34">
      <c r="A34" s="8">
        <f>IFERROR(__xludf.DUMMYFUNCTION("""COMPUTED_VALUE"""),45746.0)</f>
        <v>45746</v>
      </c>
      <c r="B34">
        <f>IFERROR(__xludf.DUMMYFUNCTION("""COMPUTED_VALUE"""),1.0)</f>
        <v>1</v>
      </c>
      <c r="C34">
        <f>IFERROR(__xludf.DUMMYFUNCTION("""COMPUTED_VALUE"""),3.0)</f>
        <v>3</v>
      </c>
      <c r="E34" s="8">
        <f>IFERROR(__xludf.DUMMYFUNCTION("""COMPUTED_VALUE"""),45746.0)</f>
        <v>45746</v>
      </c>
      <c r="F34">
        <f t="shared" ref="F34:G34" si="34">B34+F35</f>
        <v>1183</v>
      </c>
      <c r="G34">
        <f t="shared" si="34"/>
        <v>1115</v>
      </c>
      <c r="I34" s="8">
        <f>IFERROR(__xludf.DUMMYFUNCTION("""COMPUTED_VALUE"""),45746.0)</f>
        <v>45746</v>
      </c>
      <c r="J34">
        <f t="shared" si="3"/>
        <v>68</v>
      </c>
    </row>
    <row r="35">
      <c r="A35" s="8">
        <f>IFERROR(__xludf.DUMMYFUNCTION("""COMPUTED_VALUE"""),45745.0)</f>
        <v>45745</v>
      </c>
      <c r="B35">
        <f>IFERROR(__xludf.DUMMYFUNCTION("""COMPUTED_VALUE"""),2.0)</f>
        <v>2</v>
      </c>
      <c r="C35">
        <f>IFERROR(__xludf.DUMMYFUNCTION("""COMPUTED_VALUE"""),4.0)</f>
        <v>4</v>
      </c>
      <c r="E35" s="8">
        <f>IFERROR(__xludf.DUMMYFUNCTION("""COMPUTED_VALUE"""),45745.0)</f>
        <v>45745</v>
      </c>
      <c r="F35">
        <f t="shared" ref="F35:G35" si="35">B35+F36</f>
        <v>1182</v>
      </c>
      <c r="G35">
        <f t="shared" si="35"/>
        <v>1112</v>
      </c>
      <c r="I35" s="8">
        <f>IFERROR(__xludf.DUMMYFUNCTION("""COMPUTED_VALUE"""),45745.0)</f>
        <v>45745</v>
      </c>
      <c r="J35">
        <f t="shared" si="3"/>
        <v>70</v>
      </c>
    </row>
    <row r="36">
      <c r="A36" s="8">
        <f>IFERROR(__xludf.DUMMYFUNCTION("""COMPUTED_VALUE"""),45745.0)</f>
        <v>45745</v>
      </c>
      <c r="B36">
        <f>IFERROR(__xludf.DUMMYFUNCTION("""COMPUTED_VALUE"""),4.0)</f>
        <v>4</v>
      </c>
      <c r="C36">
        <f>IFERROR(__xludf.DUMMYFUNCTION("""COMPUTED_VALUE"""),1.0)</f>
        <v>1</v>
      </c>
      <c r="E36" s="8">
        <f>IFERROR(__xludf.DUMMYFUNCTION("""COMPUTED_VALUE"""),45745.0)</f>
        <v>45745</v>
      </c>
      <c r="F36">
        <f t="shared" ref="F36:G36" si="36">B36+F37</f>
        <v>1180</v>
      </c>
      <c r="G36">
        <f t="shared" si="36"/>
        <v>1108</v>
      </c>
      <c r="I36" s="8">
        <f>IFERROR(__xludf.DUMMYFUNCTION("""COMPUTED_VALUE"""),45745.0)</f>
        <v>45745</v>
      </c>
      <c r="J36">
        <f t="shared" si="3"/>
        <v>72</v>
      </c>
    </row>
    <row r="37">
      <c r="A37" s="8">
        <f>IFERROR(__xludf.DUMMYFUNCTION("""COMPUTED_VALUE"""),45725.0)</f>
        <v>45725</v>
      </c>
      <c r="B37">
        <f>IFERROR(__xludf.DUMMYFUNCTION("""COMPUTED_VALUE"""),3.0)</f>
        <v>3</v>
      </c>
      <c r="C37">
        <f>IFERROR(__xludf.DUMMYFUNCTION("""COMPUTED_VALUE"""),2.0)</f>
        <v>2</v>
      </c>
      <c r="E37" s="8">
        <f>IFERROR(__xludf.DUMMYFUNCTION("""COMPUTED_VALUE"""),45725.0)</f>
        <v>45725</v>
      </c>
      <c r="F37">
        <f t="shared" ref="F37:G37" si="37">B37+F38</f>
        <v>1176</v>
      </c>
      <c r="G37">
        <f t="shared" si="37"/>
        <v>1107</v>
      </c>
      <c r="I37" s="8">
        <f>IFERROR(__xludf.DUMMYFUNCTION("""COMPUTED_VALUE"""),45725.0)</f>
        <v>45725</v>
      </c>
      <c r="J37">
        <f t="shared" si="3"/>
        <v>69</v>
      </c>
    </row>
    <row r="38">
      <c r="A38" s="8">
        <f>IFERROR(__xludf.DUMMYFUNCTION("""COMPUTED_VALUE"""),45718.0)</f>
        <v>45718</v>
      </c>
      <c r="B38">
        <f>IFERROR(__xludf.DUMMYFUNCTION("""COMPUTED_VALUE"""),4.0)</f>
        <v>4</v>
      </c>
      <c r="C38">
        <f>IFERROR(__xludf.DUMMYFUNCTION("""COMPUTED_VALUE"""),1.0)</f>
        <v>1</v>
      </c>
      <c r="E38" s="8">
        <f>IFERROR(__xludf.DUMMYFUNCTION("""COMPUTED_VALUE"""),45718.0)</f>
        <v>45718</v>
      </c>
      <c r="F38">
        <f t="shared" ref="F38:G38" si="38">B38+F39</f>
        <v>1173</v>
      </c>
      <c r="G38">
        <f t="shared" si="38"/>
        <v>1105</v>
      </c>
      <c r="I38" s="8">
        <f>IFERROR(__xludf.DUMMYFUNCTION("""COMPUTED_VALUE"""),45718.0)</f>
        <v>45718</v>
      </c>
      <c r="J38">
        <f t="shared" si="3"/>
        <v>68</v>
      </c>
    </row>
    <row r="39">
      <c r="A39" s="8">
        <f>IFERROR(__xludf.DUMMYFUNCTION("""COMPUTED_VALUE"""),45683.0)</f>
        <v>45683</v>
      </c>
      <c r="B39">
        <f>IFERROR(__xludf.DUMMYFUNCTION("""COMPUTED_VALUE"""),2.0)</f>
        <v>2</v>
      </c>
      <c r="C39">
        <f>IFERROR(__xludf.DUMMYFUNCTION("""COMPUTED_VALUE"""),1.0)</f>
        <v>1</v>
      </c>
      <c r="E39" s="8">
        <f>IFERROR(__xludf.DUMMYFUNCTION("""COMPUTED_VALUE"""),45683.0)</f>
        <v>45683</v>
      </c>
      <c r="F39">
        <f t="shared" ref="F39:G39" si="39">B39+F40</f>
        <v>1169</v>
      </c>
      <c r="G39">
        <f t="shared" si="39"/>
        <v>1104</v>
      </c>
      <c r="I39" s="8">
        <f>IFERROR(__xludf.DUMMYFUNCTION("""COMPUTED_VALUE"""),45683.0)</f>
        <v>45683</v>
      </c>
      <c r="J39">
        <f t="shared" si="3"/>
        <v>65</v>
      </c>
    </row>
    <row r="40">
      <c r="A40" s="8">
        <f>IFERROR(__xludf.DUMMYFUNCTION("""COMPUTED_VALUE"""),45676.0)</f>
        <v>45676</v>
      </c>
      <c r="B40">
        <f>IFERROR(__xludf.DUMMYFUNCTION("""COMPUTED_VALUE"""),3.0)</f>
        <v>3</v>
      </c>
      <c r="C40">
        <f>IFERROR(__xludf.DUMMYFUNCTION("""COMPUTED_VALUE"""),1.0)</f>
        <v>1</v>
      </c>
      <c r="E40" s="8">
        <f>IFERROR(__xludf.DUMMYFUNCTION("""COMPUTED_VALUE"""),45676.0)</f>
        <v>45676</v>
      </c>
      <c r="F40">
        <f t="shared" ref="F40:G40" si="40">B40+F41</f>
        <v>1167</v>
      </c>
      <c r="G40">
        <f t="shared" si="40"/>
        <v>1103</v>
      </c>
      <c r="I40" s="8">
        <f>IFERROR(__xludf.DUMMYFUNCTION("""COMPUTED_VALUE"""),45676.0)</f>
        <v>45676</v>
      </c>
      <c r="J40">
        <f t="shared" si="3"/>
        <v>64</v>
      </c>
    </row>
    <row r="41">
      <c r="A41" s="8">
        <f>IFERROR(__xludf.DUMMYFUNCTION("""COMPUTED_VALUE"""),45648.0)</f>
        <v>45648</v>
      </c>
      <c r="B41">
        <f>IFERROR(__xludf.DUMMYFUNCTION("""COMPUTED_VALUE"""),2.0)</f>
        <v>2</v>
      </c>
      <c r="C41">
        <f>IFERROR(__xludf.DUMMYFUNCTION("""COMPUTED_VALUE"""),1.0)</f>
        <v>1</v>
      </c>
      <c r="E41" s="8">
        <f>IFERROR(__xludf.DUMMYFUNCTION("""COMPUTED_VALUE"""),45648.0)</f>
        <v>45648</v>
      </c>
      <c r="F41">
        <f t="shared" ref="F41:G41" si="41">B41+F42</f>
        <v>1164</v>
      </c>
      <c r="G41">
        <f t="shared" si="41"/>
        <v>1102</v>
      </c>
      <c r="I41" s="8">
        <f>IFERROR(__xludf.DUMMYFUNCTION("""COMPUTED_VALUE"""),45648.0)</f>
        <v>45648</v>
      </c>
      <c r="J41">
        <f t="shared" si="3"/>
        <v>62</v>
      </c>
    </row>
    <row r="42">
      <c r="A42" s="8">
        <f>IFERROR(__xludf.DUMMYFUNCTION("""COMPUTED_VALUE"""),45620.0)</f>
        <v>45620</v>
      </c>
      <c r="B42">
        <f>IFERROR(__xludf.DUMMYFUNCTION("""COMPUTED_VALUE"""),1.0)</f>
        <v>1</v>
      </c>
      <c r="C42">
        <f>IFERROR(__xludf.DUMMYFUNCTION("""COMPUTED_VALUE"""),3.0)</f>
        <v>3</v>
      </c>
      <c r="E42" s="8">
        <f>IFERROR(__xludf.DUMMYFUNCTION("""COMPUTED_VALUE"""),45620.0)</f>
        <v>45620</v>
      </c>
      <c r="F42">
        <f t="shared" ref="F42:G42" si="42">B42+F43</f>
        <v>1162</v>
      </c>
      <c r="G42">
        <f t="shared" si="42"/>
        <v>1101</v>
      </c>
      <c r="I42" s="8">
        <f>IFERROR(__xludf.DUMMYFUNCTION("""COMPUTED_VALUE"""),45620.0)</f>
        <v>45620</v>
      </c>
      <c r="J42">
        <f t="shared" si="3"/>
        <v>61</v>
      </c>
    </row>
    <row r="43">
      <c r="A43" s="8">
        <f>IFERROR(__xludf.DUMMYFUNCTION("""COMPUTED_VALUE"""),45591.0)</f>
        <v>45591</v>
      </c>
      <c r="B43">
        <f>IFERROR(__xludf.DUMMYFUNCTION("""COMPUTED_VALUE"""),3.0)</f>
        <v>3</v>
      </c>
      <c r="C43">
        <f>IFERROR(__xludf.DUMMYFUNCTION("""COMPUTED_VALUE"""),1.0)</f>
        <v>1</v>
      </c>
      <c r="E43" s="8">
        <f>IFERROR(__xludf.DUMMYFUNCTION("""COMPUTED_VALUE"""),45591.0)</f>
        <v>45591</v>
      </c>
      <c r="F43">
        <f t="shared" ref="F43:G43" si="43">B43+F44</f>
        <v>1161</v>
      </c>
      <c r="G43">
        <f t="shared" si="43"/>
        <v>1098</v>
      </c>
      <c r="I43" s="8">
        <f>IFERROR(__xludf.DUMMYFUNCTION("""COMPUTED_VALUE"""),45591.0)</f>
        <v>45591</v>
      </c>
      <c r="J43">
        <f t="shared" si="3"/>
        <v>63</v>
      </c>
    </row>
    <row r="44">
      <c r="A44" s="8">
        <f>IFERROR(__xludf.DUMMYFUNCTION("""COMPUTED_VALUE"""),45591.0)</f>
        <v>45591</v>
      </c>
      <c r="B44">
        <f>IFERROR(__xludf.DUMMYFUNCTION("""COMPUTED_VALUE"""),2.0)</f>
        <v>2</v>
      </c>
      <c r="C44">
        <f>IFERROR(__xludf.DUMMYFUNCTION("""COMPUTED_VALUE"""),1.0)</f>
        <v>1</v>
      </c>
      <c r="E44" s="8">
        <f>IFERROR(__xludf.DUMMYFUNCTION("""COMPUTED_VALUE"""),45591.0)</f>
        <v>45591</v>
      </c>
      <c r="F44">
        <f t="shared" ref="F44:G44" si="44">B44+F45</f>
        <v>1158</v>
      </c>
      <c r="G44">
        <f t="shared" si="44"/>
        <v>1097</v>
      </c>
      <c r="I44" s="8">
        <f>IFERROR(__xludf.DUMMYFUNCTION("""COMPUTED_VALUE"""),45591.0)</f>
        <v>45591</v>
      </c>
      <c r="J44">
        <f t="shared" si="3"/>
        <v>61</v>
      </c>
    </row>
    <row r="45">
      <c r="A45" s="8">
        <f>IFERROR(__xludf.DUMMYFUNCTION("""COMPUTED_VALUE"""),45557.0)</f>
        <v>45557</v>
      </c>
      <c r="B45">
        <f>IFERROR(__xludf.DUMMYFUNCTION("""COMPUTED_VALUE"""),3.0)</f>
        <v>3</v>
      </c>
      <c r="C45">
        <f>IFERROR(__xludf.DUMMYFUNCTION("""COMPUTED_VALUE"""),1.0)</f>
        <v>1</v>
      </c>
      <c r="E45" s="8">
        <f>IFERROR(__xludf.DUMMYFUNCTION("""COMPUTED_VALUE"""),45557.0)</f>
        <v>45557</v>
      </c>
      <c r="F45">
        <f t="shared" ref="F45:G45" si="45">B45+F46</f>
        <v>1156</v>
      </c>
      <c r="G45">
        <f t="shared" si="45"/>
        <v>1096</v>
      </c>
      <c r="I45" s="8">
        <f>IFERROR(__xludf.DUMMYFUNCTION("""COMPUTED_VALUE"""),45557.0)</f>
        <v>45557</v>
      </c>
      <c r="J45">
        <f t="shared" si="3"/>
        <v>60</v>
      </c>
    </row>
    <row r="46">
      <c r="A46" s="8">
        <f>IFERROR(__xludf.DUMMYFUNCTION("""COMPUTED_VALUE"""),45550.0)</f>
        <v>45550</v>
      </c>
      <c r="B46">
        <f>IFERROR(__xludf.DUMMYFUNCTION("""COMPUTED_VALUE"""),1.0)</f>
        <v>1</v>
      </c>
      <c r="C46">
        <f>IFERROR(__xludf.DUMMYFUNCTION("""COMPUTED_VALUE"""),3.0)</f>
        <v>3</v>
      </c>
      <c r="E46" s="8">
        <f>IFERROR(__xludf.DUMMYFUNCTION("""COMPUTED_VALUE"""),45550.0)</f>
        <v>45550</v>
      </c>
      <c r="F46">
        <f t="shared" ref="F46:G46" si="46">B46+F47</f>
        <v>1153</v>
      </c>
      <c r="G46">
        <f t="shared" si="46"/>
        <v>1095</v>
      </c>
      <c r="I46" s="8">
        <f>IFERROR(__xludf.DUMMYFUNCTION("""COMPUTED_VALUE"""),45550.0)</f>
        <v>45550</v>
      </c>
      <c r="J46">
        <f t="shared" si="3"/>
        <v>58</v>
      </c>
    </row>
    <row r="47">
      <c r="A47" s="8">
        <f>IFERROR(__xludf.DUMMYFUNCTION("""COMPUTED_VALUE"""),45536.0)</f>
        <v>45536</v>
      </c>
      <c r="B47">
        <f>IFERROR(__xludf.DUMMYFUNCTION("""COMPUTED_VALUE"""),2.0)</f>
        <v>2</v>
      </c>
      <c r="C47">
        <f>IFERROR(__xludf.DUMMYFUNCTION("""COMPUTED_VALUE"""),1.0)</f>
        <v>1</v>
      </c>
      <c r="E47" s="8">
        <f>IFERROR(__xludf.DUMMYFUNCTION("""COMPUTED_VALUE"""),45536.0)</f>
        <v>45536</v>
      </c>
      <c r="F47">
        <f t="shared" ref="F47:G47" si="47">B47+F48</f>
        <v>1152</v>
      </c>
      <c r="G47">
        <f t="shared" si="47"/>
        <v>1092</v>
      </c>
      <c r="I47" s="8">
        <f>IFERROR(__xludf.DUMMYFUNCTION("""COMPUTED_VALUE"""),45536.0)</f>
        <v>45536</v>
      </c>
      <c r="J47">
        <f t="shared" si="3"/>
        <v>60</v>
      </c>
    </row>
    <row r="48">
      <c r="A48" s="8">
        <f>IFERROR(__xludf.DUMMYFUNCTION("""COMPUTED_VALUE"""),45535.0)</f>
        <v>45535</v>
      </c>
      <c r="B48">
        <f>IFERROR(__xludf.DUMMYFUNCTION("""COMPUTED_VALUE"""),3.0)</f>
        <v>3</v>
      </c>
      <c r="C48">
        <f>IFERROR(__xludf.DUMMYFUNCTION("""COMPUTED_VALUE"""),1.0)</f>
        <v>1</v>
      </c>
      <c r="E48" s="8">
        <f>IFERROR(__xludf.DUMMYFUNCTION("""COMPUTED_VALUE"""),45535.0)</f>
        <v>45535</v>
      </c>
      <c r="F48">
        <f t="shared" ref="F48:G48" si="48">B48+F49</f>
        <v>1150</v>
      </c>
      <c r="G48">
        <f t="shared" si="48"/>
        <v>1091</v>
      </c>
      <c r="I48" s="8">
        <f>IFERROR(__xludf.DUMMYFUNCTION("""COMPUTED_VALUE"""),45535.0)</f>
        <v>45535</v>
      </c>
      <c r="J48">
        <f t="shared" si="3"/>
        <v>59</v>
      </c>
    </row>
    <row r="49">
      <c r="A49" s="8">
        <f>IFERROR(__xludf.DUMMYFUNCTION("""COMPUTED_VALUE"""),45529.0)</f>
        <v>45529</v>
      </c>
      <c r="B49">
        <f>IFERROR(__xludf.DUMMYFUNCTION("""COMPUTED_VALUE"""),1.0)</f>
        <v>1</v>
      </c>
      <c r="C49">
        <f>IFERROR(__xludf.DUMMYFUNCTION("""COMPUTED_VALUE"""),2.0)</f>
        <v>2</v>
      </c>
      <c r="E49" s="8">
        <f>IFERROR(__xludf.DUMMYFUNCTION("""COMPUTED_VALUE"""),45529.0)</f>
        <v>45529</v>
      </c>
      <c r="F49">
        <f t="shared" ref="F49:G49" si="49">B49+F50</f>
        <v>1147</v>
      </c>
      <c r="G49">
        <f t="shared" si="49"/>
        <v>1090</v>
      </c>
      <c r="I49" s="8">
        <f>IFERROR(__xludf.DUMMYFUNCTION("""COMPUTED_VALUE"""),45529.0)</f>
        <v>45529</v>
      </c>
      <c r="J49">
        <f t="shared" si="3"/>
        <v>57</v>
      </c>
    </row>
    <row r="50">
      <c r="A50" s="8">
        <f>IFERROR(__xludf.DUMMYFUNCTION("""COMPUTED_VALUE"""),45522.0)</f>
        <v>45522</v>
      </c>
      <c r="B50">
        <f>IFERROR(__xludf.DUMMYFUNCTION("""COMPUTED_VALUE"""),2.0)</f>
        <v>2</v>
      </c>
      <c r="C50">
        <f>IFERROR(__xludf.DUMMYFUNCTION("""COMPUTED_VALUE"""),1.0)</f>
        <v>1</v>
      </c>
      <c r="E50" s="8">
        <f>IFERROR(__xludf.DUMMYFUNCTION("""COMPUTED_VALUE"""),45522.0)</f>
        <v>45522</v>
      </c>
      <c r="F50">
        <f t="shared" ref="F50:G50" si="50">B50+F51</f>
        <v>1146</v>
      </c>
      <c r="G50">
        <f t="shared" si="50"/>
        <v>1088</v>
      </c>
      <c r="I50" s="8">
        <f>IFERROR(__xludf.DUMMYFUNCTION("""COMPUTED_VALUE"""),45522.0)</f>
        <v>45522</v>
      </c>
      <c r="J50">
        <f t="shared" si="3"/>
        <v>58</v>
      </c>
    </row>
    <row r="51">
      <c r="A51" s="8">
        <f>IFERROR(__xludf.DUMMYFUNCTION("""COMPUTED_VALUE"""),45515.0)</f>
        <v>45515</v>
      </c>
      <c r="B51">
        <f>IFERROR(__xludf.DUMMYFUNCTION("""COMPUTED_VALUE"""),2.0)</f>
        <v>2</v>
      </c>
      <c r="C51">
        <f>IFERROR(__xludf.DUMMYFUNCTION("""COMPUTED_VALUE"""),3.0)</f>
        <v>3</v>
      </c>
      <c r="E51" s="8">
        <f>IFERROR(__xludf.DUMMYFUNCTION("""COMPUTED_VALUE"""),45515.0)</f>
        <v>45515</v>
      </c>
      <c r="F51">
        <f t="shared" ref="F51:G51" si="51">B51+F52</f>
        <v>1144</v>
      </c>
      <c r="G51">
        <f t="shared" si="51"/>
        <v>1087</v>
      </c>
      <c r="I51" s="8">
        <f>IFERROR(__xludf.DUMMYFUNCTION("""COMPUTED_VALUE"""),45515.0)</f>
        <v>45515</v>
      </c>
      <c r="J51">
        <f t="shared" si="3"/>
        <v>57</v>
      </c>
    </row>
    <row r="52">
      <c r="A52" s="8">
        <f>IFERROR(__xludf.DUMMYFUNCTION("""COMPUTED_VALUE"""),45508.0)</f>
        <v>45508</v>
      </c>
      <c r="B52">
        <f>IFERROR(__xludf.DUMMYFUNCTION("""COMPUTED_VALUE"""),2.0)</f>
        <v>2</v>
      </c>
      <c r="C52">
        <f>IFERROR(__xludf.DUMMYFUNCTION("""COMPUTED_VALUE"""),3.0)</f>
        <v>3</v>
      </c>
      <c r="E52" s="8">
        <f>IFERROR(__xludf.DUMMYFUNCTION("""COMPUTED_VALUE"""),45508.0)</f>
        <v>45508</v>
      </c>
      <c r="F52">
        <f t="shared" ref="F52:G52" si="52">B52+F53</f>
        <v>1142</v>
      </c>
      <c r="G52">
        <f t="shared" si="52"/>
        <v>1084</v>
      </c>
      <c r="I52" s="8">
        <f>IFERROR(__xludf.DUMMYFUNCTION("""COMPUTED_VALUE"""),45508.0)</f>
        <v>45508</v>
      </c>
      <c r="J52">
        <f t="shared" si="3"/>
        <v>58</v>
      </c>
    </row>
    <row r="53">
      <c r="A53" s="8">
        <f>IFERROR(__xludf.DUMMYFUNCTION("""COMPUTED_VALUE"""),45494.0)</f>
        <v>45494</v>
      </c>
      <c r="B53">
        <f>IFERROR(__xludf.DUMMYFUNCTION("""COMPUTED_VALUE"""),3.0)</f>
        <v>3</v>
      </c>
      <c r="C53">
        <f>IFERROR(__xludf.DUMMYFUNCTION("""COMPUTED_VALUE"""),2.0)</f>
        <v>2</v>
      </c>
      <c r="E53" s="8">
        <f>IFERROR(__xludf.DUMMYFUNCTION("""COMPUTED_VALUE"""),45494.0)</f>
        <v>45494</v>
      </c>
      <c r="F53">
        <f t="shared" ref="F53:G53" si="53">B53+F54</f>
        <v>1140</v>
      </c>
      <c r="G53">
        <f t="shared" si="53"/>
        <v>1081</v>
      </c>
      <c r="I53" s="8">
        <f>IFERROR(__xludf.DUMMYFUNCTION("""COMPUTED_VALUE"""),45494.0)</f>
        <v>45494</v>
      </c>
      <c r="J53">
        <f t="shared" si="3"/>
        <v>59</v>
      </c>
    </row>
    <row r="54">
      <c r="A54" s="8">
        <f>IFERROR(__xludf.DUMMYFUNCTION("""COMPUTED_VALUE"""),45487.0)</f>
        <v>45487</v>
      </c>
      <c r="B54">
        <f>IFERROR(__xludf.DUMMYFUNCTION("""COMPUTED_VALUE"""),1.0)</f>
        <v>1</v>
      </c>
      <c r="C54">
        <f>IFERROR(__xludf.DUMMYFUNCTION("""COMPUTED_VALUE"""),3.0)</f>
        <v>3</v>
      </c>
      <c r="E54" s="8">
        <f>IFERROR(__xludf.DUMMYFUNCTION("""COMPUTED_VALUE"""),45487.0)</f>
        <v>45487</v>
      </c>
      <c r="F54">
        <f t="shared" ref="F54:G54" si="54">B54+F55</f>
        <v>1137</v>
      </c>
      <c r="G54">
        <f t="shared" si="54"/>
        <v>1079</v>
      </c>
      <c r="I54" s="8">
        <f>IFERROR(__xludf.DUMMYFUNCTION("""COMPUTED_VALUE"""),45487.0)</f>
        <v>45487</v>
      </c>
      <c r="J54">
        <f t="shared" si="3"/>
        <v>58</v>
      </c>
    </row>
    <row r="55">
      <c r="A55" s="8">
        <f>IFERROR(__xludf.DUMMYFUNCTION("""COMPUTED_VALUE"""),45480.0)</f>
        <v>45480</v>
      </c>
      <c r="B55">
        <f>IFERROR(__xludf.DUMMYFUNCTION("""COMPUTED_VALUE"""),1.0)</f>
        <v>1</v>
      </c>
      <c r="C55">
        <f>IFERROR(__xludf.DUMMYFUNCTION("""COMPUTED_VALUE"""),3.0)</f>
        <v>3</v>
      </c>
      <c r="E55" s="8">
        <f>IFERROR(__xludf.DUMMYFUNCTION("""COMPUTED_VALUE"""),45480.0)</f>
        <v>45480</v>
      </c>
      <c r="F55">
        <f t="shared" ref="F55:G55" si="55">B55+F56</f>
        <v>1136</v>
      </c>
      <c r="G55">
        <f t="shared" si="55"/>
        <v>1076</v>
      </c>
      <c r="I55" s="8">
        <f>IFERROR(__xludf.DUMMYFUNCTION("""COMPUTED_VALUE"""),45480.0)</f>
        <v>45480</v>
      </c>
      <c r="J55">
        <f t="shared" si="3"/>
        <v>60</v>
      </c>
    </row>
    <row r="56">
      <c r="A56" s="8">
        <f>IFERROR(__xludf.DUMMYFUNCTION("""COMPUTED_VALUE"""),45477.0)</f>
        <v>45477</v>
      </c>
      <c r="B56">
        <f>IFERROR(__xludf.DUMMYFUNCTION("""COMPUTED_VALUE"""),2.0)</f>
        <v>2</v>
      </c>
      <c r="C56">
        <f>IFERROR(__xludf.DUMMYFUNCTION("""COMPUTED_VALUE"""),1.0)</f>
        <v>1</v>
      </c>
      <c r="E56" s="8">
        <f>IFERROR(__xludf.DUMMYFUNCTION("""COMPUTED_VALUE"""),45477.0)</f>
        <v>45477</v>
      </c>
      <c r="F56">
        <f t="shared" ref="F56:G56" si="56">B56+F57</f>
        <v>1135</v>
      </c>
      <c r="G56">
        <f t="shared" si="56"/>
        <v>1073</v>
      </c>
      <c r="I56" s="8">
        <f>IFERROR(__xludf.DUMMYFUNCTION("""COMPUTED_VALUE"""),45477.0)</f>
        <v>45477</v>
      </c>
      <c r="J56">
        <f t="shared" si="3"/>
        <v>62</v>
      </c>
    </row>
    <row r="57">
      <c r="A57" s="8">
        <f>IFERROR(__xludf.DUMMYFUNCTION("""COMPUTED_VALUE"""),45445.0)</f>
        <v>45445</v>
      </c>
      <c r="B57">
        <f>IFERROR(__xludf.DUMMYFUNCTION("""COMPUTED_VALUE"""),3.0)</f>
        <v>3</v>
      </c>
      <c r="C57">
        <f>IFERROR(__xludf.DUMMYFUNCTION("""COMPUTED_VALUE"""),2.0)</f>
        <v>2</v>
      </c>
      <c r="E57" s="8">
        <f>IFERROR(__xludf.DUMMYFUNCTION("""COMPUTED_VALUE"""),45445.0)</f>
        <v>45445</v>
      </c>
      <c r="F57">
        <f t="shared" ref="F57:G57" si="57">B57+F58</f>
        <v>1133</v>
      </c>
      <c r="G57">
        <f t="shared" si="57"/>
        <v>1072</v>
      </c>
      <c r="I57" s="8">
        <f>IFERROR(__xludf.DUMMYFUNCTION("""COMPUTED_VALUE"""),45445.0)</f>
        <v>45445</v>
      </c>
      <c r="J57">
        <f t="shared" si="3"/>
        <v>61</v>
      </c>
    </row>
    <row r="58">
      <c r="A58" s="8">
        <f>IFERROR(__xludf.DUMMYFUNCTION("""COMPUTED_VALUE"""),45444.0)</f>
        <v>45444</v>
      </c>
      <c r="B58">
        <f>IFERROR(__xludf.DUMMYFUNCTION("""COMPUTED_VALUE"""),5.0)</f>
        <v>5</v>
      </c>
      <c r="C58">
        <f>IFERROR(__xludf.DUMMYFUNCTION("""COMPUTED_VALUE"""),1.0)</f>
        <v>1</v>
      </c>
      <c r="E58" s="8">
        <f>IFERROR(__xludf.DUMMYFUNCTION("""COMPUTED_VALUE"""),45444.0)</f>
        <v>45444</v>
      </c>
      <c r="F58">
        <f t="shared" ref="F58:G58" si="58">B58+F59</f>
        <v>1130</v>
      </c>
      <c r="G58">
        <f t="shared" si="58"/>
        <v>1070</v>
      </c>
      <c r="I58" s="8">
        <f>IFERROR(__xludf.DUMMYFUNCTION("""COMPUTED_VALUE"""),45444.0)</f>
        <v>45444</v>
      </c>
      <c r="J58">
        <f t="shared" si="3"/>
        <v>60</v>
      </c>
    </row>
    <row r="59">
      <c r="A59" s="8">
        <f>IFERROR(__xludf.DUMMYFUNCTION("""COMPUTED_VALUE"""),45438.0)</f>
        <v>45438</v>
      </c>
      <c r="B59">
        <f>IFERROR(__xludf.DUMMYFUNCTION("""COMPUTED_VALUE"""),2.0)</f>
        <v>2</v>
      </c>
      <c r="C59">
        <f>IFERROR(__xludf.DUMMYFUNCTION("""COMPUTED_VALUE"""),1.0)</f>
        <v>1</v>
      </c>
      <c r="E59" s="8">
        <f>IFERROR(__xludf.DUMMYFUNCTION("""COMPUTED_VALUE"""),45438.0)</f>
        <v>45438</v>
      </c>
      <c r="F59">
        <f t="shared" ref="F59:G59" si="59">B59+F60</f>
        <v>1125</v>
      </c>
      <c r="G59">
        <f t="shared" si="59"/>
        <v>1069</v>
      </c>
      <c r="I59" s="8">
        <f>IFERROR(__xludf.DUMMYFUNCTION("""COMPUTED_VALUE"""),45438.0)</f>
        <v>45438</v>
      </c>
      <c r="J59">
        <f t="shared" si="3"/>
        <v>56</v>
      </c>
    </row>
    <row r="60">
      <c r="A60" s="8">
        <f>IFERROR(__xludf.DUMMYFUNCTION("""COMPUTED_VALUE"""),45431.0)</f>
        <v>45431</v>
      </c>
      <c r="B60">
        <f>IFERROR(__xludf.DUMMYFUNCTION("""COMPUTED_VALUE"""),2.0)</f>
        <v>2</v>
      </c>
      <c r="C60">
        <f>IFERROR(__xludf.DUMMYFUNCTION("""COMPUTED_VALUE"""),1.0)</f>
        <v>1</v>
      </c>
      <c r="E60" s="8">
        <f>IFERROR(__xludf.DUMMYFUNCTION("""COMPUTED_VALUE"""),45431.0)</f>
        <v>45431</v>
      </c>
      <c r="F60">
        <f t="shared" ref="F60:G60" si="60">B60+F61</f>
        <v>1123</v>
      </c>
      <c r="G60">
        <f t="shared" si="60"/>
        <v>1068</v>
      </c>
      <c r="I60" s="8">
        <f>IFERROR(__xludf.DUMMYFUNCTION("""COMPUTED_VALUE"""),45431.0)</f>
        <v>45431</v>
      </c>
      <c r="J60">
        <f t="shared" si="3"/>
        <v>55</v>
      </c>
    </row>
    <row r="61">
      <c r="A61" s="8">
        <f>IFERROR(__xludf.DUMMYFUNCTION("""COMPUTED_VALUE"""),45403.0)</f>
        <v>45403</v>
      </c>
      <c r="B61">
        <f>IFERROR(__xludf.DUMMYFUNCTION("""COMPUTED_VALUE"""),2.0)</f>
        <v>2</v>
      </c>
      <c r="C61">
        <f>IFERROR(__xludf.DUMMYFUNCTION("""COMPUTED_VALUE"""),3.0)</f>
        <v>3</v>
      </c>
      <c r="E61" s="8">
        <f>IFERROR(__xludf.DUMMYFUNCTION("""COMPUTED_VALUE"""),45403.0)</f>
        <v>45403</v>
      </c>
      <c r="F61">
        <f t="shared" ref="F61:G61" si="61">B61+F62</f>
        <v>1121</v>
      </c>
      <c r="G61">
        <f t="shared" si="61"/>
        <v>1067</v>
      </c>
      <c r="I61" s="8">
        <f>IFERROR(__xludf.DUMMYFUNCTION("""COMPUTED_VALUE"""),45403.0)</f>
        <v>45403</v>
      </c>
      <c r="J61">
        <f t="shared" si="3"/>
        <v>54</v>
      </c>
    </row>
    <row r="62">
      <c r="A62" s="8">
        <f>IFERROR(__xludf.DUMMYFUNCTION("""COMPUTED_VALUE"""),45382.0)</f>
        <v>45382</v>
      </c>
      <c r="B62">
        <f>IFERROR(__xludf.DUMMYFUNCTION("""COMPUTED_VALUE"""),2.0)</f>
        <v>2</v>
      </c>
      <c r="C62">
        <f>IFERROR(__xludf.DUMMYFUNCTION("""COMPUTED_VALUE"""),1.0)</f>
        <v>1</v>
      </c>
      <c r="E62" s="8">
        <f>IFERROR(__xludf.DUMMYFUNCTION("""COMPUTED_VALUE"""),45382.0)</f>
        <v>45382</v>
      </c>
      <c r="F62">
        <f t="shared" ref="F62:G62" si="62">B62+F63</f>
        <v>1119</v>
      </c>
      <c r="G62">
        <f t="shared" si="62"/>
        <v>1064</v>
      </c>
      <c r="I62" s="8">
        <f>IFERROR(__xludf.DUMMYFUNCTION("""COMPUTED_VALUE"""),45382.0)</f>
        <v>45382</v>
      </c>
      <c r="J62">
        <f t="shared" si="3"/>
        <v>55</v>
      </c>
    </row>
    <row r="63">
      <c r="A63" s="8">
        <f>IFERROR(__xludf.DUMMYFUNCTION("""COMPUTED_VALUE"""),45346.0)</f>
        <v>45346</v>
      </c>
      <c r="B63">
        <f>IFERROR(__xludf.DUMMYFUNCTION("""COMPUTED_VALUE"""),2.0)</f>
        <v>2</v>
      </c>
      <c r="C63">
        <f>IFERROR(__xludf.DUMMYFUNCTION("""COMPUTED_VALUE"""),3.0)</f>
        <v>3</v>
      </c>
      <c r="E63" s="8">
        <f>IFERROR(__xludf.DUMMYFUNCTION("""COMPUTED_VALUE"""),45346.0)</f>
        <v>45346</v>
      </c>
      <c r="F63">
        <f t="shared" ref="F63:G63" si="63">B63+F64</f>
        <v>1117</v>
      </c>
      <c r="G63">
        <f t="shared" si="63"/>
        <v>1063</v>
      </c>
      <c r="I63" s="8">
        <f>IFERROR(__xludf.DUMMYFUNCTION("""COMPUTED_VALUE"""),45346.0)</f>
        <v>45346</v>
      </c>
      <c r="J63">
        <f t="shared" si="3"/>
        <v>54</v>
      </c>
    </row>
    <row r="64">
      <c r="A64" s="8">
        <f>IFERROR(__xludf.DUMMYFUNCTION("""COMPUTED_VALUE"""),45333.0)</f>
        <v>45333</v>
      </c>
      <c r="B64">
        <f>IFERROR(__xludf.DUMMYFUNCTION("""COMPUTED_VALUE"""),3.0)</f>
        <v>3</v>
      </c>
      <c r="C64">
        <f>IFERROR(__xludf.DUMMYFUNCTION("""COMPUTED_VALUE"""),1.0)</f>
        <v>1</v>
      </c>
      <c r="E64" s="8">
        <f>IFERROR(__xludf.DUMMYFUNCTION("""COMPUTED_VALUE"""),45333.0)</f>
        <v>45333</v>
      </c>
      <c r="F64">
        <f t="shared" ref="F64:G64" si="64">B64+F65</f>
        <v>1115</v>
      </c>
      <c r="G64">
        <f t="shared" si="64"/>
        <v>1060</v>
      </c>
      <c r="I64" s="8">
        <f>IFERROR(__xludf.DUMMYFUNCTION("""COMPUTED_VALUE"""),45333.0)</f>
        <v>45333</v>
      </c>
      <c r="J64">
        <f t="shared" si="3"/>
        <v>55</v>
      </c>
    </row>
    <row r="65">
      <c r="A65" s="8">
        <f>IFERROR(__xludf.DUMMYFUNCTION("""COMPUTED_VALUE"""),45277.0)</f>
        <v>45277</v>
      </c>
      <c r="B65">
        <f>IFERROR(__xludf.DUMMYFUNCTION("""COMPUTED_VALUE"""),2.0)</f>
        <v>2</v>
      </c>
      <c r="C65">
        <f>IFERROR(__xludf.DUMMYFUNCTION("""COMPUTED_VALUE"""),3.0)</f>
        <v>3</v>
      </c>
      <c r="E65" s="8">
        <f>IFERROR(__xludf.DUMMYFUNCTION("""COMPUTED_VALUE"""),45277.0)</f>
        <v>45277</v>
      </c>
      <c r="F65">
        <f t="shared" ref="F65:G65" si="65">B65+F66</f>
        <v>1112</v>
      </c>
      <c r="G65">
        <f t="shared" si="65"/>
        <v>1059</v>
      </c>
      <c r="I65" s="8">
        <f>IFERROR(__xludf.DUMMYFUNCTION("""COMPUTED_VALUE"""),45277.0)</f>
        <v>45277</v>
      </c>
      <c r="J65">
        <f t="shared" si="3"/>
        <v>53</v>
      </c>
    </row>
    <row r="66">
      <c r="A66" s="8">
        <f>IFERROR(__xludf.DUMMYFUNCTION("""COMPUTED_VALUE"""),45270.0)</f>
        <v>45270</v>
      </c>
      <c r="B66">
        <f>IFERROR(__xludf.DUMMYFUNCTION("""COMPUTED_VALUE"""),3.0)</f>
        <v>3</v>
      </c>
      <c r="C66">
        <f>IFERROR(__xludf.DUMMYFUNCTION("""COMPUTED_VALUE"""),2.0)</f>
        <v>2</v>
      </c>
      <c r="E66" s="8">
        <f>IFERROR(__xludf.DUMMYFUNCTION("""COMPUTED_VALUE"""),45270.0)</f>
        <v>45270</v>
      </c>
      <c r="F66">
        <f t="shared" ref="F66:G66" si="66">B66+F67</f>
        <v>1110</v>
      </c>
      <c r="G66">
        <f t="shared" si="66"/>
        <v>1056</v>
      </c>
      <c r="I66" s="8">
        <f>IFERROR(__xludf.DUMMYFUNCTION("""COMPUTED_VALUE"""),45270.0)</f>
        <v>45270</v>
      </c>
      <c r="J66">
        <f t="shared" si="3"/>
        <v>54</v>
      </c>
    </row>
    <row r="67">
      <c r="A67" s="8">
        <f>IFERROR(__xludf.DUMMYFUNCTION("""COMPUTED_VALUE"""),45248.0)</f>
        <v>45248</v>
      </c>
      <c r="B67">
        <f>IFERROR(__xludf.DUMMYFUNCTION("""COMPUTED_VALUE"""),3.0)</f>
        <v>3</v>
      </c>
      <c r="C67">
        <f>IFERROR(__xludf.DUMMYFUNCTION("""COMPUTED_VALUE"""),2.0)</f>
        <v>2</v>
      </c>
      <c r="E67" s="8">
        <f>IFERROR(__xludf.DUMMYFUNCTION("""COMPUTED_VALUE"""),45248.0)</f>
        <v>45248</v>
      </c>
      <c r="F67">
        <f t="shared" ref="F67:G67" si="67">B67+F68</f>
        <v>1107</v>
      </c>
      <c r="G67">
        <f t="shared" si="67"/>
        <v>1054</v>
      </c>
      <c r="I67" s="8">
        <f>IFERROR(__xludf.DUMMYFUNCTION("""COMPUTED_VALUE"""),45248.0)</f>
        <v>45248</v>
      </c>
      <c r="J67">
        <f t="shared" si="3"/>
        <v>53</v>
      </c>
    </row>
    <row r="68">
      <c r="A68" s="8">
        <f>IFERROR(__xludf.DUMMYFUNCTION("""COMPUTED_VALUE"""),45206.0)</f>
        <v>45206</v>
      </c>
      <c r="B68">
        <f>IFERROR(__xludf.DUMMYFUNCTION("""COMPUTED_VALUE"""),2.0)</f>
        <v>2</v>
      </c>
      <c r="C68">
        <f>IFERROR(__xludf.DUMMYFUNCTION("""COMPUTED_VALUE"""),1.0)</f>
        <v>1</v>
      </c>
      <c r="E68" s="8">
        <f>IFERROR(__xludf.DUMMYFUNCTION("""COMPUTED_VALUE"""),45206.0)</f>
        <v>45206</v>
      </c>
      <c r="F68">
        <f t="shared" ref="F68:G68" si="68">B68+F69</f>
        <v>1104</v>
      </c>
      <c r="G68">
        <f t="shared" si="68"/>
        <v>1052</v>
      </c>
      <c r="I68" s="8">
        <f>IFERROR(__xludf.DUMMYFUNCTION("""COMPUTED_VALUE"""),45206.0)</f>
        <v>45206</v>
      </c>
      <c r="J68">
        <f t="shared" si="3"/>
        <v>52</v>
      </c>
    </row>
    <row r="69">
      <c r="A69" s="8">
        <f>IFERROR(__xludf.DUMMYFUNCTION("""COMPUTED_VALUE"""),45206.0)</f>
        <v>45206</v>
      </c>
      <c r="B69">
        <f>IFERROR(__xludf.DUMMYFUNCTION("""COMPUTED_VALUE"""),2.0)</f>
        <v>2</v>
      </c>
      <c r="C69">
        <f>IFERROR(__xludf.DUMMYFUNCTION("""COMPUTED_VALUE"""),3.0)</f>
        <v>3</v>
      </c>
      <c r="E69" s="8">
        <f>IFERROR(__xludf.DUMMYFUNCTION("""COMPUTED_VALUE"""),45206.0)</f>
        <v>45206</v>
      </c>
      <c r="F69">
        <f t="shared" ref="F69:G69" si="69">B69+F70</f>
        <v>1102</v>
      </c>
      <c r="G69">
        <f t="shared" si="69"/>
        <v>1051</v>
      </c>
      <c r="I69" s="8">
        <f>IFERROR(__xludf.DUMMYFUNCTION("""COMPUTED_VALUE"""),45206.0)</f>
        <v>45206</v>
      </c>
      <c r="J69">
        <f t="shared" si="3"/>
        <v>51</v>
      </c>
    </row>
    <row r="70">
      <c r="A70" s="8">
        <f>IFERROR(__xludf.DUMMYFUNCTION("""COMPUTED_VALUE"""),45165.0)</f>
        <v>45165</v>
      </c>
      <c r="B70">
        <f>IFERROR(__xludf.DUMMYFUNCTION("""COMPUTED_VALUE"""),4.0)</f>
        <v>4</v>
      </c>
      <c r="C70">
        <f>IFERROR(__xludf.DUMMYFUNCTION("""COMPUTED_VALUE"""),1.0)</f>
        <v>1</v>
      </c>
      <c r="E70" s="8">
        <f>IFERROR(__xludf.DUMMYFUNCTION("""COMPUTED_VALUE"""),45165.0)</f>
        <v>45165</v>
      </c>
      <c r="F70">
        <f t="shared" ref="F70:G70" si="70">B70+F71</f>
        <v>1100</v>
      </c>
      <c r="G70">
        <f t="shared" si="70"/>
        <v>1048</v>
      </c>
      <c r="I70" s="8">
        <f>IFERROR(__xludf.DUMMYFUNCTION("""COMPUTED_VALUE"""),45165.0)</f>
        <v>45165</v>
      </c>
      <c r="J70">
        <f t="shared" si="3"/>
        <v>52</v>
      </c>
    </row>
    <row r="71">
      <c r="A71" s="8">
        <f>IFERROR(__xludf.DUMMYFUNCTION("""COMPUTED_VALUE"""),45144.0)</f>
        <v>45144</v>
      </c>
      <c r="B71">
        <f>IFERROR(__xludf.DUMMYFUNCTION("""COMPUTED_VALUE"""),3.0)</f>
        <v>3</v>
      </c>
      <c r="C71">
        <f>IFERROR(__xludf.DUMMYFUNCTION("""COMPUTED_VALUE"""),1.0)</f>
        <v>1</v>
      </c>
      <c r="E71" s="8">
        <f>IFERROR(__xludf.DUMMYFUNCTION("""COMPUTED_VALUE"""),45144.0)</f>
        <v>45144</v>
      </c>
      <c r="F71">
        <f t="shared" ref="F71:G71" si="71">B71+F72</f>
        <v>1096</v>
      </c>
      <c r="G71">
        <f t="shared" si="71"/>
        <v>1047</v>
      </c>
      <c r="I71" s="8">
        <f>IFERROR(__xludf.DUMMYFUNCTION("""COMPUTED_VALUE"""),45144.0)</f>
        <v>45144</v>
      </c>
      <c r="J71">
        <f t="shared" si="3"/>
        <v>49</v>
      </c>
    </row>
    <row r="72">
      <c r="A72" s="8">
        <f>IFERROR(__xludf.DUMMYFUNCTION("""COMPUTED_VALUE"""),45129.0)</f>
        <v>45129</v>
      </c>
      <c r="B72">
        <f>IFERROR(__xludf.DUMMYFUNCTION("""COMPUTED_VALUE"""),3.0)</f>
        <v>3</v>
      </c>
      <c r="C72">
        <f>IFERROR(__xludf.DUMMYFUNCTION("""COMPUTED_VALUE"""),1.0)</f>
        <v>1</v>
      </c>
      <c r="E72" s="8">
        <f>IFERROR(__xludf.DUMMYFUNCTION("""COMPUTED_VALUE"""),45129.0)</f>
        <v>45129</v>
      </c>
      <c r="F72">
        <f t="shared" ref="F72:G72" si="72">B72+F73</f>
        <v>1093</v>
      </c>
      <c r="G72">
        <f t="shared" si="72"/>
        <v>1046</v>
      </c>
      <c r="I72" s="8">
        <f>IFERROR(__xludf.DUMMYFUNCTION("""COMPUTED_VALUE"""),45129.0)</f>
        <v>45129</v>
      </c>
      <c r="J72">
        <f t="shared" si="3"/>
        <v>47</v>
      </c>
    </row>
    <row r="73">
      <c r="A73" s="8">
        <f>IFERROR(__xludf.DUMMYFUNCTION("""COMPUTED_VALUE"""),45129.0)</f>
        <v>45129</v>
      </c>
      <c r="B73">
        <f>IFERROR(__xludf.DUMMYFUNCTION("""COMPUTED_VALUE"""),2.0)</f>
        <v>2</v>
      </c>
      <c r="C73">
        <f>IFERROR(__xludf.DUMMYFUNCTION("""COMPUTED_VALUE"""),3.0)</f>
        <v>3</v>
      </c>
      <c r="E73" s="8">
        <f>IFERROR(__xludf.DUMMYFUNCTION("""COMPUTED_VALUE"""),45129.0)</f>
        <v>45129</v>
      </c>
      <c r="F73">
        <f t="shared" ref="F73:G73" si="73">B73+F74</f>
        <v>1090</v>
      </c>
      <c r="G73">
        <f t="shared" si="73"/>
        <v>1045</v>
      </c>
      <c r="I73" s="8">
        <f>IFERROR(__xludf.DUMMYFUNCTION("""COMPUTED_VALUE"""),45129.0)</f>
        <v>45129</v>
      </c>
      <c r="J73">
        <f t="shared" si="3"/>
        <v>45</v>
      </c>
    </row>
    <row r="74">
      <c r="A74" s="8">
        <f>IFERROR(__xludf.DUMMYFUNCTION("""COMPUTED_VALUE"""),45123.0)</f>
        <v>45123</v>
      </c>
      <c r="B74">
        <f>IFERROR(__xludf.DUMMYFUNCTION("""COMPUTED_VALUE"""),1.0)</f>
        <v>1</v>
      </c>
      <c r="C74">
        <f>IFERROR(__xludf.DUMMYFUNCTION("""COMPUTED_VALUE"""),2.0)</f>
        <v>2</v>
      </c>
      <c r="E74" s="8">
        <f>IFERROR(__xludf.DUMMYFUNCTION("""COMPUTED_VALUE"""),45123.0)</f>
        <v>45123</v>
      </c>
      <c r="F74">
        <f t="shared" ref="F74:G74" si="74">B74+F75</f>
        <v>1088</v>
      </c>
      <c r="G74">
        <f t="shared" si="74"/>
        <v>1042</v>
      </c>
      <c r="I74" s="8">
        <f>IFERROR(__xludf.DUMMYFUNCTION("""COMPUTED_VALUE"""),45123.0)</f>
        <v>45123</v>
      </c>
      <c r="J74">
        <f t="shared" si="3"/>
        <v>46</v>
      </c>
    </row>
    <row r="75">
      <c r="A75" s="8">
        <f>IFERROR(__xludf.DUMMYFUNCTION("""COMPUTED_VALUE"""),45116.0)</f>
        <v>45116</v>
      </c>
      <c r="B75">
        <f>IFERROR(__xludf.DUMMYFUNCTION("""COMPUTED_VALUE"""),1.0)</f>
        <v>1</v>
      </c>
      <c r="C75">
        <f>IFERROR(__xludf.DUMMYFUNCTION("""COMPUTED_VALUE"""),2.0)</f>
        <v>2</v>
      </c>
      <c r="E75" s="8">
        <f>IFERROR(__xludf.DUMMYFUNCTION("""COMPUTED_VALUE"""),45116.0)</f>
        <v>45116</v>
      </c>
      <c r="F75">
        <f t="shared" ref="F75:G75" si="75">B75+F76</f>
        <v>1087</v>
      </c>
      <c r="G75">
        <f t="shared" si="75"/>
        <v>1040</v>
      </c>
      <c r="I75" s="8">
        <f>IFERROR(__xludf.DUMMYFUNCTION("""COMPUTED_VALUE"""),45116.0)</f>
        <v>45116</v>
      </c>
      <c r="J75">
        <f t="shared" si="3"/>
        <v>47</v>
      </c>
    </row>
    <row r="76">
      <c r="A76" s="8">
        <f>IFERROR(__xludf.DUMMYFUNCTION("""COMPUTED_VALUE"""),45115.0)</f>
        <v>45115</v>
      </c>
      <c r="B76">
        <f>IFERROR(__xludf.DUMMYFUNCTION("""COMPUTED_VALUE"""),3.0)</f>
        <v>3</v>
      </c>
      <c r="C76">
        <f>IFERROR(__xludf.DUMMYFUNCTION("""COMPUTED_VALUE"""),2.0)</f>
        <v>2</v>
      </c>
      <c r="E76" s="8">
        <f>IFERROR(__xludf.DUMMYFUNCTION("""COMPUTED_VALUE"""),45115.0)</f>
        <v>45115</v>
      </c>
      <c r="F76">
        <f t="shared" ref="F76:G76" si="76">B76+F77</f>
        <v>1086</v>
      </c>
      <c r="G76">
        <f t="shared" si="76"/>
        <v>1038</v>
      </c>
      <c r="I76" s="8">
        <f>IFERROR(__xludf.DUMMYFUNCTION("""COMPUTED_VALUE"""),45115.0)</f>
        <v>45115</v>
      </c>
      <c r="J76">
        <f t="shared" si="3"/>
        <v>48</v>
      </c>
    </row>
    <row r="77">
      <c r="A77" s="8">
        <f>IFERROR(__xludf.DUMMYFUNCTION("""COMPUTED_VALUE"""),45111.0)</f>
        <v>45111</v>
      </c>
      <c r="B77">
        <f>IFERROR(__xludf.DUMMYFUNCTION("""COMPUTED_VALUE"""),2.0)</f>
        <v>2</v>
      </c>
      <c r="C77">
        <f>IFERROR(__xludf.DUMMYFUNCTION("""COMPUTED_VALUE"""),1.0)</f>
        <v>1</v>
      </c>
      <c r="E77" s="8">
        <f>IFERROR(__xludf.DUMMYFUNCTION("""COMPUTED_VALUE"""),45111.0)</f>
        <v>45111</v>
      </c>
      <c r="F77">
        <f t="shared" ref="F77:G77" si="77">B77+F78</f>
        <v>1083</v>
      </c>
      <c r="G77">
        <f t="shared" si="77"/>
        <v>1036</v>
      </c>
      <c r="I77" s="8">
        <f>IFERROR(__xludf.DUMMYFUNCTION("""COMPUTED_VALUE"""),45111.0)</f>
        <v>45111</v>
      </c>
      <c r="J77">
        <f t="shared" si="3"/>
        <v>47</v>
      </c>
    </row>
    <row r="78">
      <c r="A78" s="8">
        <f>IFERROR(__xludf.DUMMYFUNCTION("""COMPUTED_VALUE"""),45109.0)</f>
        <v>45109</v>
      </c>
      <c r="B78">
        <f>IFERROR(__xludf.DUMMYFUNCTION("""COMPUTED_VALUE"""),2.0)</f>
        <v>2</v>
      </c>
      <c r="C78">
        <f>IFERROR(__xludf.DUMMYFUNCTION("""COMPUTED_VALUE"""),1.0)</f>
        <v>1</v>
      </c>
      <c r="E78" s="8">
        <f>IFERROR(__xludf.DUMMYFUNCTION("""COMPUTED_VALUE"""),45109.0)</f>
        <v>45109</v>
      </c>
      <c r="F78">
        <f t="shared" ref="F78:G78" si="78">B78+F79</f>
        <v>1081</v>
      </c>
      <c r="G78">
        <f t="shared" si="78"/>
        <v>1035</v>
      </c>
      <c r="I78" s="8">
        <f>IFERROR(__xludf.DUMMYFUNCTION("""COMPUTED_VALUE"""),45109.0)</f>
        <v>45109</v>
      </c>
      <c r="J78">
        <f t="shared" si="3"/>
        <v>46</v>
      </c>
    </row>
    <row r="79">
      <c r="A79" s="8">
        <f>IFERROR(__xludf.DUMMYFUNCTION("""COMPUTED_VALUE"""),45102.0)</f>
        <v>45102</v>
      </c>
      <c r="B79">
        <f>IFERROR(__xludf.DUMMYFUNCTION("""COMPUTED_VALUE"""),1.0)</f>
        <v>1</v>
      </c>
      <c r="C79">
        <f>IFERROR(__xludf.DUMMYFUNCTION("""COMPUTED_VALUE"""),2.0)</f>
        <v>2</v>
      </c>
      <c r="E79" s="8">
        <f>IFERROR(__xludf.DUMMYFUNCTION("""COMPUTED_VALUE"""),45102.0)</f>
        <v>45102</v>
      </c>
      <c r="F79">
        <f t="shared" ref="F79:G79" si="79">B79+F80</f>
        <v>1079</v>
      </c>
      <c r="G79">
        <f t="shared" si="79"/>
        <v>1034</v>
      </c>
      <c r="I79" s="8">
        <f>IFERROR(__xludf.DUMMYFUNCTION("""COMPUTED_VALUE"""),45102.0)</f>
        <v>45102</v>
      </c>
      <c r="J79">
        <f t="shared" si="3"/>
        <v>45</v>
      </c>
    </row>
    <row r="80">
      <c r="A80" s="8">
        <f>IFERROR(__xludf.DUMMYFUNCTION("""COMPUTED_VALUE"""),45102.0)</f>
        <v>45102</v>
      </c>
      <c r="B80">
        <f>IFERROR(__xludf.DUMMYFUNCTION("""COMPUTED_VALUE"""),1.0)</f>
        <v>1</v>
      </c>
      <c r="C80">
        <f>IFERROR(__xludf.DUMMYFUNCTION("""COMPUTED_VALUE"""),2.0)</f>
        <v>2</v>
      </c>
      <c r="E80" s="8">
        <f>IFERROR(__xludf.DUMMYFUNCTION("""COMPUTED_VALUE"""),45102.0)</f>
        <v>45102</v>
      </c>
      <c r="F80">
        <f t="shared" ref="F80:G80" si="80">B80+F81</f>
        <v>1078</v>
      </c>
      <c r="G80">
        <f t="shared" si="80"/>
        <v>1032</v>
      </c>
      <c r="I80" s="8">
        <f>IFERROR(__xludf.DUMMYFUNCTION("""COMPUTED_VALUE"""),45102.0)</f>
        <v>45102</v>
      </c>
      <c r="J80">
        <f t="shared" si="3"/>
        <v>46</v>
      </c>
    </row>
    <row r="81">
      <c r="A81" s="8">
        <f>IFERROR(__xludf.DUMMYFUNCTION("""COMPUTED_VALUE"""),45102.0)</f>
        <v>45102</v>
      </c>
      <c r="B81">
        <f>IFERROR(__xludf.DUMMYFUNCTION("""COMPUTED_VALUE"""),1.0)</f>
        <v>1</v>
      </c>
      <c r="C81">
        <f>IFERROR(__xludf.DUMMYFUNCTION("""COMPUTED_VALUE"""),3.0)</f>
        <v>3</v>
      </c>
      <c r="E81" s="8">
        <f>IFERROR(__xludf.DUMMYFUNCTION("""COMPUTED_VALUE"""),45102.0)</f>
        <v>45102</v>
      </c>
      <c r="F81">
        <f t="shared" ref="F81:G81" si="81">B81+F82</f>
        <v>1077</v>
      </c>
      <c r="G81">
        <f t="shared" si="81"/>
        <v>1030</v>
      </c>
      <c r="I81" s="8">
        <f>IFERROR(__xludf.DUMMYFUNCTION("""COMPUTED_VALUE"""),45102.0)</f>
        <v>45102</v>
      </c>
      <c r="J81">
        <f t="shared" si="3"/>
        <v>47</v>
      </c>
    </row>
    <row r="82">
      <c r="A82" s="8">
        <f>IFERROR(__xludf.DUMMYFUNCTION("""COMPUTED_VALUE"""),45101.0)</f>
        <v>45101</v>
      </c>
      <c r="B82">
        <f>IFERROR(__xludf.DUMMYFUNCTION("""COMPUTED_VALUE"""),4.0)</f>
        <v>4</v>
      </c>
      <c r="C82">
        <f>IFERROR(__xludf.DUMMYFUNCTION("""COMPUTED_VALUE"""),1.0)</f>
        <v>1</v>
      </c>
      <c r="E82" s="8">
        <f>IFERROR(__xludf.DUMMYFUNCTION("""COMPUTED_VALUE"""),45101.0)</f>
        <v>45101</v>
      </c>
      <c r="F82">
        <f t="shared" ref="F82:G82" si="82">B82+F83</f>
        <v>1076</v>
      </c>
      <c r="G82">
        <f t="shared" si="82"/>
        <v>1027</v>
      </c>
      <c r="I82" s="8">
        <f>IFERROR(__xludf.DUMMYFUNCTION("""COMPUTED_VALUE"""),45101.0)</f>
        <v>45101</v>
      </c>
      <c r="J82">
        <f t="shared" si="3"/>
        <v>49</v>
      </c>
    </row>
    <row r="83">
      <c r="A83" s="8">
        <f>IFERROR(__xludf.DUMMYFUNCTION("""COMPUTED_VALUE"""),45101.0)</f>
        <v>45101</v>
      </c>
      <c r="B83">
        <f>IFERROR(__xludf.DUMMYFUNCTION("""COMPUTED_VALUE"""),1.0)</f>
        <v>1</v>
      </c>
      <c r="C83">
        <f>IFERROR(__xludf.DUMMYFUNCTION("""COMPUTED_VALUE"""),2.0)</f>
        <v>2</v>
      </c>
      <c r="E83" s="8">
        <f>IFERROR(__xludf.DUMMYFUNCTION("""COMPUTED_VALUE"""),45101.0)</f>
        <v>45101</v>
      </c>
      <c r="F83">
        <f t="shared" ref="F83:G83" si="83">B83+F84</f>
        <v>1072</v>
      </c>
      <c r="G83">
        <f t="shared" si="83"/>
        <v>1026</v>
      </c>
      <c r="I83" s="8">
        <f>IFERROR(__xludf.DUMMYFUNCTION("""COMPUTED_VALUE"""),45101.0)</f>
        <v>45101</v>
      </c>
      <c r="J83">
        <f t="shared" si="3"/>
        <v>46</v>
      </c>
    </row>
    <row r="84">
      <c r="A84" s="8">
        <f>IFERROR(__xludf.DUMMYFUNCTION("""COMPUTED_VALUE"""),45094.0)</f>
        <v>45094</v>
      </c>
      <c r="B84">
        <f>IFERROR(__xludf.DUMMYFUNCTION("""COMPUTED_VALUE"""),3.0)</f>
        <v>3</v>
      </c>
      <c r="C84">
        <f>IFERROR(__xludf.DUMMYFUNCTION("""COMPUTED_VALUE"""),2.0)</f>
        <v>2</v>
      </c>
      <c r="E84" s="8">
        <f>IFERROR(__xludf.DUMMYFUNCTION("""COMPUTED_VALUE"""),45094.0)</f>
        <v>45094</v>
      </c>
      <c r="F84">
        <f t="shared" ref="F84:G84" si="84">B84+F85</f>
        <v>1071</v>
      </c>
      <c r="G84">
        <f t="shared" si="84"/>
        <v>1024</v>
      </c>
      <c r="I84" s="8">
        <f>IFERROR(__xludf.DUMMYFUNCTION("""COMPUTED_VALUE"""),45094.0)</f>
        <v>45094</v>
      </c>
      <c r="J84">
        <f t="shared" si="3"/>
        <v>47</v>
      </c>
    </row>
    <row r="85">
      <c r="A85" s="8">
        <f>IFERROR(__xludf.DUMMYFUNCTION("""COMPUTED_VALUE"""),45094.0)</f>
        <v>45094</v>
      </c>
      <c r="B85">
        <f>IFERROR(__xludf.DUMMYFUNCTION("""COMPUTED_VALUE"""),2.0)</f>
        <v>2</v>
      </c>
      <c r="C85">
        <f>IFERROR(__xludf.DUMMYFUNCTION("""COMPUTED_VALUE"""),3.0)</f>
        <v>3</v>
      </c>
      <c r="E85" s="8">
        <f>IFERROR(__xludf.DUMMYFUNCTION("""COMPUTED_VALUE"""),45094.0)</f>
        <v>45094</v>
      </c>
      <c r="F85">
        <f t="shared" ref="F85:G85" si="85">B85+F86</f>
        <v>1068</v>
      </c>
      <c r="G85">
        <f t="shared" si="85"/>
        <v>1022</v>
      </c>
      <c r="I85" s="8">
        <f>IFERROR(__xludf.DUMMYFUNCTION("""COMPUTED_VALUE"""),45094.0)</f>
        <v>45094</v>
      </c>
      <c r="J85">
        <f t="shared" si="3"/>
        <v>46</v>
      </c>
    </row>
    <row r="86">
      <c r="A86" s="8">
        <f>IFERROR(__xludf.DUMMYFUNCTION("""COMPUTED_VALUE"""),45088.0)</f>
        <v>45088</v>
      </c>
      <c r="B86">
        <f>IFERROR(__xludf.DUMMYFUNCTION("""COMPUTED_VALUE"""),1.0)</f>
        <v>1</v>
      </c>
      <c r="C86">
        <f>IFERROR(__xludf.DUMMYFUNCTION("""COMPUTED_VALUE"""),2.0)</f>
        <v>2</v>
      </c>
      <c r="E86" s="8">
        <f>IFERROR(__xludf.DUMMYFUNCTION("""COMPUTED_VALUE"""),45088.0)</f>
        <v>45088</v>
      </c>
      <c r="F86">
        <f t="shared" ref="F86:G86" si="86">B86+F87</f>
        <v>1066</v>
      </c>
      <c r="G86">
        <f t="shared" si="86"/>
        <v>1019</v>
      </c>
      <c r="I86" s="8">
        <f>IFERROR(__xludf.DUMMYFUNCTION("""COMPUTED_VALUE"""),45088.0)</f>
        <v>45088</v>
      </c>
      <c r="J86">
        <f t="shared" si="3"/>
        <v>47</v>
      </c>
    </row>
    <row r="87">
      <c r="A87" s="8">
        <f>IFERROR(__xludf.DUMMYFUNCTION("""COMPUTED_VALUE"""),45087.0)</f>
        <v>45087</v>
      </c>
      <c r="B87">
        <f>IFERROR(__xludf.DUMMYFUNCTION("""COMPUTED_VALUE"""),2.0)</f>
        <v>2</v>
      </c>
      <c r="C87">
        <f>IFERROR(__xludf.DUMMYFUNCTION("""COMPUTED_VALUE"""),1.0)</f>
        <v>1</v>
      </c>
      <c r="E87" s="8">
        <f>IFERROR(__xludf.DUMMYFUNCTION("""COMPUTED_VALUE"""),45087.0)</f>
        <v>45087</v>
      </c>
      <c r="F87">
        <f t="shared" ref="F87:G87" si="87">B87+F88</f>
        <v>1065</v>
      </c>
      <c r="G87">
        <f t="shared" si="87"/>
        <v>1017</v>
      </c>
      <c r="I87" s="8">
        <f>IFERROR(__xludf.DUMMYFUNCTION("""COMPUTED_VALUE"""),45087.0)</f>
        <v>45087</v>
      </c>
      <c r="J87">
        <f t="shared" si="3"/>
        <v>48</v>
      </c>
    </row>
    <row r="88">
      <c r="A88" s="8">
        <f>IFERROR(__xludf.DUMMYFUNCTION("""COMPUTED_VALUE"""),45087.0)</f>
        <v>45087</v>
      </c>
      <c r="B88">
        <f>IFERROR(__xludf.DUMMYFUNCTION("""COMPUTED_VALUE"""),2.0)</f>
        <v>2</v>
      </c>
      <c r="C88">
        <f>IFERROR(__xludf.DUMMYFUNCTION("""COMPUTED_VALUE"""),1.0)</f>
        <v>1</v>
      </c>
      <c r="E88" s="8">
        <f>IFERROR(__xludf.DUMMYFUNCTION("""COMPUTED_VALUE"""),45087.0)</f>
        <v>45087</v>
      </c>
      <c r="F88">
        <f t="shared" ref="F88:G88" si="88">B88+F89</f>
        <v>1063</v>
      </c>
      <c r="G88">
        <f t="shared" si="88"/>
        <v>1016</v>
      </c>
      <c r="I88" s="8">
        <f>IFERROR(__xludf.DUMMYFUNCTION("""COMPUTED_VALUE"""),45087.0)</f>
        <v>45087</v>
      </c>
      <c r="J88">
        <f t="shared" si="3"/>
        <v>47</v>
      </c>
    </row>
    <row r="89">
      <c r="A89" s="8">
        <f>IFERROR(__xludf.DUMMYFUNCTION("""COMPUTED_VALUE"""),45087.0)</f>
        <v>45087</v>
      </c>
      <c r="B89">
        <f>IFERROR(__xludf.DUMMYFUNCTION("""COMPUTED_VALUE"""),2.0)</f>
        <v>2</v>
      </c>
      <c r="C89">
        <f>IFERROR(__xludf.DUMMYFUNCTION("""COMPUTED_VALUE"""),1.0)</f>
        <v>1</v>
      </c>
      <c r="E89" s="8">
        <f>IFERROR(__xludf.DUMMYFUNCTION("""COMPUTED_VALUE"""),45087.0)</f>
        <v>45087</v>
      </c>
      <c r="F89">
        <f t="shared" ref="F89:G89" si="89">B89+F90</f>
        <v>1061</v>
      </c>
      <c r="G89">
        <f t="shared" si="89"/>
        <v>1015</v>
      </c>
      <c r="I89" s="8">
        <f>IFERROR(__xludf.DUMMYFUNCTION("""COMPUTED_VALUE"""),45087.0)</f>
        <v>45087</v>
      </c>
      <c r="J89">
        <f t="shared" si="3"/>
        <v>46</v>
      </c>
    </row>
    <row r="90">
      <c r="A90" s="8">
        <f>IFERROR(__xludf.DUMMYFUNCTION("""COMPUTED_VALUE"""),45087.0)</f>
        <v>45087</v>
      </c>
      <c r="B90">
        <f>IFERROR(__xludf.DUMMYFUNCTION("""COMPUTED_VALUE"""),1.0)</f>
        <v>1</v>
      </c>
      <c r="C90">
        <f>IFERROR(__xludf.DUMMYFUNCTION("""COMPUTED_VALUE"""),2.0)</f>
        <v>2</v>
      </c>
      <c r="E90" s="8">
        <f>IFERROR(__xludf.DUMMYFUNCTION("""COMPUTED_VALUE"""),45087.0)</f>
        <v>45087</v>
      </c>
      <c r="F90">
        <f t="shared" ref="F90:G90" si="90">B90+F91</f>
        <v>1059</v>
      </c>
      <c r="G90">
        <f t="shared" si="90"/>
        <v>1014</v>
      </c>
      <c r="I90" s="8">
        <f>IFERROR(__xludf.DUMMYFUNCTION("""COMPUTED_VALUE"""),45087.0)</f>
        <v>45087</v>
      </c>
      <c r="J90">
        <f t="shared" si="3"/>
        <v>45</v>
      </c>
    </row>
    <row r="91">
      <c r="A91" s="8">
        <f>IFERROR(__xludf.DUMMYFUNCTION("""COMPUTED_VALUE"""),45081.0)</f>
        <v>45081</v>
      </c>
      <c r="B91">
        <f>IFERROR(__xludf.DUMMYFUNCTION("""COMPUTED_VALUE"""),3.0)</f>
        <v>3</v>
      </c>
      <c r="C91">
        <f>IFERROR(__xludf.DUMMYFUNCTION("""COMPUTED_VALUE"""),1.0)</f>
        <v>1</v>
      </c>
      <c r="E91" s="8">
        <f>IFERROR(__xludf.DUMMYFUNCTION("""COMPUTED_VALUE"""),45081.0)</f>
        <v>45081</v>
      </c>
      <c r="F91">
        <f t="shared" ref="F91:G91" si="91">B91+F92</f>
        <v>1058</v>
      </c>
      <c r="G91">
        <f t="shared" si="91"/>
        <v>1012</v>
      </c>
      <c r="I91" s="8">
        <f>IFERROR(__xludf.DUMMYFUNCTION("""COMPUTED_VALUE"""),45081.0)</f>
        <v>45081</v>
      </c>
      <c r="J91">
        <f t="shared" si="3"/>
        <v>46</v>
      </c>
    </row>
    <row r="92">
      <c r="A92" s="8">
        <f>IFERROR(__xludf.DUMMYFUNCTION("""COMPUTED_VALUE"""),45073.0)</f>
        <v>45073</v>
      </c>
      <c r="B92">
        <f>IFERROR(__xludf.DUMMYFUNCTION("""COMPUTED_VALUE"""),3.0)</f>
        <v>3</v>
      </c>
      <c r="C92">
        <f>IFERROR(__xludf.DUMMYFUNCTION("""COMPUTED_VALUE"""),2.0)</f>
        <v>2</v>
      </c>
      <c r="E92" s="8">
        <f>IFERROR(__xludf.DUMMYFUNCTION("""COMPUTED_VALUE"""),45073.0)</f>
        <v>45073</v>
      </c>
      <c r="F92">
        <f t="shared" ref="F92:G92" si="92">B92+F93</f>
        <v>1055</v>
      </c>
      <c r="G92">
        <f t="shared" si="92"/>
        <v>1011</v>
      </c>
      <c r="I92" s="8">
        <f>IFERROR(__xludf.DUMMYFUNCTION("""COMPUTED_VALUE"""),45073.0)</f>
        <v>45073</v>
      </c>
      <c r="J92">
        <f t="shared" si="3"/>
        <v>44</v>
      </c>
    </row>
    <row r="93">
      <c r="A93" s="8">
        <f>IFERROR(__xludf.DUMMYFUNCTION("""COMPUTED_VALUE"""),45067.0)</f>
        <v>45067</v>
      </c>
      <c r="B93">
        <f>IFERROR(__xludf.DUMMYFUNCTION("""COMPUTED_VALUE"""),3.0)</f>
        <v>3</v>
      </c>
      <c r="C93">
        <f>IFERROR(__xludf.DUMMYFUNCTION("""COMPUTED_VALUE"""),1.0)</f>
        <v>1</v>
      </c>
      <c r="E93" s="8">
        <f>IFERROR(__xludf.DUMMYFUNCTION("""COMPUTED_VALUE"""),45067.0)</f>
        <v>45067</v>
      </c>
      <c r="F93">
        <f t="shared" ref="F93:G93" si="93">B93+F94</f>
        <v>1052</v>
      </c>
      <c r="G93">
        <f t="shared" si="93"/>
        <v>1009</v>
      </c>
      <c r="I93" s="8">
        <f>IFERROR(__xludf.DUMMYFUNCTION("""COMPUTED_VALUE"""),45067.0)</f>
        <v>45067</v>
      </c>
      <c r="J93">
        <f t="shared" si="3"/>
        <v>43</v>
      </c>
    </row>
    <row r="94">
      <c r="A94" s="8">
        <f>IFERROR(__xludf.DUMMYFUNCTION("""COMPUTED_VALUE"""),45059.0)</f>
        <v>45059</v>
      </c>
      <c r="B94">
        <f>IFERROR(__xludf.DUMMYFUNCTION("""COMPUTED_VALUE"""),1.0)</f>
        <v>1</v>
      </c>
      <c r="C94">
        <f>IFERROR(__xludf.DUMMYFUNCTION("""COMPUTED_VALUE"""),2.0)</f>
        <v>2</v>
      </c>
      <c r="E94" s="8">
        <f>IFERROR(__xludf.DUMMYFUNCTION("""COMPUTED_VALUE"""),45059.0)</f>
        <v>45059</v>
      </c>
      <c r="F94">
        <f t="shared" ref="F94:G94" si="94">B94+F95</f>
        <v>1049</v>
      </c>
      <c r="G94">
        <f t="shared" si="94"/>
        <v>1008</v>
      </c>
      <c r="I94" s="8">
        <f>IFERROR(__xludf.DUMMYFUNCTION("""COMPUTED_VALUE"""),45059.0)</f>
        <v>45059</v>
      </c>
      <c r="J94">
        <f t="shared" si="3"/>
        <v>41</v>
      </c>
    </row>
    <row r="95">
      <c r="A95" s="8">
        <f>IFERROR(__xludf.DUMMYFUNCTION("""COMPUTED_VALUE"""),45059.0)</f>
        <v>45059</v>
      </c>
      <c r="B95">
        <f>IFERROR(__xludf.DUMMYFUNCTION("""COMPUTED_VALUE"""),1.0)</f>
        <v>1</v>
      </c>
      <c r="C95">
        <f>IFERROR(__xludf.DUMMYFUNCTION("""COMPUTED_VALUE"""),3.0)</f>
        <v>3</v>
      </c>
      <c r="E95" s="8">
        <f>IFERROR(__xludf.DUMMYFUNCTION("""COMPUTED_VALUE"""),45059.0)</f>
        <v>45059</v>
      </c>
      <c r="F95">
        <f t="shared" ref="F95:G95" si="95">B95+F96</f>
        <v>1048</v>
      </c>
      <c r="G95">
        <f t="shared" si="95"/>
        <v>1006</v>
      </c>
      <c r="I95" s="8">
        <f>IFERROR(__xludf.DUMMYFUNCTION("""COMPUTED_VALUE"""),45059.0)</f>
        <v>45059</v>
      </c>
      <c r="J95">
        <f t="shared" si="3"/>
        <v>42</v>
      </c>
    </row>
    <row r="96">
      <c r="A96" s="8">
        <f>IFERROR(__xludf.DUMMYFUNCTION("""COMPUTED_VALUE"""),45059.0)</f>
        <v>45059</v>
      </c>
      <c r="B96">
        <f>IFERROR(__xludf.DUMMYFUNCTION("""COMPUTED_VALUE"""),3.0)</f>
        <v>3</v>
      </c>
      <c r="C96">
        <f>IFERROR(__xludf.DUMMYFUNCTION("""COMPUTED_VALUE"""),1.0)</f>
        <v>1</v>
      </c>
      <c r="E96" s="8">
        <f>IFERROR(__xludf.DUMMYFUNCTION("""COMPUTED_VALUE"""),45059.0)</f>
        <v>45059</v>
      </c>
      <c r="F96">
        <f t="shared" ref="F96:G96" si="96">B96+F97</f>
        <v>1047</v>
      </c>
      <c r="G96">
        <f t="shared" si="96"/>
        <v>1003</v>
      </c>
      <c r="I96" s="8">
        <f>IFERROR(__xludf.DUMMYFUNCTION("""COMPUTED_VALUE"""),45059.0)</f>
        <v>45059</v>
      </c>
      <c r="J96">
        <f t="shared" si="3"/>
        <v>44</v>
      </c>
    </row>
    <row r="97">
      <c r="A97" s="8">
        <f>IFERROR(__xludf.DUMMYFUNCTION("""COMPUTED_VALUE"""),45052.0)</f>
        <v>45052</v>
      </c>
      <c r="B97">
        <f>IFERROR(__xludf.DUMMYFUNCTION("""COMPUTED_VALUE"""),3.0)</f>
        <v>3</v>
      </c>
      <c r="C97">
        <f>IFERROR(__xludf.DUMMYFUNCTION("""COMPUTED_VALUE"""),2.0)</f>
        <v>2</v>
      </c>
      <c r="E97" s="8">
        <f>IFERROR(__xludf.DUMMYFUNCTION("""COMPUTED_VALUE"""),45052.0)</f>
        <v>45052</v>
      </c>
      <c r="F97">
        <f t="shared" ref="F97:G97" si="97">B97+F98</f>
        <v>1044</v>
      </c>
      <c r="G97">
        <f t="shared" si="97"/>
        <v>1002</v>
      </c>
      <c r="I97" s="8">
        <f>IFERROR(__xludf.DUMMYFUNCTION("""COMPUTED_VALUE"""),45052.0)</f>
        <v>45052</v>
      </c>
      <c r="J97">
        <f t="shared" si="3"/>
        <v>42</v>
      </c>
    </row>
    <row r="98">
      <c r="A98" s="8">
        <f>IFERROR(__xludf.DUMMYFUNCTION("""COMPUTED_VALUE"""),45052.0)</f>
        <v>45052</v>
      </c>
      <c r="B98">
        <f>IFERROR(__xludf.DUMMYFUNCTION("""COMPUTED_VALUE"""),3.0)</f>
        <v>3</v>
      </c>
      <c r="C98">
        <f>IFERROR(__xludf.DUMMYFUNCTION("""COMPUTED_VALUE"""),1.0)</f>
        <v>1</v>
      </c>
      <c r="E98" s="8">
        <f>IFERROR(__xludf.DUMMYFUNCTION("""COMPUTED_VALUE"""),45052.0)</f>
        <v>45052</v>
      </c>
      <c r="F98">
        <f t="shared" ref="F98:G98" si="98">B98+F99</f>
        <v>1041</v>
      </c>
      <c r="G98">
        <f t="shared" si="98"/>
        <v>1000</v>
      </c>
      <c r="I98" s="8">
        <f>IFERROR(__xludf.DUMMYFUNCTION("""COMPUTED_VALUE"""),45052.0)</f>
        <v>45052</v>
      </c>
      <c r="J98">
        <f t="shared" si="3"/>
        <v>41</v>
      </c>
    </row>
    <row r="99">
      <c r="A99" s="8">
        <f>IFERROR(__xludf.DUMMYFUNCTION("""COMPUTED_VALUE"""),45018.0)</f>
        <v>45018</v>
      </c>
      <c r="B99">
        <f>IFERROR(__xludf.DUMMYFUNCTION("""COMPUTED_VALUE"""),4.0)</f>
        <v>4</v>
      </c>
      <c r="C99">
        <f>IFERROR(__xludf.DUMMYFUNCTION("""COMPUTED_VALUE"""),3.0)</f>
        <v>3</v>
      </c>
      <c r="E99" s="8">
        <f>IFERROR(__xludf.DUMMYFUNCTION("""COMPUTED_VALUE"""),45018.0)</f>
        <v>45018</v>
      </c>
      <c r="F99">
        <f t="shared" ref="F99:G99" si="99">B99+F100</f>
        <v>1038</v>
      </c>
      <c r="G99">
        <f t="shared" si="99"/>
        <v>999</v>
      </c>
      <c r="I99" s="8">
        <f>IFERROR(__xludf.DUMMYFUNCTION("""COMPUTED_VALUE"""),45018.0)</f>
        <v>45018</v>
      </c>
      <c r="J99">
        <f t="shared" si="3"/>
        <v>39</v>
      </c>
    </row>
    <row r="100">
      <c r="A100" s="8">
        <f>IFERROR(__xludf.DUMMYFUNCTION("""COMPUTED_VALUE"""),45011.0)</f>
        <v>45011</v>
      </c>
      <c r="B100">
        <f>IFERROR(__xludf.DUMMYFUNCTION("""COMPUTED_VALUE"""),3.0)</f>
        <v>3</v>
      </c>
      <c r="C100">
        <f>IFERROR(__xludf.DUMMYFUNCTION("""COMPUTED_VALUE"""),2.0)</f>
        <v>2</v>
      </c>
      <c r="E100" s="8">
        <f>IFERROR(__xludf.DUMMYFUNCTION("""COMPUTED_VALUE"""),45011.0)</f>
        <v>45011</v>
      </c>
      <c r="F100">
        <f t="shared" ref="F100:G100" si="100">B100+F101</f>
        <v>1034</v>
      </c>
      <c r="G100">
        <f t="shared" si="100"/>
        <v>996</v>
      </c>
      <c r="I100" s="8">
        <f>IFERROR(__xludf.DUMMYFUNCTION("""COMPUTED_VALUE"""),45011.0)</f>
        <v>45011</v>
      </c>
      <c r="J100">
        <f t="shared" si="3"/>
        <v>38</v>
      </c>
    </row>
    <row r="101">
      <c r="A101" s="8">
        <f>IFERROR(__xludf.DUMMYFUNCTION("""COMPUTED_VALUE"""),45011.0)</f>
        <v>45011</v>
      </c>
      <c r="B101">
        <f>IFERROR(__xludf.DUMMYFUNCTION("""COMPUTED_VALUE"""),3.0)</f>
        <v>3</v>
      </c>
      <c r="C101">
        <f>IFERROR(__xludf.DUMMYFUNCTION("""COMPUTED_VALUE"""),1.0)</f>
        <v>1</v>
      </c>
      <c r="E101" s="8">
        <f>IFERROR(__xludf.DUMMYFUNCTION("""COMPUTED_VALUE"""),45011.0)</f>
        <v>45011</v>
      </c>
      <c r="F101">
        <f t="shared" ref="F101:G101" si="101">B101+F102</f>
        <v>1031</v>
      </c>
      <c r="G101">
        <f t="shared" si="101"/>
        <v>994</v>
      </c>
      <c r="I101" s="8">
        <f>IFERROR(__xludf.DUMMYFUNCTION("""COMPUTED_VALUE"""),45011.0)</f>
        <v>45011</v>
      </c>
      <c r="J101">
        <f t="shared" si="3"/>
        <v>37</v>
      </c>
    </row>
    <row r="102">
      <c r="A102" s="8">
        <f>IFERROR(__xludf.DUMMYFUNCTION("""COMPUTED_VALUE"""),45010.0)</f>
        <v>45010</v>
      </c>
      <c r="B102">
        <f>IFERROR(__xludf.DUMMYFUNCTION("""COMPUTED_VALUE"""),2.0)</f>
        <v>2</v>
      </c>
      <c r="C102">
        <f>IFERROR(__xludf.DUMMYFUNCTION("""COMPUTED_VALUE"""),3.0)</f>
        <v>3</v>
      </c>
      <c r="E102" s="8">
        <f>IFERROR(__xludf.DUMMYFUNCTION("""COMPUTED_VALUE"""),45010.0)</f>
        <v>45010</v>
      </c>
      <c r="F102">
        <f t="shared" ref="F102:G102" si="102">B102+F103</f>
        <v>1028</v>
      </c>
      <c r="G102">
        <f t="shared" si="102"/>
        <v>993</v>
      </c>
      <c r="I102" s="8">
        <f>IFERROR(__xludf.DUMMYFUNCTION("""COMPUTED_VALUE"""),45010.0)</f>
        <v>45010</v>
      </c>
      <c r="J102">
        <f t="shared" si="3"/>
        <v>35</v>
      </c>
    </row>
    <row r="103">
      <c r="A103" s="8">
        <f>IFERROR(__xludf.DUMMYFUNCTION("""COMPUTED_VALUE"""),45010.0)</f>
        <v>45010</v>
      </c>
      <c r="B103">
        <f>IFERROR(__xludf.DUMMYFUNCTION("""COMPUTED_VALUE"""),1.0)</f>
        <v>1</v>
      </c>
      <c r="C103">
        <f>IFERROR(__xludf.DUMMYFUNCTION("""COMPUTED_VALUE"""),3.0)</f>
        <v>3</v>
      </c>
      <c r="E103" s="8">
        <f>IFERROR(__xludf.DUMMYFUNCTION("""COMPUTED_VALUE"""),45010.0)</f>
        <v>45010</v>
      </c>
      <c r="F103">
        <f t="shared" ref="F103:G103" si="103">B103+F104</f>
        <v>1026</v>
      </c>
      <c r="G103">
        <f t="shared" si="103"/>
        <v>990</v>
      </c>
      <c r="I103" s="8">
        <f>IFERROR(__xludf.DUMMYFUNCTION("""COMPUTED_VALUE"""),45010.0)</f>
        <v>45010</v>
      </c>
      <c r="J103">
        <f t="shared" si="3"/>
        <v>36</v>
      </c>
    </row>
    <row r="104">
      <c r="A104" s="8">
        <f>IFERROR(__xludf.DUMMYFUNCTION("""COMPUTED_VALUE"""),44997.0)</f>
        <v>44997</v>
      </c>
      <c r="B104">
        <f>IFERROR(__xludf.DUMMYFUNCTION("""COMPUTED_VALUE"""),2.0)</f>
        <v>2</v>
      </c>
      <c r="C104">
        <f>IFERROR(__xludf.DUMMYFUNCTION("""COMPUTED_VALUE"""),1.0)</f>
        <v>1</v>
      </c>
      <c r="E104" s="8">
        <f>IFERROR(__xludf.DUMMYFUNCTION("""COMPUTED_VALUE"""),44997.0)</f>
        <v>44997</v>
      </c>
      <c r="F104">
        <f t="shared" ref="F104:G104" si="104">B104+F105</f>
        <v>1025</v>
      </c>
      <c r="G104">
        <f t="shared" si="104"/>
        <v>987</v>
      </c>
      <c r="I104" s="8">
        <f>IFERROR(__xludf.DUMMYFUNCTION("""COMPUTED_VALUE"""),44997.0)</f>
        <v>44997</v>
      </c>
      <c r="J104">
        <f t="shared" si="3"/>
        <v>38</v>
      </c>
    </row>
    <row r="105">
      <c r="A105" s="8">
        <f>IFERROR(__xludf.DUMMYFUNCTION("""COMPUTED_VALUE"""),44997.0)</f>
        <v>44997</v>
      </c>
      <c r="B105">
        <f>IFERROR(__xludf.DUMMYFUNCTION("""COMPUTED_VALUE"""),2.0)</f>
        <v>2</v>
      </c>
      <c r="C105">
        <f>IFERROR(__xludf.DUMMYFUNCTION("""COMPUTED_VALUE"""),1.0)</f>
        <v>1</v>
      </c>
      <c r="E105" s="8">
        <f>IFERROR(__xludf.DUMMYFUNCTION("""COMPUTED_VALUE"""),44997.0)</f>
        <v>44997</v>
      </c>
      <c r="F105">
        <f t="shared" ref="F105:G105" si="105">B105+F106</f>
        <v>1023</v>
      </c>
      <c r="G105">
        <f t="shared" si="105"/>
        <v>986</v>
      </c>
      <c r="I105" s="8">
        <f>IFERROR(__xludf.DUMMYFUNCTION("""COMPUTED_VALUE"""),44997.0)</f>
        <v>44997</v>
      </c>
      <c r="J105">
        <f t="shared" si="3"/>
        <v>37</v>
      </c>
    </row>
    <row r="106">
      <c r="A106" s="8">
        <f>IFERROR(__xludf.DUMMYFUNCTION("""COMPUTED_VALUE"""),44990.0)</f>
        <v>44990</v>
      </c>
      <c r="B106">
        <f>IFERROR(__xludf.DUMMYFUNCTION("""COMPUTED_VALUE"""),3.0)</f>
        <v>3</v>
      </c>
      <c r="C106">
        <f>IFERROR(__xludf.DUMMYFUNCTION("""COMPUTED_VALUE"""),1.0)</f>
        <v>1</v>
      </c>
      <c r="E106" s="8">
        <f>IFERROR(__xludf.DUMMYFUNCTION("""COMPUTED_VALUE"""),44990.0)</f>
        <v>44990</v>
      </c>
      <c r="F106">
        <f t="shared" ref="F106:G106" si="106">B106+F107</f>
        <v>1021</v>
      </c>
      <c r="G106">
        <f t="shared" si="106"/>
        <v>985</v>
      </c>
      <c r="I106" s="8">
        <f>IFERROR(__xludf.DUMMYFUNCTION("""COMPUTED_VALUE"""),44990.0)</f>
        <v>44990</v>
      </c>
      <c r="J106">
        <f t="shared" si="3"/>
        <v>36</v>
      </c>
    </row>
    <row r="107">
      <c r="A107" s="8">
        <f>IFERROR(__xludf.DUMMYFUNCTION("""COMPUTED_VALUE"""),44990.0)</f>
        <v>44990</v>
      </c>
      <c r="B107">
        <f>IFERROR(__xludf.DUMMYFUNCTION("""COMPUTED_VALUE"""),2.0)</f>
        <v>2</v>
      </c>
      <c r="C107">
        <f>IFERROR(__xludf.DUMMYFUNCTION("""COMPUTED_VALUE"""),1.0)</f>
        <v>1</v>
      </c>
      <c r="E107" s="8">
        <f>IFERROR(__xludf.DUMMYFUNCTION("""COMPUTED_VALUE"""),44990.0)</f>
        <v>44990</v>
      </c>
      <c r="F107">
        <f t="shared" ref="F107:G107" si="107">B107+F108</f>
        <v>1018</v>
      </c>
      <c r="G107">
        <f t="shared" si="107"/>
        <v>984</v>
      </c>
      <c r="I107" s="8">
        <f>IFERROR(__xludf.DUMMYFUNCTION("""COMPUTED_VALUE"""),44990.0)</f>
        <v>44990</v>
      </c>
      <c r="J107">
        <f t="shared" si="3"/>
        <v>34</v>
      </c>
    </row>
    <row r="108">
      <c r="A108" s="8">
        <f>IFERROR(__xludf.DUMMYFUNCTION("""COMPUTED_VALUE"""),44983.0)</f>
        <v>44983</v>
      </c>
      <c r="B108">
        <f>IFERROR(__xludf.DUMMYFUNCTION("""COMPUTED_VALUE"""),2.0)</f>
        <v>2</v>
      </c>
      <c r="C108">
        <f>IFERROR(__xludf.DUMMYFUNCTION("""COMPUTED_VALUE"""),1.0)</f>
        <v>1</v>
      </c>
      <c r="E108" s="8">
        <f>IFERROR(__xludf.DUMMYFUNCTION("""COMPUTED_VALUE"""),44983.0)</f>
        <v>44983</v>
      </c>
      <c r="F108">
        <f t="shared" ref="F108:G108" si="108">B108+F109</f>
        <v>1016</v>
      </c>
      <c r="G108">
        <f t="shared" si="108"/>
        <v>983</v>
      </c>
      <c r="I108" s="8">
        <f>IFERROR(__xludf.DUMMYFUNCTION("""COMPUTED_VALUE"""),44983.0)</f>
        <v>44983</v>
      </c>
      <c r="J108">
        <f t="shared" si="3"/>
        <v>33</v>
      </c>
    </row>
    <row r="109">
      <c r="A109" s="8">
        <f>IFERROR(__xludf.DUMMYFUNCTION("""COMPUTED_VALUE"""),44983.0)</f>
        <v>44983</v>
      </c>
      <c r="B109">
        <f>IFERROR(__xludf.DUMMYFUNCTION("""COMPUTED_VALUE"""),3.0)</f>
        <v>3</v>
      </c>
      <c r="C109">
        <f>IFERROR(__xludf.DUMMYFUNCTION("""COMPUTED_VALUE"""),1.0)</f>
        <v>1</v>
      </c>
      <c r="E109" s="8">
        <f>IFERROR(__xludf.DUMMYFUNCTION("""COMPUTED_VALUE"""),44983.0)</f>
        <v>44983</v>
      </c>
      <c r="F109">
        <f t="shared" ref="F109:G109" si="109">B109+F110</f>
        <v>1014</v>
      </c>
      <c r="G109">
        <f t="shared" si="109"/>
        <v>982</v>
      </c>
      <c r="I109" s="8">
        <f>IFERROR(__xludf.DUMMYFUNCTION("""COMPUTED_VALUE"""),44983.0)</f>
        <v>44983</v>
      </c>
      <c r="J109">
        <f t="shared" si="3"/>
        <v>32</v>
      </c>
    </row>
    <row r="110">
      <c r="A110" s="8">
        <f>IFERROR(__xludf.DUMMYFUNCTION("""COMPUTED_VALUE"""),44983.0)</f>
        <v>44983</v>
      </c>
      <c r="B110">
        <f>IFERROR(__xludf.DUMMYFUNCTION("""COMPUTED_VALUE"""),2.0)</f>
        <v>2</v>
      </c>
      <c r="C110">
        <f>IFERROR(__xludf.DUMMYFUNCTION("""COMPUTED_VALUE"""),3.0)</f>
        <v>3</v>
      </c>
      <c r="E110" s="8">
        <f>IFERROR(__xludf.DUMMYFUNCTION("""COMPUTED_VALUE"""),44983.0)</f>
        <v>44983</v>
      </c>
      <c r="F110">
        <f t="shared" ref="F110:G110" si="110">B110+F111</f>
        <v>1011</v>
      </c>
      <c r="G110">
        <f t="shared" si="110"/>
        <v>981</v>
      </c>
      <c r="I110" s="8">
        <f>IFERROR(__xludf.DUMMYFUNCTION("""COMPUTED_VALUE"""),44983.0)</f>
        <v>44983</v>
      </c>
      <c r="J110">
        <f t="shared" si="3"/>
        <v>30</v>
      </c>
    </row>
    <row r="111">
      <c r="A111" s="8">
        <f>IFERROR(__xludf.DUMMYFUNCTION("""COMPUTED_VALUE"""),44983.0)</f>
        <v>44983</v>
      </c>
      <c r="B111">
        <f>IFERROR(__xludf.DUMMYFUNCTION("""COMPUTED_VALUE"""),2.0)</f>
        <v>2</v>
      </c>
      <c r="C111">
        <f>IFERROR(__xludf.DUMMYFUNCTION("""COMPUTED_VALUE"""),1.0)</f>
        <v>1</v>
      </c>
      <c r="E111" s="8">
        <f>IFERROR(__xludf.DUMMYFUNCTION("""COMPUTED_VALUE"""),44983.0)</f>
        <v>44983</v>
      </c>
      <c r="F111">
        <f t="shared" ref="F111:G111" si="111">B111+F112</f>
        <v>1009</v>
      </c>
      <c r="G111">
        <f t="shared" si="111"/>
        <v>978</v>
      </c>
      <c r="I111" s="8">
        <f>IFERROR(__xludf.DUMMYFUNCTION("""COMPUTED_VALUE"""),44983.0)</f>
        <v>44983</v>
      </c>
      <c r="J111">
        <f t="shared" si="3"/>
        <v>31</v>
      </c>
    </row>
    <row r="112">
      <c r="A112" s="8">
        <f>IFERROR(__xludf.DUMMYFUNCTION("""COMPUTED_VALUE"""),44982.0)</f>
        <v>44982</v>
      </c>
      <c r="B112">
        <f>IFERROR(__xludf.DUMMYFUNCTION("""COMPUTED_VALUE"""),1.0)</f>
        <v>1</v>
      </c>
      <c r="C112">
        <f>IFERROR(__xludf.DUMMYFUNCTION("""COMPUTED_VALUE"""),3.0)</f>
        <v>3</v>
      </c>
      <c r="E112" s="8">
        <f>IFERROR(__xludf.DUMMYFUNCTION("""COMPUTED_VALUE"""),44982.0)</f>
        <v>44982</v>
      </c>
      <c r="F112">
        <f t="shared" ref="F112:G112" si="112">B112+F113</f>
        <v>1007</v>
      </c>
      <c r="G112">
        <f t="shared" si="112"/>
        <v>977</v>
      </c>
      <c r="I112" s="8">
        <f>IFERROR(__xludf.DUMMYFUNCTION("""COMPUTED_VALUE"""),44982.0)</f>
        <v>44982</v>
      </c>
      <c r="J112">
        <f t="shared" si="3"/>
        <v>30</v>
      </c>
    </row>
    <row r="113">
      <c r="A113" s="8">
        <f>IFERROR(__xludf.DUMMYFUNCTION("""COMPUTED_VALUE"""),44982.0)</f>
        <v>44982</v>
      </c>
      <c r="B113">
        <f>IFERROR(__xludf.DUMMYFUNCTION("""COMPUTED_VALUE"""),1.0)</f>
        <v>1</v>
      </c>
      <c r="C113">
        <f>IFERROR(__xludf.DUMMYFUNCTION("""COMPUTED_VALUE"""),3.0)</f>
        <v>3</v>
      </c>
      <c r="E113" s="8">
        <f>IFERROR(__xludf.DUMMYFUNCTION("""COMPUTED_VALUE"""),44982.0)</f>
        <v>44982</v>
      </c>
      <c r="F113">
        <f t="shared" ref="F113:G113" si="113">B113+F114</f>
        <v>1006</v>
      </c>
      <c r="G113">
        <f t="shared" si="113"/>
        <v>974</v>
      </c>
      <c r="I113" s="8">
        <f>IFERROR(__xludf.DUMMYFUNCTION("""COMPUTED_VALUE"""),44982.0)</f>
        <v>44982</v>
      </c>
      <c r="J113">
        <f t="shared" si="3"/>
        <v>32</v>
      </c>
    </row>
    <row r="114">
      <c r="A114" s="8">
        <f>IFERROR(__xludf.DUMMYFUNCTION("""COMPUTED_VALUE"""),44968.0)</f>
        <v>44968</v>
      </c>
      <c r="B114">
        <f>IFERROR(__xludf.DUMMYFUNCTION("""COMPUTED_VALUE"""),3.0)</f>
        <v>3</v>
      </c>
      <c r="C114">
        <f>IFERROR(__xludf.DUMMYFUNCTION("""COMPUTED_VALUE"""),1.0)</f>
        <v>1</v>
      </c>
      <c r="E114" s="8">
        <f>IFERROR(__xludf.DUMMYFUNCTION("""COMPUTED_VALUE"""),44968.0)</f>
        <v>44968</v>
      </c>
      <c r="F114">
        <f t="shared" ref="F114:G114" si="114">B114+F115</f>
        <v>1005</v>
      </c>
      <c r="G114">
        <f t="shared" si="114"/>
        <v>971</v>
      </c>
      <c r="I114" s="8">
        <f>IFERROR(__xludf.DUMMYFUNCTION("""COMPUTED_VALUE"""),44968.0)</f>
        <v>44968</v>
      </c>
      <c r="J114">
        <f t="shared" si="3"/>
        <v>34</v>
      </c>
    </row>
    <row r="115">
      <c r="A115" s="8">
        <f>IFERROR(__xludf.DUMMYFUNCTION("""COMPUTED_VALUE"""),44968.0)</f>
        <v>44968</v>
      </c>
      <c r="B115">
        <f>IFERROR(__xludf.DUMMYFUNCTION("""COMPUTED_VALUE"""),2.0)</f>
        <v>2</v>
      </c>
      <c r="C115">
        <f>IFERROR(__xludf.DUMMYFUNCTION("""COMPUTED_VALUE"""),1.0)</f>
        <v>1</v>
      </c>
      <c r="E115" s="8">
        <f>IFERROR(__xludf.DUMMYFUNCTION("""COMPUTED_VALUE"""),44968.0)</f>
        <v>44968</v>
      </c>
      <c r="F115">
        <f t="shared" ref="F115:G115" si="115">B115+F116</f>
        <v>1002</v>
      </c>
      <c r="G115">
        <f t="shared" si="115"/>
        <v>970</v>
      </c>
      <c r="I115" s="8">
        <f>IFERROR(__xludf.DUMMYFUNCTION("""COMPUTED_VALUE"""),44968.0)</f>
        <v>44968</v>
      </c>
      <c r="J115">
        <f t="shared" si="3"/>
        <v>32</v>
      </c>
    </row>
    <row r="116">
      <c r="A116" s="8">
        <f>IFERROR(__xludf.DUMMYFUNCTION("""COMPUTED_VALUE"""),44968.0)</f>
        <v>44968</v>
      </c>
      <c r="B116">
        <f>IFERROR(__xludf.DUMMYFUNCTION("""COMPUTED_VALUE"""),2.0)</f>
        <v>2</v>
      </c>
      <c r="C116">
        <f>IFERROR(__xludf.DUMMYFUNCTION("""COMPUTED_VALUE"""),1.0)</f>
        <v>1</v>
      </c>
      <c r="E116" s="8">
        <f>IFERROR(__xludf.DUMMYFUNCTION("""COMPUTED_VALUE"""),44968.0)</f>
        <v>44968</v>
      </c>
      <c r="F116">
        <f t="shared" ref="F116:G116" si="116">B116+F117</f>
        <v>1000</v>
      </c>
      <c r="G116">
        <f t="shared" si="116"/>
        <v>969</v>
      </c>
      <c r="I116" s="8">
        <f>IFERROR(__xludf.DUMMYFUNCTION("""COMPUTED_VALUE"""),44968.0)</f>
        <v>44968</v>
      </c>
      <c r="J116">
        <f t="shared" si="3"/>
        <v>31</v>
      </c>
    </row>
    <row r="117">
      <c r="A117" s="8">
        <f>IFERROR(__xludf.DUMMYFUNCTION("""COMPUTED_VALUE"""),44962.0)</f>
        <v>44962</v>
      </c>
      <c r="B117">
        <f>IFERROR(__xludf.DUMMYFUNCTION("""COMPUTED_VALUE"""),1.0)</f>
        <v>1</v>
      </c>
      <c r="C117">
        <f>IFERROR(__xludf.DUMMYFUNCTION("""COMPUTED_VALUE"""),2.0)</f>
        <v>2</v>
      </c>
      <c r="E117" s="8">
        <f>IFERROR(__xludf.DUMMYFUNCTION("""COMPUTED_VALUE"""),44962.0)</f>
        <v>44962</v>
      </c>
      <c r="F117">
        <f t="shared" ref="F117:G117" si="117">B117+F118</f>
        <v>998</v>
      </c>
      <c r="G117">
        <f t="shared" si="117"/>
        <v>968</v>
      </c>
      <c r="I117" s="8">
        <f>IFERROR(__xludf.DUMMYFUNCTION("""COMPUTED_VALUE"""),44962.0)</f>
        <v>44962</v>
      </c>
      <c r="J117">
        <f t="shared" si="3"/>
        <v>30</v>
      </c>
    </row>
    <row r="118">
      <c r="A118" s="8">
        <f>IFERROR(__xludf.DUMMYFUNCTION("""COMPUTED_VALUE"""),44948.0)</f>
        <v>44948</v>
      </c>
      <c r="B118">
        <f>IFERROR(__xludf.DUMMYFUNCTION("""COMPUTED_VALUE"""),3.0)</f>
        <v>3</v>
      </c>
      <c r="C118">
        <f>IFERROR(__xludf.DUMMYFUNCTION("""COMPUTED_VALUE"""),2.0)</f>
        <v>2</v>
      </c>
      <c r="E118" s="8">
        <f>IFERROR(__xludf.DUMMYFUNCTION("""COMPUTED_VALUE"""),44948.0)</f>
        <v>44948</v>
      </c>
      <c r="F118">
        <f t="shared" ref="F118:G118" si="118">B118+F119</f>
        <v>997</v>
      </c>
      <c r="G118">
        <f t="shared" si="118"/>
        <v>966</v>
      </c>
      <c r="I118" s="8">
        <f>IFERROR(__xludf.DUMMYFUNCTION("""COMPUTED_VALUE"""),44948.0)</f>
        <v>44948</v>
      </c>
      <c r="J118">
        <f t="shared" si="3"/>
        <v>31</v>
      </c>
    </row>
    <row r="119">
      <c r="A119" s="8">
        <f>IFERROR(__xludf.DUMMYFUNCTION("""COMPUTED_VALUE"""),44940.0)</f>
        <v>44940</v>
      </c>
      <c r="B119">
        <f>IFERROR(__xludf.DUMMYFUNCTION("""COMPUTED_VALUE"""),1.0)</f>
        <v>1</v>
      </c>
      <c r="C119">
        <f>IFERROR(__xludf.DUMMYFUNCTION("""COMPUTED_VALUE"""),2.0)</f>
        <v>2</v>
      </c>
      <c r="E119" s="8">
        <f>IFERROR(__xludf.DUMMYFUNCTION("""COMPUTED_VALUE"""),44940.0)</f>
        <v>44940</v>
      </c>
      <c r="F119">
        <f t="shared" ref="F119:G119" si="119">B119+F120</f>
        <v>994</v>
      </c>
      <c r="G119">
        <f t="shared" si="119"/>
        <v>964</v>
      </c>
      <c r="I119" s="8">
        <f>IFERROR(__xludf.DUMMYFUNCTION("""COMPUTED_VALUE"""),44940.0)</f>
        <v>44940</v>
      </c>
      <c r="J119">
        <f t="shared" si="3"/>
        <v>30</v>
      </c>
    </row>
    <row r="120">
      <c r="A120" s="8">
        <f>IFERROR(__xludf.DUMMYFUNCTION("""COMPUTED_VALUE"""),44940.0)</f>
        <v>44940</v>
      </c>
      <c r="B120">
        <f>IFERROR(__xludf.DUMMYFUNCTION("""COMPUTED_VALUE"""),2.0)</f>
        <v>2</v>
      </c>
      <c r="C120">
        <f>IFERROR(__xludf.DUMMYFUNCTION("""COMPUTED_VALUE"""),1.0)</f>
        <v>1</v>
      </c>
      <c r="E120" s="8">
        <f>IFERROR(__xludf.DUMMYFUNCTION("""COMPUTED_VALUE"""),44940.0)</f>
        <v>44940</v>
      </c>
      <c r="F120">
        <f t="shared" ref="F120:G120" si="120">B120+F121</f>
        <v>993</v>
      </c>
      <c r="G120">
        <f t="shared" si="120"/>
        <v>962</v>
      </c>
      <c r="I120" s="8">
        <f>IFERROR(__xludf.DUMMYFUNCTION("""COMPUTED_VALUE"""),44940.0)</f>
        <v>44940</v>
      </c>
      <c r="J120">
        <f t="shared" si="3"/>
        <v>31</v>
      </c>
    </row>
    <row r="121">
      <c r="A121" s="8">
        <f>IFERROR(__xludf.DUMMYFUNCTION("""COMPUTED_VALUE"""),44927.0)</f>
        <v>44927</v>
      </c>
      <c r="B121">
        <f>IFERROR(__xludf.DUMMYFUNCTION("""COMPUTED_VALUE"""),1.0)</f>
        <v>1</v>
      </c>
      <c r="C121">
        <f>IFERROR(__xludf.DUMMYFUNCTION("""COMPUTED_VALUE"""),2.0)</f>
        <v>2</v>
      </c>
      <c r="E121" s="8">
        <f>IFERROR(__xludf.DUMMYFUNCTION("""COMPUTED_VALUE"""),44927.0)</f>
        <v>44927</v>
      </c>
      <c r="F121">
        <f t="shared" ref="F121:G121" si="121">B121+F122</f>
        <v>991</v>
      </c>
      <c r="G121">
        <f t="shared" si="121"/>
        <v>961</v>
      </c>
      <c r="I121" s="8">
        <f>IFERROR(__xludf.DUMMYFUNCTION("""COMPUTED_VALUE"""),44927.0)</f>
        <v>44927</v>
      </c>
      <c r="J121">
        <f t="shared" si="3"/>
        <v>30</v>
      </c>
    </row>
    <row r="122">
      <c r="A122" s="8">
        <f>IFERROR(__xludf.DUMMYFUNCTION("""COMPUTED_VALUE"""),44905.0)</f>
        <v>44905</v>
      </c>
      <c r="B122">
        <f>IFERROR(__xludf.DUMMYFUNCTION("""COMPUTED_VALUE"""),1.0)</f>
        <v>1</v>
      </c>
      <c r="C122">
        <f>IFERROR(__xludf.DUMMYFUNCTION("""COMPUTED_VALUE"""),3.0)</f>
        <v>3</v>
      </c>
      <c r="E122" s="8">
        <f>IFERROR(__xludf.DUMMYFUNCTION("""COMPUTED_VALUE"""),44905.0)</f>
        <v>44905</v>
      </c>
      <c r="F122">
        <f t="shared" ref="F122:G122" si="122">B122+F123</f>
        <v>990</v>
      </c>
      <c r="G122">
        <f t="shared" si="122"/>
        <v>959</v>
      </c>
      <c r="I122" s="8">
        <f>IFERROR(__xludf.DUMMYFUNCTION("""COMPUTED_VALUE"""),44905.0)</f>
        <v>44905</v>
      </c>
      <c r="J122">
        <f t="shared" si="3"/>
        <v>31</v>
      </c>
    </row>
    <row r="123">
      <c r="A123" s="8">
        <f>IFERROR(__xludf.DUMMYFUNCTION("""COMPUTED_VALUE"""),44885.0)</f>
        <v>44885</v>
      </c>
      <c r="B123">
        <f>IFERROR(__xludf.DUMMYFUNCTION("""COMPUTED_VALUE"""),2.0)</f>
        <v>2</v>
      </c>
      <c r="C123">
        <f>IFERROR(__xludf.DUMMYFUNCTION("""COMPUTED_VALUE"""),1.0)</f>
        <v>1</v>
      </c>
      <c r="E123" s="8">
        <f>IFERROR(__xludf.DUMMYFUNCTION("""COMPUTED_VALUE"""),44885.0)</f>
        <v>44885</v>
      </c>
      <c r="F123">
        <f t="shared" ref="F123:G123" si="123">B123+F124</f>
        <v>989</v>
      </c>
      <c r="G123">
        <f t="shared" si="123"/>
        <v>956</v>
      </c>
      <c r="I123" s="8">
        <f>IFERROR(__xludf.DUMMYFUNCTION("""COMPUTED_VALUE"""),44885.0)</f>
        <v>44885</v>
      </c>
      <c r="J123">
        <f t="shared" si="3"/>
        <v>33</v>
      </c>
    </row>
    <row r="124">
      <c r="A124" s="8">
        <f>IFERROR(__xludf.DUMMYFUNCTION("""COMPUTED_VALUE"""),44843.0)</f>
        <v>44843</v>
      </c>
      <c r="B124">
        <f>IFERROR(__xludf.DUMMYFUNCTION("""COMPUTED_VALUE"""),2.0)</f>
        <v>2</v>
      </c>
      <c r="C124">
        <f>IFERROR(__xludf.DUMMYFUNCTION("""COMPUTED_VALUE"""),3.0)</f>
        <v>3</v>
      </c>
      <c r="E124" s="8">
        <f>IFERROR(__xludf.DUMMYFUNCTION("""COMPUTED_VALUE"""),44843.0)</f>
        <v>44843</v>
      </c>
      <c r="F124">
        <f t="shared" ref="F124:G124" si="124">B124+F125</f>
        <v>987</v>
      </c>
      <c r="G124">
        <f t="shared" si="124"/>
        <v>955</v>
      </c>
      <c r="I124" s="8">
        <f>IFERROR(__xludf.DUMMYFUNCTION("""COMPUTED_VALUE"""),44843.0)</f>
        <v>44843</v>
      </c>
      <c r="J124">
        <f t="shared" si="3"/>
        <v>32</v>
      </c>
    </row>
    <row r="125">
      <c r="A125" s="8">
        <f>IFERROR(__xludf.DUMMYFUNCTION("""COMPUTED_VALUE"""),44842.0)</f>
        <v>44842</v>
      </c>
      <c r="B125">
        <f>IFERROR(__xludf.DUMMYFUNCTION("""COMPUTED_VALUE"""),2.0)</f>
        <v>2</v>
      </c>
      <c r="C125">
        <f>IFERROR(__xludf.DUMMYFUNCTION("""COMPUTED_VALUE"""),3.0)</f>
        <v>3</v>
      </c>
      <c r="E125" s="8">
        <f>IFERROR(__xludf.DUMMYFUNCTION("""COMPUTED_VALUE"""),44842.0)</f>
        <v>44842</v>
      </c>
      <c r="F125">
        <f t="shared" ref="F125:G125" si="125">B125+F126</f>
        <v>985</v>
      </c>
      <c r="G125">
        <f t="shared" si="125"/>
        <v>952</v>
      </c>
      <c r="I125" s="8">
        <f>IFERROR(__xludf.DUMMYFUNCTION("""COMPUTED_VALUE"""),44842.0)</f>
        <v>44842</v>
      </c>
      <c r="J125">
        <f t="shared" si="3"/>
        <v>33</v>
      </c>
    </row>
    <row r="126">
      <c r="A126" s="8">
        <f>IFERROR(__xludf.DUMMYFUNCTION("""COMPUTED_VALUE"""),44814.0)</f>
        <v>44814</v>
      </c>
      <c r="B126">
        <f>IFERROR(__xludf.DUMMYFUNCTION("""COMPUTED_VALUE"""),1.0)</f>
        <v>1</v>
      </c>
      <c r="C126">
        <f>IFERROR(__xludf.DUMMYFUNCTION("""COMPUTED_VALUE"""),2.0)</f>
        <v>2</v>
      </c>
      <c r="E126" s="8">
        <f>IFERROR(__xludf.DUMMYFUNCTION("""COMPUTED_VALUE"""),44814.0)</f>
        <v>44814</v>
      </c>
      <c r="F126">
        <f t="shared" ref="F126:G126" si="126">B126+F127</f>
        <v>983</v>
      </c>
      <c r="G126">
        <f t="shared" si="126"/>
        <v>949</v>
      </c>
      <c r="I126" s="8">
        <f>IFERROR(__xludf.DUMMYFUNCTION("""COMPUTED_VALUE"""),44814.0)</f>
        <v>44814</v>
      </c>
      <c r="J126">
        <f t="shared" si="3"/>
        <v>34</v>
      </c>
    </row>
    <row r="127">
      <c r="A127" s="8">
        <f>IFERROR(__xludf.DUMMYFUNCTION("""COMPUTED_VALUE"""),44772.0)</f>
        <v>44772</v>
      </c>
      <c r="B127">
        <f>IFERROR(__xludf.DUMMYFUNCTION("""COMPUTED_VALUE"""),4.0)</f>
        <v>4</v>
      </c>
      <c r="C127">
        <f>IFERROR(__xludf.DUMMYFUNCTION("""COMPUTED_VALUE"""),3.0)</f>
        <v>3</v>
      </c>
      <c r="E127" s="8">
        <f>IFERROR(__xludf.DUMMYFUNCTION("""COMPUTED_VALUE"""),44772.0)</f>
        <v>44772</v>
      </c>
      <c r="F127">
        <f t="shared" ref="F127:G127" si="127">B127+F128</f>
        <v>982</v>
      </c>
      <c r="G127">
        <f t="shared" si="127"/>
        <v>947</v>
      </c>
      <c r="I127" s="8">
        <f>IFERROR(__xludf.DUMMYFUNCTION("""COMPUTED_VALUE"""),44772.0)</f>
        <v>44772</v>
      </c>
      <c r="J127">
        <f t="shared" si="3"/>
        <v>35</v>
      </c>
    </row>
    <row r="128">
      <c r="A128" s="8">
        <f>IFERROR(__xludf.DUMMYFUNCTION("""COMPUTED_VALUE"""),44759.0)</f>
        <v>44759</v>
      </c>
      <c r="B128">
        <f>IFERROR(__xludf.DUMMYFUNCTION("""COMPUTED_VALUE"""),2.0)</f>
        <v>2</v>
      </c>
      <c r="C128">
        <f>IFERROR(__xludf.DUMMYFUNCTION("""COMPUTED_VALUE"""),2.0)</f>
        <v>2</v>
      </c>
      <c r="E128" s="8">
        <f>IFERROR(__xludf.DUMMYFUNCTION("""COMPUTED_VALUE"""),44759.0)</f>
        <v>44759</v>
      </c>
      <c r="F128">
        <f t="shared" ref="F128:G128" si="128">B128+F129</f>
        <v>978</v>
      </c>
      <c r="G128">
        <f t="shared" si="128"/>
        <v>944</v>
      </c>
      <c r="I128" s="8">
        <f>IFERROR(__xludf.DUMMYFUNCTION("""COMPUTED_VALUE"""),44759.0)</f>
        <v>44759</v>
      </c>
      <c r="J128">
        <f t="shared" si="3"/>
        <v>34</v>
      </c>
    </row>
    <row r="129">
      <c r="A129" s="8">
        <f>IFERROR(__xludf.DUMMYFUNCTION("""COMPUTED_VALUE"""),44759.0)</f>
        <v>44759</v>
      </c>
      <c r="B129">
        <f>IFERROR(__xludf.DUMMYFUNCTION("""COMPUTED_VALUE"""),3.0)</f>
        <v>3</v>
      </c>
      <c r="C129">
        <f>IFERROR(__xludf.DUMMYFUNCTION("""COMPUTED_VALUE"""),1.0)</f>
        <v>1</v>
      </c>
      <c r="E129" s="8">
        <f>IFERROR(__xludf.DUMMYFUNCTION("""COMPUTED_VALUE"""),44759.0)</f>
        <v>44759</v>
      </c>
      <c r="F129">
        <f t="shared" ref="F129:G129" si="129">B129+F130</f>
        <v>976</v>
      </c>
      <c r="G129">
        <f t="shared" si="129"/>
        <v>942</v>
      </c>
      <c r="I129" s="8">
        <f>IFERROR(__xludf.DUMMYFUNCTION("""COMPUTED_VALUE"""),44759.0)</f>
        <v>44759</v>
      </c>
      <c r="J129">
        <f t="shared" si="3"/>
        <v>34</v>
      </c>
    </row>
    <row r="130">
      <c r="A130" s="8">
        <f>IFERROR(__xludf.DUMMYFUNCTION("""COMPUTED_VALUE"""),44758.0)</f>
        <v>44758</v>
      </c>
      <c r="B130">
        <f>IFERROR(__xludf.DUMMYFUNCTION("""COMPUTED_VALUE"""),2.0)</f>
        <v>2</v>
      </c>
      <c r="C130">
        <f>IFERROR(__xludf.DUMMYFUNCTION("""COMPUTED_VALUE"""),1.0)</f>
        <v>1</v>
      </c>
      <c r="E130" s="8">
        <f>IFERROR(__xludf.DUMMYFUNCTION("""COMPUTED_VALUE"""),44758.0)</f>
        <v>44758</v>
      </c>
      <c r="F130">
        <f t="shared" ref="F130:G130" si="130">B130+F131</f>
        <v>973</v>
      </c>
      <c r="G130">
        <f t="shared" si="130"/>
        <v>941</v>
      </c>
      <c r="I130" s="8">
        <f>IFERROR(__xludf.DUMMYFUNCTION("""COMPUTED_VALUE"""),44758.0)</f>
        <v>44758</v>
      </c>
      <c r="J130">
        <f t="shared" si="3"/>
        <v>32</v>
      </c>
    </row>
    <row r="131">
      <c r="A131" s="8">
        <f>IFERROR(__xludf.DUMMYFUNCTION("""COMPUTED_VALUE"""),44758.0)</f>
        <v>44758</v>
      </c>
      <c r="B131">
        <f>IFERROR(__xludf.DUMMYFUNCTION("""COMPUTED_VALUE"""),1.0)</f>
        <v>1</v>
      </c>
      <c r="C131">
        <f>IFERROR(__xludf.DUMMYFUNCTION("""COMPUTED_VALUE"""),2.0)</f>
        <v>2</v>
      </c>
      <c r="E131" s="8">
        <f>IFERROR(__xludf.DUMMYFUNCTION("""COMPUTED_VALUE"""),44758.0)</f>
        <v>44758</v>
      </c>
      <c r="F131">
        <f t="shared" ref="F131:G131" si="131">B131+F132</f>
        <v>971</v>
      </c>
      <c r="G131">
        <f t="shared" si="131"/>
        <v>940</v>
      </c>
      <c r="I131" s="8">
        <f>IFERROR(__xludf.DUMMYFUNCTION("""COMPUTED_VALUE"""),44758.0)</f>
        <v>44758</v>
      </c>
      <c r="J131">
        <f t="shared" si="3"/>
        <v>31</v>
      </c>
    </row>
    <row r="132">
      <c r="A132" s="8">
        <f>IFERROR(__xludf.DUMMYFUNCTION("""COMPUTED_VALUE"""),44758.0)</f>
        <v>44758</v>
      </c>
      <c r="B132">
        <f>IFERROR(__xludf.DUMMYFUNCTION("""COMPUTED_VALUE"""),3.0)</f>
        <v>3</v>
      </c>
      <c r="C132">
        <f>IFERROR(__xludf.DUMMYFUNCTION("""COMPUTED_VALUE"""),2.0)</f>
        <v>2</v>
      </c>
      <c r="E132" s="8">
        <f>IFERROR(__xludf.DUMMYFUNCTION("""COMPUTED_VALUE"""),44758.0)</f>
        <v>44758</v>
      </c>
      <c r="F132">
        <f t="shared" ref="F132:G132" si="132">B132+F133</f>
        <v>970</v>
      </c>
      <c r="G132">
        <f t="shared" si="132"/>
        <v>938</v>
      </c>
      <c r="I132" s="8">
        <f>IFERROR(__xludf.DUMMYFUNCTION("""COMPUTED_VALUE"""),44758.0)</f>
        <v>44758</v>
      </c>
      <c r="J132">
        <f t="shared" si="3"/>
        <v>32</v>
      </c>
    </row>
    <row r="133">
      <c r="A133" s="8">
        <f>IFERROR(__xludf.DUMMYFUNCTION("""COMPUTED_VALUE"""),44758.0)</f>
        <v>44758</v>
      </c>
      <c r="B133">
        <f>IFERROR(__xludf.DUMMYFUNCTION("""COMPUTED_VALUE"""),3.0)</f>
        <v>3</v>
      </c>
      <c r="C133">
        <f>IFERROR(__xludf.DUMMYFUNCTION("""COMPUTED_VALUE"""),1.0)</f>
        <v>1</v>
      </c>
      <c r="E133" s="8">
        <f>IFERROR(__xludf.DUMMYFUNCTION("""COMPUTED_VALUE"""),44758.0)</f>
        <v>44758</v>
      </c>
      <c r="F133">
        <f t="shared" ref="F133:G133" si="133">B133+F134</f>
        <v>967</v>
      </c>
      <c r="G133">
        <f t="shared" si="133"/>
        <v>936</v>
      </c>
      <c r="I133" s="8">
        <f>IFERROR(__xludf.DUMMYFUNCTION("""COMPUTED_VALUE"""),44758.0)</f>
        <v>44758</v>
      </c>
      <c r="J133">
        <f t="shared" si="3"/>
        <v>31</v>
      </c>
    </row>
    <row r="134">
      <c r="A134" s="8">
        <f>IFERROR(__xludf.DUMMYFUNCTION("""COMPUTED_VALUE"""),44751.0)</f>
        <v>44751</v>
      </c>
      <c r="B134">
        <f>IFERROR(__xludf.DUMMYFUNCTION("""COMPUTED_VALUE"""),3.0)</f>
        <v>3</v>
      </c>
      <c r="C134">
        <f>IFERROR(__xludf.DUMMYFUNCTION("""COMPUTED_VALUE"""),1.0)</f>
        <v>1</v>
      </c>
      <c r="E134" s="8">
        <f>IFERROR(__xludf.DUMMYFUNCTION("""COMPUTED_VALUE"""),44751.0)</f>
        <v>44751</v>
      </c>
      <c r="F134">
        <f t="shared" ref="F134:G134" si="134">B134+F135</f>
        <v>964</v>
      </c>
      <c r="G134">
        <f t="shared" si="134"/>
        <v>935</v>
      </c>
      <c r="I134" s="8">
        <f>IFERROR(__xludf.DUMMYFUNCTION("""COMPUTED_VALUE"""),44751.0)</f>
        <v>44751</v>
      </c>
      <c r="J134">
        <f t="shared" si="3"/>
        <v>29</v>
      </c>
    </row>
    <row r="135">
      <c r="A135" s="8">
        <f>IFERROR(__xludf.DUMMYFUNCTION("""COMPUTED_VALUE"""),44751.0)</f>
        <v>44751</v>
      </c>
      <c r="B135">
        <f>IFERROR(__xludf.DUMMYFUNCTION("""COMPUTED_VALUE"""),2.0)</f>
        <v>2</v>
      </c>
      <c r="C135">
        <f>IFERROR(__xludf.DUMMYFUNCTION("""COMPUTED_VALUE"""),3.0)</f>
        <v>3</v>
      </c>
      <c r="E135" s="8">
        <f>IFERROR(__xludf.DUMMYFUNCTION("""COMPUTED_VALUE"""),44751.0)</f>
        <v>44751</v>
      </c>
      <c r="F135">
        <f t="shared" ref="F135:G135" si="135">B135+F136</f>
        <v>961</v>
      </c>
      <c r="G135">
        <f t="shared" si="135"/>
        <v>934</v>
      </c>
      <c r="I135" s="8">
        <f>IFERROR(__xludf.DUMMYFUNCTION("""COMPUTED_VALUE"""),44751.0)</f>
        <v>44751</v>
      </c>
      <c r="J135">
        <f t="shared" si="3"/>
        <v>27</v>
      </c>
    </row>
    <row r="136">
      <c r="A136" s="8">
        <f>IFERROR(__xludf.DUMMYFUNCTION("""COMPUTED_VALUE"""),44751.0)</f>
        <v>44751</v>
      </c>
      <c r="B136">
        <f>IFERROR(__xludf.DUMMYFUNCTION("""COMPUTED_VALUE"""),1.0)</f>
        <v>1</v>
      </c>
      <c r="C136">
        <f>IFERROR(__xludf.DUMMYFUNCTION("""COMPUTED_VALUE"""),2.0)</f>
        <v>2</v>
      </c>
      <c r="E136" s="8">
        <f>IFERROR(__xludf.DUMMYFUNCTION("""COMPUTED_VALUE"""),44751.0)</f>
        <v>44751</v>
      </c>
      <c r="F136">
        <f t="shared" ref="F136:G136" si="136">B136+F137</f>
        <v>959</v>
      </c>
      <c r="G136">
        <f t="shared" si="136"/>
        <v>931</v>
      </c>
      <c r="I136" s="8">
        <f>IFERROR(__xludf.DUMMYFUNCTION("""COMPUTED_VALUE"""),44751.0)</f>
        <v>44751</v>
      </c>
      <c r="J136">
        <f t="shared" si="3"/>
        <v>28</v>
      </c>
    </row>
    <row r="137">
      <c r="A137" s="8">
        <f>IFERROR(__xludf.DUMMYFUNCTION("""COMPUTED_VALUE"""),44709.0)</f>
        <v>44709</v>
      </c>
      <c r="B137">
        <f>IFERROR(__xludf.DUMMYFUNCTION("""COMPUTED_VALUE"""),2.0)</f>
        <v>2</v>
      </c>
      <c r="C137">
        <f>IFERROR(__xludf.DUMMYFUNCTION("""COMPUTED_VALUE"""),1.0)</f>
        <v>1</v>
      </c>
      <c r="E137" s="8">
        <f>IFERROR(__xludf.DUMMYFUNCTION("""COMPUTED_VALUE"""),44709.0)</f>
        <v>44709</v>
      </c>
      <c r="F137">
        <f t="shared" ref="F137:G137" si="137">B137+F138</f>
        <v>958</v>
      </c>
      <c r="G137">
        <f t="shared" si="137"/>
        <v>929</v>
      </c>
      <c r="I137" s="8">
        <f>IFERROR(__xludf.DUMMYFUNCTION("""COMPUTED_VALUE"""),44709.0)</f>
        <v>44709</v>
      </c>
      <c r="J137">
        <f t="shared" si="3"/>
        <v>29</v>
      </c>
    </row>
    <row r="138">
      <c r="A138" s="8">
        <f>IFERROR(__xludf.DUMMYFUNCTION("""COMPUTED_VALUE"""),44709.0)</f>
        <v>44709</v>
      </c>
      <c r="B138">
        <f>IFERROR(__xludf.DUMMYFUNCTION("""COMPUTED_VALUE"""),1.0)</f>
        <v>1</v>
      </c>
      <c r="C138">
        <f>IFERROR(__xludf.DUMMYFUNCTION("""COMPUTED_VALUE"""),2.0)</f>
        <v>2</v>
      </c>
      <c r="E138" s="8">
        <f>IFERROR(__xludf.DUMMYFUNCTION("""COMPUTED_VALUE"""),44709.0)</f>
        <v>44709</v>
      </c>
      <c r="F138">
        <f t="shared" ref="F138:G138" si="138">B138+F139</f>
        <v>956</v>
      </c>
      <c r="G138">
        <f t="shared" si="138"/>
        <v>928</v>
      </c>
      <c r="I138" s="8">
        <f>IFERROR(__xludf.DUMMYFUNCTION("""COMPUTED_VALUE"""),44709.0)</f>
        <v>44709</v>
      </c>
      <c r="J138">
        <f t="shared" si="3"/>
        <v>28</v>
      </c>
    </row>
    <row r="139">
      <c r="A139" s="8">
        <f>IFERROR(__xludf.DUMMYFUNCTION("""COMPUTED_VALUE"""),44709.0)</f>
        <v>44709</v>
      </c>
      <c r="B139">
        <f>IFERROR(__xludf.DUMMYFUNCTION("""COMPUTED_VALUE"""),2.0)</f>
        <v>2</v>
      </c>
      <c r="C139">
        <f>IFERROR(__xludf.DUMMYFUNCTION("""COMPUTED_VALUE"""),1.0)</f>
        <v>1</v>
      </c>
      <c r="E139" s="8">
        <f>IFERROR(__xludf.DUMMYFUNCTION("""COMPUTED_VALUE"""),44709.0)</f>
        <v>44709</v>
      </c>
      <c r="F139">
        <f t="shared" ref="F139:G139" si="139">B139+F140</f>
        <v>955</v>
      </c>
      <c r="G139">
        <f t="shared" si="139"/>
        <v>926</v>
      </c>
      <c r="I139" s="8">
        <f>IFERROR(__xludf.DUMMYFUNCTION("""COMPUTED_VALUE"""),44709.0)</f>
        <v>44709</v>
      </c>
      <c r="J139">
        <f t="shared" si="3"/>
        <v>29</v>
      </c>
    </row>
    <row r="140">
      <c r="A140" s="8">
        <f>IFERROR(__xludf.DUMMYFUNCTION("""COMPUTED_VALUE"""),44709.0)</f>
        <v>44709</v>
      </c>
      <c r="B140">
        <f>IFERROR(__xludf.DUMMYFUNCTION("""COMPUTED_VALUE"""),1.0)</f>
        <v>1</v>
      </c>
      <c r="C140">
        <f>IFERROR(__xludf.DUMMYFUNCTION("""COMPUTED_VALUE"""),2.0)</f>
        <v>2</v>
      </c>
      <c r="E140" s="8">
        <f>IFERROR(__xludf.DUMMYFUNCTION("""COMPUTED_VALUE"""),44709.0)</f>
        <v>44709</v>
      </c>
      <c r="F140">
        <f t="shared" ref="F140:G140" si="140">B140+F141</f>
        <v>953</v>
      </c>
      <c r="G140">
        <f t="shared" si="140"/>
        <v>925</v>
      </c>
      <c r="I140" s="8">
        <f>IFERROR(__xludf.DUMMYFUNCTION("""COMPUTED_VALUE"""),44709.0)</f>
        <v>44709</v>
      </c>
      <c r="J140">
        <f t="shared" si="3"/>
        <v>28</v>
      </c>
    </row>
    <row r="141">
      <c r="A141" s="8">
        <f>IFERROR(__xludf.DUMMYFUNCTION("""COMPUTED_VALUE"""),44688.0)</f>
        <v>44688</v>
      </c>
      <c r="B141">
        <f>IFERROR(__xludf.DUMMYFUNCTION("""COMPUTED_VALUE"""),1.0)</f>
        <v>1</v>
      </c>
      <c r="C141">
        <f>IFERROR(__xludf.DUMMYFUNCTION("""COMPUTED_VALUE"""),3.0)</f>
        <v>3</v>
      </c>
      <c r="E141" s="8">
        <f>IFERROR(__xludf.DUMMYFUNCTION("""COMPUTED_VALUE"""),44688.0)</f>
        <v>44688</v>
      </c>
      <c r="F141">
        <f t="shared" ref="F141:G141" si="141">B141+F142</f>
        <v>952</v>
      </c>
      <c r="G141">
        <f t="shared" si="141"/>
        <v>923</v>
      </c>
      <c r="I141" s="8">
        <f>IFERROR(__xludf.DUMMYFUNCTION("""COMPUTED_VALUE"""),44688.0)</f>
        <v>44688</v>
      </c>
      <c r="J141">
        <f t="shared" si="3"/>
        <v>29</v>
      </c>
    </row>
    <row r="142">
      <c r="A142" s="8">
        <f>IFERROR(__xludf.DUMMYFUNCTION("""COMPUTED_VALUE"""),44682.0)</f>
        <v>44682</v>
      </c>
      <c r="B142">
        <f>IFERROR(__xludf.DUMMYFUNCTION("""COMPUTED_VALUE"""),3.0)</f>
        <v>3</v>
      </c>
      <c r="C142">
        <f>IFERROR(__xludf.DUMMYFUNCTION("""COMPUTED_VALUE"""),2.0)</f>
        <v>2</v>
      </c>
      <c r="E142" s="8">
        <f>IFERROR(__xludf.DUMMYFUNCTION("""COMPUTED_VALUE"""),44682.0)</f>
        <v>44682</v>
      </c>
      <c r="F142">
        <f t="shared" ref="F142:G142" si="142">B142+F143</f>
        <v>951</v>
      </c>
      <c r="G142">
        <f t="shared" si="142"/>
        <v>920</v>
      </c>
      <c r="I142" s="8">
        <f>IFERROR(__xludf.DUMMYFUNCTION("""COMPUTED_VALUE"""),44682.0)</f>
        <v>44682</v>
      </c>
      <c r="J142">
        <f t="shared" si="3"/>
        <v>31</v>
      </c>
    </row>
    <row r="143">
      <c r="A143" s="8">
        <f>IFERROR(__xludf.DUMMYFUNCTION("""COMPUTED_VALUE"""),44682.0)</f>
        <v>44682</v>
      </c>
      <c r="B143">
        <f>IFERROR(__xludf.DUMMYFUNCTION("""COMPUTED_VALUE"""),2.0)</f>
        <v>2</v>
      </c>
      <c r="C143">
        <f>IFERROR(__xludf.DUMMYFUNCTION("""COMPUTED_VALUE"""),3.0)</f>
        <v>3</v>
      </c>
      <c r="E143" s="8">
        <f>IFERROR(__xludf.DUMMYFUNCTION("""COMPUTED_VALUE"""),44682.0)</f>
        <v>44682</v>
      </c>
      <c r="F143">
        <f t="shared" ref="F143:G143" si="143">B143+F144</f>
        <v>948</v>
      </c>
      <c r="G143">
        <f t="shared" si="143"/>
        <v>918</v>
      </c>
      <c r="I143" s="8">
        <f>IFERROR(__xludf.DUMMYFUNCTION("""COMPUTED_VALUE"""),44682.0)</f>
        <v>44682</v>
      </c>
      <c r="J143">
        <f t="shared" si="3"/>
        <v>30</v>
      </c>
    </row>
    <row r="144">
      <c r="A144" s="8">
        <f>IFERROR(__xludf.DUMMYFUNCTION("""COMPUTED_VALUE"""),44661.0)</f>
        <v>44661</v>
      </c>
      <c r="B144">
        <f>IFERROR(__xludf.DUMMYFUNCTION("""COMPUTED_VALUE"""),3.0)</f>
        <v>3</v>
      </c>
      <c r="C144">
        <f>IFERROR(__xludf.DUMMYFUNCTION("""COMPUTED_VALUE"""),1.0)</f>
        <v>1</v>
      </c>
      <c r="E144" s="8">
        <f>IFERROR(__xludf.DUMMYFUNCTION("""COMPUTED_VALUE"""),44661.0)</f>
        <v>44661</v>
      </c>
      <c r="F144">
        <f t="shared" ref="F144:G144" si="144">B144+F145</f>
        <v>946</v>
      </c>
      <c r="G144">
        <f t="shared" si="144"/>
        <v>915</v>
      </c>
      <c r="I144" s="8">
        <f>IFERROR(__xludf.DUMMYFUNCTION("""COMPUTED_VALUE"""),44661.0)</f>
        <v>44661</v>
      </c>
      <c r="J144">
        <f t="shared" si="3"/>
        <v>31</v>
      </c>
    </row>
    <row r="145">
      <c r="A145" s="8">
        <f>IFERROR(__xludf.DUMMYFUNCTION("""COMPUTED_VALUE"""),44660.0)</f>
        <v>44660</v>
      </c>
      <c r="B145">
        <f>IFERROR(__xludf.DUMMYFUNCTION("""COMPUTED_VALUE"""),3.0)</f>
        <v>3</v>
      </c>
      <c r="C145">
        <f>IFERROR(__xludf.DUMMYFUNCTION("""COMPUTED_VALUE"""),1.0)</f>
        <v>1</v>
      </c>
      <c r="E145" s="8">
        <f>IFERROR(__xludf.DUMMYFUNCTION("""COMPUTED_VALUE"""),44660.0)</f>
        <v>44660</v>
      </c>
      <c r="F145">
        <f t="shared" ref="F145:G145" si="145">B145+F146</f>
        <v>943</v>
      </c>
      <c r="G145">
        <f t="shared" si="145"/>
        <v>914</v>
      </c>
      <c r="I145" s="8">
        <f>IFERROR(__xludf.DUMMYFUNCTION("""COMPUTED_VALUE"""),44660.0)</f>
        <v>44660</v>
      </c>
      <c r="J145">
        <f t="shared" si="3"/>
        <v>29</v>
      </c>
    </row>
    <row r="146">
      <c r="A146" s="8">
        <f>IFERROR(__xludf.DUMMYFUNCTION("""COMPUTED_VALUE"""),44660.0)</f>
        <v>44660</v>
      </c>
      <c r="B146">
        <f>IFERROR(__xludf.DUMMYFUNCTION("""COMPUTED_VALUE"""),2.0)</f>
        <v>2</v>
      </c>
      <c r="C146">
        <f>IFERROR(__xludf.DUMMYFUNCTION("""COMPUTED_VALUE"""),1.0)</f>
        <v>1</v>
      </c>
      <c r="E146" s="8">
        <f>IFERROR(__xludf.DUMMYFUNCTION("""COMPUTED_VALUE"""),44660.0)</f>
        <v>44660</v>
      </c>
      <c r="F146">
        <f t="shared" ref="F146:G146" si="146">B146+F147</f>
        <v>940</v>
      </c>
      <c r="G146">
        <f t="shared" si="146"/>
        <v>913</v>
      </c>
      <c r="I146" s="8">
        <f>IFERROR(__xludf.DUMMYFUNCTION("""COMPUTED_VALUE"""),44660.0)</f>
        <v>44660</v>
      </c>
      <c r="J146">
        <f t="shared" si="3"/>
        <v>27</v>
      </c>
    </row>
    <row r="147">
      <c r="A147" s="8">
        <f>IFERROR(__xludf.DUMMYFUNCTION("""COMPUTED_VALUE"""),44654.0)</f>
        <v>44654</v>
      </c>
      <c r="B147">
        <f>IFERROR(__xludf.DUMMYFUNCTION("""COMPUTED_VALUE"""),1.0)</f>
        <v>1</v>
      </c>
      <c r="C147">
        <f>IFERROR(__xludf.DUMMYFUNCTION("""COMPUTED_VALUE"""),3.0)</f>
        <v>3</v>
      </c>
      <c r="E147" s="8">
        <f>IFERROR(__xludf.DUMMYFUNCTION("""COMPUTED_VALUE"""),44654.0)</f>
        <v>44654</v>
      </c>
      <c r="F147">
        <f t="shared" ref="F147:G147" si="147">B147+F148</f>
        <v>938</v>
      </c>
      <c r="G147">
        <f t="shared" si="147"/>
        <v>912</v>
      </c>
      <c r="I147" s="8">
        <f>IFERROR(__xludf.DUMMYFUNCTION("""COMPUTED_VALUE"""),44654.0)</f>
        <v>44654</v>
      </c>
      <c r="J147">
        <f t="shared" si="3"/>
        <v>26</v>
      </c>
    </row>
    <row r="148">
      <c r="A148" s="8">
        <f>IFERROR(__xludf.DUMMYFUNCTION("""COMPUTED_VALUE"""),44654.0)</f>
        <v>44654</v>
      </c>
      <c r="B148">
        <f>IFERROR(__xludf.DUMMYFUNCTION("""COMPUTED_VALUE"""),1.0)</f>
        <v>1</v>
      </c>
      <c r="C148">
        <f>IFERROR(__xludf.DUMMYFUNCTION("""COMPUTED_VALUE"""),3.0)</f>
        <v>3</v>
      </c>
      <c r="E148" s="8">
        <f>IFERROR(__xludf.DUMMYFUNCTION("""COMPUTED_VALUE"""),44654.0)</f>
        <v>44654</v>
      </c>
      <c r="F148">
        <f t="shared" ref="F148:G148" si="148">B148+F149</f>
        <v>937</v>
      </c>
      <c r="G148">
        <f t="shared" si="148"/>
        <v>909</v>
      </c>
      <c r="I148" s="8">
        <f>IFERROR(__xludf.DUMMYFUNCTION("""COMPUTED_VALUE"""),44654.0)</f>
        <v>44654</v>
      </c>
      <c r="J148">
        <f t="shared" si="3"/>
        <v>28</v>
      </c>
    </row>
    <row r="149">
      <c r="A149" s="8">
        <f>IFERROR(__xludf.DUMMYFUNCTION("""COMPUTED_VALUE"""),44646.0)</f>
        <v>44646</v>
      </c>
      <c r="B149">
        <f>IFERROR(__xludf.DUMMYFUNCTION("""COMPUTED_VALUE"""),3.0)</f>
        <v>3</v>
      </c>
      <c r="C149">
        <f>IFERROR(__xludf.DUMMYFUNCTION("""COMPUTED_VALUE"""),1.0)</f>
        <v>1</v>
      </c>
      <c r="E149" s="8">
        <f>IFERROR(__xludf.DUMMYFUNCTION("""COMPUTED_VALUE"""),44646.0)</f>
        <v>44646</v>
      </c>
      <c r="F149">
        <f t="shared" ref="F149:G149" si="149">B149+F150</f>
        <v>936</v>
      </c>
      <c r="G149">
        <f t="shared" si="149"/>
        <v>906</v>
      </c>
      <c r="I149" s="8">
        <f>IFERROR(__xludf.DUMMYFUNCTION("""COMPUTED_VALUE"""),44646.0)</f>
        <v>44646</v>
      </c>
      <c r="J149">
        <f t="shared" si="3"/>
        <v>30</v>
      </c>
    </row>
    <row r="150">
      <c r="A150" s="8">
        <f>IFERROR(__xludf.DUMMYFUNCTION("""COMPUTED_VALUE"""),44646.0)</f>
        <v>44646</v>
      </c>
      <c r="B150">
        <f>IFERROR(__xludf.DUMMYFUNCTION("""COMPUTED_VALUE"""),3.0)</f>
        <v>3</v>
      </c>
      <c r="C150">
        <f>IFERROR(__xludf.DUMMYFUNCTION("""COMPUTED_VALUE"""),2.0)</f>
        <v>2</v>
      </c>
      <c r="E150" s="8">
        <f>IFERROR(__xludf.DUMMYFUNCTION("""COMPUTED_VALUE"""),44646.0)</f>
        <v>44646</v>
      </c>
      <c r="F150">
        <f t="shared" ref="F150:G150" si="150">B150+F151</f>
        <v>933</v>
      </c>
      <c r="G150">
        <f t="shared" si="150"/>
        <v>905</v>
      </c>
      <c r="I150" s="8">
        <f>IFERROR(__xludf.DUMMYFUNCTION("""COMPUTED_VALUE"""),44646.0)</f>
        <v>44646</v>
      </c>
      <c r="J150">
        <f t="shared" si="3"/>
        <v>28</v>
      </c>
    </row>
    <row r="151">
      <c r="A151" s="8">
        <f>IFERROR(__xludf.DUMMYFUNCTION("""COMPUTED_VALUE"""),44646.0)</f>
        <v>44646</v>
      </c>
      <c r="B151">
        <f>IFERROR(__xludf.DUMMYFUNCTION("""COMPUTED_VALUE"""),4.0)</f>
        <v>4</v>
      </c>
      <c r="C151">
        <f>IFERROR(__xludf.DUMMYFUNCTION("""COMPUTED_VALUE"""),2.0)</f>
        <v>2</v>
      </c>
      <c r="E151" s="8">
        <f>IFERROR(__xludf.DUMMYFUNCTION("""COMPUTED_VALUE"""),44646.0)</f>
        <v>44646</v>
      </c>
      <c r="F151">
        <f t="shared" ref="F151:G151" si="151">B151+F152</f>
        <v>930</v>
      </c>
      <c r="G151">
        <f t="shared" si="151"/>
        <v>903</v>
      </c>
      <c r="I151" s="8">
        <f>IFERROR(__xludf.DUMMYFUNCTION("""COMPUTED_VALUE"""),44646.0)</f>
        <v>44646</v>
      </c>
      <c r="J151">
        <f t="shared" si="3"/>
        <v>27</v>
      </c>
    </row>
    <row r="152">
      <c r="A152" s="8">
        <f>IFERROR(__xludf.DUMMYFUNCTION("""COMPUTED_VALUE"""),44646.0)</f>
        <v>44646</v>
      </c>
      <c r="B152">
        <f>IFERROR(__xludf.DUMMYFUNCTION("""COMPUTED_VALUE"""),1.0)</f>
        <v>1</v>
      </c>
      <c r="C152">
        <f>IFERROR(__xludf.DUMMYFUNCTION("""COMPUTED_VALUE"""),2.0)</f>
        <v>2</v>
      </c>
      <c r="E152" s="8">
        <f>IFERROR(__xludf.DUMMYFUNCTION("""COMPUTED_VALUE"""),44646.0)</f>
        <v>44646</v>
      </c>
      <c r="F152">
        <f t="shared" ref="F152:G152" si="152">B152+F153</f>
        <v>926</v>
      </c>
      <c r="G152">
        <f t="shared" si="152"/>
        <v>901</v>
      </c>
      <c r="I152" s="8">
        <f>IFERROR(__xludf.DUMMYFUNCTION("""COMPUTED_VALUE"""),44646.0)</f>
        <v>44646</v>
      </c>
      <c r="J152">
        <f t="shared" si="3"/>
        <v>25</v>
      </c>
    </row>
    <row r="153">
      <c r="A153" s="8">
        <f>IFERROR(__xludf.DUMMYFUNCTION("""COMPUTED_VALUE"""),44633.0)</f>
        <v>44633</v>
      </c>
      <c r="B153">
        <f>IFERROR(__xludf.DUMMYFUNCTION("""COMPUTED_VALUE"""),1.0)</f>
        <v>1</v>
      </c>
      <c r="C153">
        <f>IFERROR(__xludf.DUMMYFUNCTION("""COMPUTED_VALUE"""),2.0)</f>
        <v>2</v>
      </c>
      <c r="E153" s="8">
        <f>IFERROR(__xludf.DUMMYFUNCTION("""COMPUTED_VALUE"""),44633.0)</f>
        <v>44633</v>
      </c>
      <c r="F153">
        <f t="shared" ref="F153:G153" si="153">B153+F154</f>
        <v>925</v>
      </c>
      <c r="G153">
        <f t="shared" si="153"/>
        <v>899</v>
      </c>
      <c r="I153" s="8">
        <f>IFERROR(__xludf.DUMMYFUNCTION("""COMPUTED_VALUE"""),44633.0)</f>
        <v>44633</v>
      </c>
      <c r="J153">
        <f t="shared" si="3"/>
        <v>26</v>
      </c>
    </row>
    <row r="154">
      <c r="A154" s="8">
        <f>IFERROR(__xludf.DUMMYFUNCTION("""COMPUTED_VALUE"""),44625.0)</f>
        <v>44625</v>
      </c>
      <c r="B154">
        <f>IFERROR(__xludf.DUMMYFUNCTION("""COMPUTED_VALUE"""),2.0)</f>
        <v>2</v>
      </c>
      <c r="C154">
        <f>IFERROR(__xludf.DUMMYFUNCTION("""COMPUTED_VALUE"""),1.0)</f>
        <v>1</v>
      </c>
      <c r="E154" s="8">
        <f>IFERROR(__xludf.DUMMYFUNCTION("""COMPUTED_VALUE"""),44625.0)</f>
        <v>44625</v>
      </c>
      <c r="F154">
        <f t="shared" ref="F154:G154" si="154">B154+F155</f>
        <v>924</v>
      </c>
      <c r="G154">
        <f t="shared" si="154"/>
        <v>897</v>
      </c>
      <c r="I154" s="8">
        <f>IFERROR(__xludf.DUMMYFUNCTION("""COMPUTED_VALUE"""),44625.0)</f>
        <v>44625</v>
      </c>
      <c r="J154">
        <f t="shared" si="3"/>
        <v>27</v>
      </c>
    </row>
    <row r="155">
      <c r="A155" s="8">
        <f>IFERROR(__xludf.DUMMYFUNCTION("""COMPUTED_VALUE"""),44625.0)</f>
        <v>44625</v>
      </c>
      <c r="B155">
        <f>IFERROR(__xludf.DUMMYFUNCTION("""COMPUTED_VALUE"""),2.0)</f>
        <v>2</v>
      </c>
      <c r="C155">
        <f>IFERROR(__xludf.DUMMYFUNCTION("""COMPUTED_VALUE"""),3.0)</f>
        <v>3</v>
      </c>
      <c r="E155" s="8">
        <f>IFERROR(__xludf.DUMMYFUNCTION("""COMPUTED_VALUE"""),44625.0)</f>
        <v>44625</v>
      </c>
      <c r="F155">
        <f t="shared" ref="F155:G155" si="155">B155+F156</f>
        <v>922</v>
      </c>
      <c r="G155">
        <f t="shared" si="155"/>
        <v>896</v>
      </c>
      <c r="I155" s="8">
        <f>IFERROR(__xludf.DUMMYFUNCTION("""COMPUTED_VALUE"""),44625.0)</f>
        <v>44625</v>
      </c>
      <c r="J155">
        <f t="shared" si="3"/>
        <v>26</v>
      </c>
    </row>
    <row r="156">
      <c r="A156" s="8">
        <f>IFERROR(__xludf.DUMMYFUNCTION("""COMPUTED_VALUE"""),44624.0)</f>
        <v>44624</v>
      </c>
      <c r="B156">
        <f>IFERROR(__xludf.DUMMYFUNCTION("""COMPUTED_VALUE"""),1.0)</f>
        <v>1</v>
      </c>
      <c r="C156">
        <f>IFERROR(__xludf.DUMMYFUNCTION("""COMPUTED_VALUE"""),2.0)</f>
        <v>2</v>
      </c>
      <c r="E156" s="8">
        <f>IFERROR(__xludf.DUMMYFUNCTION("""COMPUTED_VALUE"""),44624.0)</f>
        <v>44624</v>
      </c>
      <c r="F156">
        <f t="shared" ref="F156:G156" si="156">B156+F157</f>
        <v>920</v>
      </c>
      <c r="G156">
        <f t="shared" si="156"/>
        <v>893</v>
      </c>
      <c r="I156" s="8">
        <f>IFERROR(__xludf.DUMMYFUNCTION("""COMPUTED_VALUE"""),44624.0)</f>
        <v>44624</v>
      </c>
      <c r="J156">
        <f t="shared" si="3"/>
        <v>27</v>
      </c>
    </row>
    <row r="157">
      <c r="A157" s="8">
        <f>IFERROR(__xludf.DUMMYFUNCTION("""COMPUTED_VALUE"""),44624.0)</f>
        <v>44624</v>
      </c>
      <c r="B157">
        <f>IFERROR(__xludf.DUMMYFUNCTION("""COMPUTED_VALUE"""),2.0)</f>
        <v>2</v>
      </c>
      <c r="C157">
        <f>IFERROR(__xludf.DUMMYFUNCTION("""COMPUTED_VALUE"""),3.0)</f>
        <v>3</v>
      </c>
      <c r="E157" s="8">
        <f>IFERROR(__xludf.DUMMYFUNCTION("""COMPUTED_VALUE"""),44624.0)</f>
        <v>44624</v>
      </c>
      <c r="F157">
        <f t="shared" ref="F157:G157" si="157">B157+F158</f>
        <v>919</v>
      </c>
      <c r="G157">
        <f t="shared" si="157"/>
        <v>891</v>
      </c>
      <c r="I157" s="8">
        <f>IFERROR(__xludf.DUMMYFUNCTION("""COMPUTED_VALUE"""),44624.0)</f>
        <v>44624</v>
      </c>
      <c r="J157">
        <f t="shared" si="3"/>
        <v>28</v>
      </c>
    </row>
    <row r="158">
      <c r="A158" s="8">
        <f>IFERROR(__xludf.DUMMYFUNCTION("""COMPUTED_VALUE"""),44612.0)</f>
        <v>44612</v>
      </c>
      <c r="B158">
        <f>IFERROR(__xludf.DUMMYFUNCTION("""COMPUTED_VALUE"""),1.0)</f>
        <v>1</v>
      </c>
      <c r="C158">
        <f>IFERROR(__xludf.DUMMYFUNCTION("""COMPUTED_VALUE"""),2.0)</f>
        <v>2</v>
      </c>
      <c r="E158" s="8">
        <f>IFERROR(__xludf.DUMMYFUNCTION("""COMPUTED_VALUE"""),44612.0)</f>
        <v>44612</v>
      </c>
      <c r="F158">
        <f t="shared" ref="F158:G158" si="158">B158+F159</f>
        <v>917</v>
      </c>
      <c r="G158">
        <f t="shared" si="158"/>
        <v>888</v>
      </c>
      <c r="I158" s="8">
        <f>IFERROR(__xludf.DUMMYFUNCTION("""COMPUTED_VALUE"""),44612.0)</f>
        <v>44612</v>
      </c>
      <c r="J158">
        <f t="shared" si="3"/>
        <v>29</v>
      </c>
    </row>
    <row r="159">
      <c r="A159" s="8">
        <f>IFERROR(__xludf.DUMMYFUNCTION("""COMPUTED_VALUE"""),44611.0)</f>
        <v>44611</v>
      </c>
      <c r="B159">
        <f>IFERROR(__xludf.DUMMYFUNCTION("""COMPUTED_VALUE"""),2.0)</f>
        <v>2</v>
      </c>
      <c r="C159">
        <f>IFERROR(__xludf.DUMMYFUNCTION("""COMPUTED_VALUE"""),1.0)</f>
        <v>1</v>
      </c>
      <c r="E159" s="8">
        <f>IFERROR(__xludf.DUMMYFUNCTION("""COMPUTED_VALUE"""),44611.0)</f>
        <v>44611</v>
      </c>
      <c r="F159">
        <f t="shared" ref="F159:G159" si="159">B159+F160</f>
        <v>916</v>
      </c>
      <c r="G159">
        <f t="shared" si="159"/>
        <v>886</v>
      </c>
      <c r="I159" s="8">
        <f>IFERROR(__xludf.DUMMYFUNCTION("""COMPUTED_VALUE"""),44611.0)</f>
        <v>44611</v>
      </c>
      <c r="J159">
        <f t="shared" si="3"/>
        <v>30</v>
      </c>
    </row>
    <row r="160">
      <c r="A160" s="8">
        <f>IFERROR(__xludf.DUMMYFUNCTION("""COMPUTED_VALUE"""),44611.0)</f>
        <v>44611</v>
      </c>
      <c r="B160">
        <f>IFERROR(__xludf.DUMMYFUNCTION("""COMPUTED_VALUE"""),3.0)</f>
        <v>3</v>
      </c>
      <c r="C160">
        <f>IFERROR(__xludf.DUMMYFUNCTION("""COMPUTED_VALUE"""),4.0)</f>
        <v>4</v>
      </c>
      <c r="E160" s="8">
        <f>IFERROR(__xludf.DUMMYFUNCTION("""COMPUTED_VALUE"""),44611.0)</f>
        <v>44611</v>
      </c>
      <c r="F160">
        <f t="shared" ref="F160:G160" si="160">B160+F161</f>
        <v>914</v>
      </c>
      <c r="G160">
        <f t="shared" si="160"/>
        <v>885</v>
      </c>
      <c r="I160" s="8">
        <f>IFERROR(__xludf.DUMMYFUNCTION("""COMPUTED_VALUE"""),44611.0)</f>
        <v>44611</v>
      </c>
      <c r="J160">
        <f t="shared" si="3"/>
        <v>29</v>
      </c>
    </row>
    <row r="161">
      <c r="A161" s="8">
        <f>IFERROR(__xludf.DUMMYFUNCTION("""COMPUTED_VALUE"""),44611.0)</f>
        <v>44611</v>
      </c>
      <c r="B161">
        <f>IFERROR(__xludf.DUMMYFUNCTION("""COMPUTED_VALUE"""),3.0)</f>
        <v>3</v>
      </c>
      <c r="C161">
        <f>IFERROR(__xludf.DUMMYFUNCTION("""COMPUTED_VALUE"""),2.0)</f>
        <v>2</v>
      </c>
      <c r="E161" s="8">
        <f>IFERROR(__xludf.DUMMYFUNCTION("""COMPUTED_VALUE"""),44611.0)</f>
        <v>44611</v>
      </c>
      <c r="F161">
        <f t="shared" ref="F161:G161" si="161">B161+F162</f>
        <v>911</v>
      </c>
      <c r="G161">
        <f t="shared" si="161"/>
        <v>881</v>
      </c>
      <c r="I161" s="8">
        <f>IFERROR(__xludf.DUMMYFUNCTION("""COMPUTED_VALUE"""),44611.0)</f>
        <v>44611</v>
      </c>
      <c r="J161">
        <f t="shared" si="3"/>
        <v>30</v>
      </c>
    </row>
    <row r="162">
      <c r="A162" s="8">
        <f>IFERROR(__xludf.DUMMYFUNCTION("""COMPUTED_VALUE"""),44611.0)</f>
        <v>44611</v>
      </c>
      <c r="B162">
        <f>IFERROR(__xludf.DUMMYFUNCTION("""COMPUTED_VALUE"""),2.0)</f>
        <v>2</v>
      </c>
      <c r="C162">
        <f>IFERROR(__xludf.DUMMYFUNCTION("""COMPUTED_VALUE"""),1.0)</f>
        <v>1</v>
      </c>
      <c r="E162" s="8">
        <f>IFERROR(__xludf.DUMMYFUNCTION("""COMPUTED_VALUE"""),44611.0)</f>
        <v>44611</v>
      </c>
      <c r="F162">
        <f t="shared" ref="F162:G162" si="162">B162+F163</f>
        <v>908</v>
      </c>
      <c r="G162">
        <f t="shared" si="162"/>
        <v>879</v>
      </c>
      <c r="I162" s="8">
        <f>IFERROR(__xludf.DUMMYFUNCTION("""COMPUTED_VALUE"""),44611.0)</f>
        <v>44611</v>
      </c>
      <c r="J162">
        <f t="shared" si="3"/>
        <v>29</v>
      </c>
    </row>
    <row r="163">
      <c r="A163" s="8">
        <f>IFERROR(__xludf.DUMMYFUNCTION("""COMPUTED_VALUE"""),44611.0)</f>
        <v>44611</v>
      </c>
      <c r="B163">
        <f>IFERROR(__xludf.DUMMYFUNCTION("""COMPUTED_VALUE"""),2.0)</f>
        <v>2</v>
      </c>
      <c r="C163">
        <f>IFERROR(__xludf.DUMMYFUNCTION("""COMPUTED_VALUE"""),3.0)</f>
        <v>3</v>
      </c>
      <c r="E163" s="8">
        <f>IFERROR(__xludf.DUMMYFUNCTION("""COMPUTED_VALUE"""),44611.0)</f>
        <v>44611</v>
      </c>
      <c r="F163">
        <f t="shared" ref="F163:G163" si="163">B163+F164</f>
        <v>906</v>
      </c>
      <c r="G163">
        <f t="shared" si="163"/>
        <v>878</v>
      </c>
      <c r="I163" s="8">
        <f>IFERROR(__xludf.DUMMYFUNCTION("""COMPUTED_VALUE"""),44611.0)</f>
        <v>44611</v>
      </c>
      <c r="J163">
        <f t="shared" si="3"/>
        <v>28</v>
      </c>
    </row>
    <row r="164">
      <c r="A164" s="8">
        <f>IFERROR(__xludf.DUMMYFUNCTION("""COMPUTED_VALUE"""),44611.0)</f>
        <v>44611</v>
      </c>
      <c r="B164">
        <f>IFERROR(__xludf.DUMMYFUNCTION("""COMPUTED_VALUE"""),2.0)</f>
        <v>2</v>
      </c>
      <c r="C164">
        <f>IFERROR(__xludf.DUMMYFUNCTION("""COMPUTED_VALUE"""),3.0)</f>
        <v>3</v>
      </c>
      <c r="E164" s="8">
        <f>IFERROR(__xludf.DUMMYFUNCTION("""COMPUTED_VALUE"""),44611.0)</f>
        <v>44611</v>
      </c>
      <c r="F164">
        <f t="shared" ref="F164:G164" si="164">B164+F165</f>
        <v>904</v>
      </c>
      <c r="G164">
        <f t="shared" si="164"/>
        <v>875</v>
      </c>
      <c r="I164" s="8">
        <f>IFERROR(__xludf.DUMMYFUNCTION("""COMPUTED_VALUE"""),44611.0)</f>
        <v>44611</v>
      </c>
      <c r="J164">
        <f t="shared" si="3"/>
        <v>29</v>
      </c>
    </row>
    <row r="165">
      <c r="A165" s="8">
        <f>IFERROR(__xludf.DUMMYFUNCTION("""COMPUTED_VALUE"""),44610.0)</f>
        <v>44610</v>
      </c>
      <c r="B165">
        <f>IFERROR(__xludf.DUMMYFUNCTION("""COMPUTED_VALUE"""),3.0)</f>
        <v>3</v>
      </c>
      <c r="C165">
        <f>IFERROR(__xludf.DUMMYFUNCTION("""COMPUTED_VALUE"""),1.0)</f>
        <v>1</v>
      </c>
      <c r="E165" s="8">
        <f>IFERROR(__xludf.DUMMYFUNCTION("""COMPUTED_VALUE"""),44610.0)</f>
        <v>44610</v>
      </c>
      <c r="F165">
        <f t="shared" ref="F165:G165" si="165">B165+F166</f>
        <v>902</v>
      </c>
      <c r="G165">
        <f t="shared" si="165"/>
        <v>872</v>
      </c>
      <c r="I165" s="8">
        <f>IFERROR(__xludf.DUMMYFUNCTION("""COMPUTED_VALUE"""),44610.0)</f>
        <v>44610</v>
      </c>
      <c r="J165">
        <f t="shared" si="3"/>
        <v>30</v>
      </c>
    </row>
    <row r="166">
      <c r="A166" s="8">
        <f>IFERROR(__xludf.DUMMYFUNCTION("""COMPUTED_VALUE"""),44610.0)</f>
        <v>44610</v>
      </c>
      <c r="B166">
        <f>IFERROR(__xludf.DUMMYFUNCTION("""COMPUTED_VALUE"""),1.0)</f>
        <v>1</v>
      </c>
      <c r="C166">
        <f>IFERROR(__xludf.DUMMYFUNCTION("""COMPUTED_VALUE"""),3.0)</f>
        <v>3</v>
      </c>
      <c r="E166" s="8">
        <f>IFERROR(__xludf.DUMMYFUNCTION("""COMPUTED_VALUE"""),44610.0)</f>
        <v>44610</v>
      </c>
      <c r="F166">
        <f t="shared" ref="F166:G166" si="166">B166+F167</f>
        <v>899</v>
      </c>
      <c r="G166">
        <f t="shared" si="166"/>
        <v>871</v>
      </c>
      <c r="I166" s="8">
        <f>IFERROR(__xludf.DUMMYFUNCTION("""COMPUTED_VALUE"""),44610.0)</f>
        <v>44610</v>
      </c>
      <c r="J166">
        <f t="shared" si="3"/>
        <v>28</v>
      </c>
    </row>
    <row r="167">
      <c r="A167" s="8">
        <f>IFERROR(__xludf.DUMMYFUNCTION("""COMPUTED_VALUE"""),44597.0)</f>
        <v>44597</v>
      </c>
      <c r="B167">
        <f>IFERROR(__xludf.DUMMYFUNCTION("""COMPUTED_VALUE"""),3.0)</f>
        <v>3</v>
      </c>
      <c r="C167">
        <f>IFERROR(__xludf.DUMMYFUNCTION("""COMPUTED_VALUE"""),1.0)</f>
        <v>1</v>
      </c>
      <c r="E167" s="8">
        <f>IFERROR(__xludf.DUMMYFUNCTION("""COMPUTED_VALUE"""),44597.0)</f>
        <v>44597</v>
      </c>
      <c r="F167">
        <f t="shared" ref="F167:G167" si="167">B167+F168</f>
        <v>898</v>
      </c>
      <c r="G167">
        <f t="shared" si="167"/>
        <v>868</v>
      </c>
      <c r="I167" s="8">
        <f>IFERROR(__xludf.DUMMYFUNCTION("""COMPUTED_VALUE"""),44597.0)</f>
        <v>44597</v>
      </c>
      <c r="J167">
        <f t="shared" si="3"/>
        <v>30</v>
      </c>
    </row>
    <row r="168">
      <c r="A168" s="8">
        <f>IFERROR(__xludf.DUMMYFUNCTION("""COMPUTED_VALUE"""),44591.0)</f>
        <v>44591</v>
      </c>
      <c r="B168">
        <f>IFERROR(__xludf.DUMMYFUNCTION("""COMPUTED_VALUE"""),3.0)</f>
        <v>3</v>
      </c>
      <c r="C168">
        <f>IFERROR(__xludf.DUMMYFUNCTION("""COMPUTED_VALUE"""),1.0)</f>
        <v>1</v>
      </c>
      <c r="E168" s="8">
        <f>IFERROR(__xludf.DUMMYFUNCTION("""COMPUTED_VALUE"""),44591.0)</f>
        <v>44591</v>
      </c>
      <c r="F168">
        <f t="shared" ref="F168:G168" si="168">B168+F169</f>
        <v>895</v>
      </c>
      <c r="G168">
        <f t="shared" si="168"/>
        <v>867</v>
      </c>
      <c r="I168" s="8">
        <f>IFERROR(__xludf.DUMMYFUNCTION("""COMPUTED_VALUE"""),44591.0)</f>
        <v>44591</v>
      </c>
      <c r="J168">
        <f t="shared" si="3"/>
        <v>28</v>
      </c>
    </row>
    <row r="169">
      <c r="A169" s="8">
        <f>IFERROR(__xludf.DUMMYFUNCTION("""COMPUTED_VALUE"""),44590.0)</f>
        <v>44590</v>
      </c>
      <c r="B169">
        <f>IFERROR(__xludf.DUMMYFUNCTION("""COMPUTED_VALUE"""),3.0)</f>
        <v>3</v>
      </c>
      <c r="C169">
        <f>IFERROR(__xludf.DUMMYFUNCTION("""COMPUTED_VALUE"""),1.0)</f>
        <v>1</v>
      </c>
      <c r="E169" s="8">
        <f>IFERROR(__xludf.DUMMYFUNCTION("""COMPUTED_VALUE"""),44590.0)</f>
        <v>44590</v>
      </c>
      <c r="F169">
        <f t="shared" ref="F169:G169" si="169">B169+F170</f>
        <v>892</v>
      </c>
      <c r="G169">
        <f t="shared" si="169"/>
        <v>866</v>
      </c>
      <c r="I169" s="8">
        <f>IFERROR(__xludf.DUMMYFUNCTION("""COMPUTED_VALUE"""),44590.0)</f>
        <v>44590</v>
      </c>
      <c r="J169">
        <f t="shared" si="3"/>
        <v>26</v>
      </c>
    </row>
    <row r="170">
      <c r="A170" s="8">
        <f>IFERROR(__xludf.DUMMYFUNCTION("""COMPUTED_VALUE"""),44590.0)</f>
        <v>44590</v>
      </c>
      <c r="B170">
        <f>IFERROR(__xludf.DUMMYFUNCTION("""COMPUTED_VALUE"""),1.0)</f>
        <v>1</v>
      </c>
      <c r="C170">
        <f>IFERROR(__xludf.DUMMYFUNCTION("""COMPUTED_VALUE"""),2.0)</f>
        <v>2</v>
      </c>
      <c r="E170" s="8">
        <f>IFERROR(__xludf.DUMMYFUNCTION("""COMPUTED_VALUE"""),44590.0)</f>
        <v>44590</v>
      </c>
      <c r="F170">
        <f t="shared" ref="F170:G170" si="170">B170+F171</f>
        <v>889</v>
      </c>
      <c r="G170">
        <f t="shared" si="170"/>
        <v>865</v>
      </c>
      <c r="I170" s="8">
        <f>IFERROR(__xludf.DUMMYFUNCTION("""COMPUTED_VALUE"""),44590.0)</f>
        <v>44590</v>
      </c>
      <c r="J170">
        <f t="shared" si="3"/>
        <v>24</v>
      </c>
    </row>
    <row r="171">
      <c r="A171" s="8">
        <f>IFERROR(__xludf.DUMMYFUNCTION("""COMPUTED_VALUE"""),44590.0)</f>
        <v>44590</v>
      </c>
      <c r="B171">
        <f>IFERROR(__xludf.DUMMYFUNCTION("""COMPUTED_VALUE"""),3.0)</f>
        <v>3</v>
      </c>
      <c r="C171">
        <f>IFERROR(__xludf.DUMMYFUNCTION("""COMPUTED_VALUE"""),2.0)</f>
        <v>2</v>
      </c>
      <c r="E171" s="8">
        <f>IFERROR(__xludf.DUMMYFUNCTION("""COMPUTED_VALUE"""),44590.0)</f>
        <v>44590</v>
      </c>
      <c r="F171">
        <f t="shared" ref="F171:G171" si="171">B171+F172</f>
        <v>888</v>
      </c>
      <c r="G171">
        <f t="shared" si="171"/>
        <v>863</v>
      </c>
      <c r="I171" s="8">
        <f>IFERROR(__xludf.DUMMYFUNCTION("""COMPUTED_VALUE"""),44590.0)</f>
        <v>44590</v>
      </c>
      <c r="J171">
        <f t="shared" si="3"/>
        <v>25</v>
      </c>
    </row>
    <row r="172">
      <c r="A172" s="8">
        <f>IFERROR(__xludf.DUMMYFUNCTION("""COMPUTED_VALUE"""),44584.0)</f>
        <v>44584</v>
      </c>
      <c r="B172">
        <f>IFERROR(__xludf.DUMMYFUNCTION("""COMPUTED_VALUE"""),1.0)</f>
        <v>1</v>
      </c>
      <c r="C172">
        <f>IFERROR(__xludf.DUMMYFUNCTION("""COMPUTED_VALUE"""),2.0)</f>
        <v>2</v>
      </c>
      <c r="E172" s="8">
        <f>IFERROR(__xludf.DUMMYFUNCTION("""COMPUTED_VALUE"""),44584.0)</f>
        <v>44584</v>
      </c>
      <c r="F172">
        <f t="shared" ref="F172:G172" si="172">B172+F173</f>
        <v>885</v>
      </c>
      <c r="G172">
        <f t="shared" si="172"/>
        <v>861</v>
      </c>
      <c r="I172" s="8">
        <f>IFERROR(__xludf.DUMMYFUNCTION("""COMPUTED_VALUE"""),44584.0)</f>
        <v>44584</v>
      </c>
      <c r="J172">
        <f t="shared" si="3"/>
        <v>24</v>
      </c>
    </row>
    <row r="173">
      <c r="A173" s="8">
        <f>IFERROR(__xludf.DUMMYFUNCTION("""COMPUTED_VALUE"""),44584.0)</f>
        <v>44584</v>
      </c>
      <c r="B173">
        <f>IFERROR(__xludf.DUMMYFUNCTION("""COMPUTED_VALUE"""),3.0)</f>
        <v>3</v>
      </c>
      <c r="C173">
        <f>IFERROR(__xludf.DUMMYFUNCTION("""COMPUTED_VALUE"""),1.0)</f>
        <v>1</v>
      </c>
      <c r="E173" s="8">
        <f>IFERROR(__xludf.DUMMYFUNCTION("""COMPUTED_VALUE"""),44584.0)</f>
        <v>44584</v>
      </c>
      <c r="F173">
        <f t="shared" ref="F173:G173" si="173">B173+F174</f>
        <v>884</v>
      </c>
      <c r="G173">
        <f t="shared" si="173"/>
        <v>859</v>
      </c>
      <c r="I173" s="8">
        <f>IFERROR(__xludf.DUMMYFUNCTION("""COMPUTED_VALUE"""),44584.0)</f>
        <v>44584</v>
      </c>
      <c r="J173">
        <f t="shared" si="3"/>
        <v>25</v>
      </c>
    </row>
    <row r="174">
      <c r="A174" s="8">
        <f>IFERROR(__xludf.DUMMYFUNCTION("""COMPUTED_VALUE"""),44583.0)</f>
        <v>44583</v>
      </c>
      <c r="B174">
        <f>IFERROR(__xludf.DUMMYFUNCTION("""COMPUTED_VALUE"""),1.0)</f>
        <v>1</v>
      </c>
      <c r="C174">
        <f>IFERROR(__xludf.DUMMYFUNCTION("""COMPUTED_VALUE"""),2.0)</f>
        <v>2</v>
      </c>
      <c r="E174" s="8">
        <f>IFERROR(__xludf.DUMMYFUNCTION("""COMPUTED_VALUE"""),44583.0)</f>
        <v>44583</v>
      </c>
      <c r="F174">
        <f t="shared" ref="F174:G174" si="174">B174+F175</f>
        <v>881</v>
      </c>
      <c r="G174">
        <f t="shared" si="174"/>
        <v>858</v>
      </c>
      <c r="I174" s="8">
        <f>IFERROR(__xludf.DUMMYFUNCTION("""COMPUTED_VALUE"""),44583.0)</f>
        <v>44583</v>
      </c>
      <c r="J174">
        <f t="shared" si="3"/>
        <v>23</v>
      </c>
    </row>
    <row r="175">
      <c r="A175" s="8">
        <f>IFERROR(__xludf.DUMMYFUNCTION("""COMPUTED_VALUE"""),44576.0)</f>
        <v>44576</v>
      </c>
      <c r="B175">
        <f>IFERROR(__xludf.DUMMYFUNCTION("""COMPUTED_VALUE"""),3.0)</f>
        <v>3</v>
      </c>
      <c r="C175">
        <f>IFERROR(__xludf.DUMMYFUNCTION("""COMPUTED_VALUE"""),1.0)</f>
        <v>1</v>
      </c>
      <c r="E175" s="8">
        <f>IFERROR(__xludf.DUMMYFUNCTION("""COMPUTED_VALUE"""),44576.0)</f>
        <v>44576</v>
      </c>
      <c r="F175">
        <f t="shared" ref="F175:G175" si="175">B175+F176</f>
        <v>880</v>
      </c>
      <c r="G175">
        <f t="shared" si="175"/>
        <v>856</v>
      </c>
      <c r="I175" s="8">
        <f>IFERROR(__xludf.DUMMYFUNCTION("""COMPUTED_VALUE"""),44576.0)</f>
        <v>44576</v>
      </c>
      <c r="J175">
        <f t="shared" si="3"/>
        <v>24</v>
      </c>
    </row>
    <row r="176">
      <c r="A176" s="8">
        <f>IFERROR(__xludf.DUMMYFUNCTION("""COMPUTED_VALUE"""),44576.0)</f>
        <v>44576</v>
      </c>
      <c r="B176">
        <f>IFERROR(__xludf.DUMMYFUNCTION("""COMPUTED_VALUE"""),3.0)</f>
        <v>3</v>
      </c>
      <c r="C176">
        <f>IFERROR(__xludf.DUMMYFUNCTION("""COMPUTED_VALUE"""),1.0)</f>
        <v>1</v>
      </c>
      <c r="E176" s="8">
        <f>IFERROR(__xludf.DUMMYFUNCTION("""COMPUTED_VALUE"""),44576.0)</f>
        <v>44576</v>
      </c>
      <c r="F176">
        <f t="shared" ref="F176:G176" si="176">B176+F177</f>
        <v>877</v>
      </c>
      <c r="G176">
        <f t="shared" si="176"/>
        <v>855</v>
      </c>
      <c r="I176" s="8">
        <f>IFERROR(__xludf.DUMMYFUNCTION("""COMPUTED_VALUE"""),44576.0)</f>
        <v>44576</v>
      </c>
      <c r="J176">
        <f t="shared" si="3"/>
        <v>22</v>
      </c>
    </row>
    <row r="177">
      <c r="A177" s="8">
        <f>IFERROR(__xludf.DUMMYFUNCTION("""COMPUTED_VALUE"""),44569.0)</f>
        <v>44569</v>
      </c>
      <c r="B177">
        <f>IFERROR(__xludf.DUMMYFUNCTION("""COMPUTED_VALUE"""),1.0)</f>
        <v>1</v>
      </c>
      <c r="C177">
        <f>IFERROR(__xludf.DUMMYFUNCTION("""COMPUTED_VALUE"""),3.0)</f>
        <v>3</v>
      </c>
      <c r="E177" s="8">
        <f>IFERROR(__xludf.DUMMYFUNCTION("""COMPUTED_VALUE"""),44569.0)</f>
        <v>44569</v>
      </c>
      <c r="F177">
        <f t="shared" ref="F177:G177" si="177">B177+F178</f>
        <v>874</v>
      </c>
      <c r="G177">
        <f t="shared" si="177"/>
        <v>854</v>
      </c>
      <c r="I177" s="8">
        <f>IFERROR(__xludf.DUMMYFUNCTION("""COMPUTED_VALUE"""),44569.0)</f>
        <v>44569</v>
      </c>
      <c r="J177">
        <f t="shared" si="3"/>
        <v>20</v>
      </c>
    </row>
    <row r="178">
      <c r="A178" s="8">
        <f>IFERROR(__xludf.DUMMYFUNCTION("""COMPUTED_VALUE"""),44569.0)</f>
        <v>44569</v>
      </c>
      <c r="B178">
        <f>IFERROR(__xludf.DUMMYFUNCTION("""COMPUTED_VALUE"""),1.0)</f>
        <v>1</v>
      </c>
      <c r="C178">
        <f>IFERROR(__xludf.DUMMYFUNCTION("""COMPUTED_VALUE"""),3.0)</f>
        <v>3</v>
      </c>
      <c r="E178" s="8">
        <f>IFERROR(__xludf.DUMMYFUNCTION("""COMPUTED_VALUE"""),44569.0)</f>
        <v>44569</v>
      </c>
      <c r="F178">
        <f t="shared" ref="F178:G178" si="178">B178+F179</f>
        <v>873</v>
      </c>
      <c r="G178">
        <f t="shared" si="178"/>
        <v>851</v>
      </c>
      <c r="I178" s="8">
        <f>IFERROR(__xludf.DUMMYFUNCTION("""COMPUTED_VALUE"""),44569.0)</f>
        <v>44569</v>
      </c>
      <c r="J178">
        <f t="shared" si="3"/>
        <v>22</v>
      </c>
    </row>
    <row r="179">
      <c r="A179" s="8">
        <f>IFERROR(__xludf.DUMMYFUNCTION("""COMPUTED_VALUE"""),44569.0)</f>
        <v>44569</v>
      </c>
      <c r="B179">
        <f>IFERROR(__xludf.DUMMYFUNCTION("""COMPUTED_VALUE"""),3.0)</f>
        <v>3</v>
      </c>
      <c r="C179">
        <f>IFERROR(__xludf.DUMMYFUNCTION("""COMPUTED_VALUE"""),1.0)</f>
        <v>1</v>
      </c>
      <c r="E179" s="8">
        <f>IFERROR(__xludf.DUMMYFUNCTION("""COMPUTED_VALUE"""),44569.0)</f>
        <v>44569</v>
      </c>
      <c r="F179">
        <f t="shared" ref="F179:G179" si="179">B179+F180</f>
        <v>872</v>
      </c>
      <c r="G179">
        <f t="shared" si="179"/>
        <v>848</v>
      </c>
      <c r="I179" s="8">
        <f>IFERROR(__xludf.DUMMYFUNCTION("""COMPUTED_VALUE"""),44569.0)</f>
        <v>44569</v>
      </c>
      <c r="J179">
        <f t="shared" si="3"/>
        <v>24</v>
      </c>
    </row>
    <row r="180">
      <c r="A180" s="8">
        <f>IFERROR(__xludf.DUMMYFUNCTION("""COMPUTED_VALUE"""),44556.0)</f>
        <v>44556</v>
      </c>
      <c r="B180">
        <f>IFERROR(__xludf.DUMMYFUNCTION("""COMPUTED_VALUE"""),3.0)</f>
        <v>3</v>
      </c>
      <c r="C180">
        <f>IFERROR(__xludf.DUMMYFUNCTION("""COMPUTED_VALUE"""),1.0)</f>
        <v>1</v>
      </c>
      <c r="E180" s="8">
        <f>IFERROR(__xludf.DUMMYFUNCTION("""COMPUTED_VALUE"""),44556.0)</f>
        <v>44556</v>
      </c>
      <c r="F180">
        <f t="shared" ref="F180:G180" si="180">B180+F181</f>
        <v>869</v>
      </c>
      <c r="G180">
        <f t="shared" si="180"/>
        <v>847</v>
      </c>
      <c r="I180" s="8">
        <f>IFERROR(__xludf.DUMMYFUNCTION("""COMPUTED_VALUE"""),44556.0)</f>
        <v>44556</v>
      </c>
      <c r="J180">
        <f t="shared" si="3"/>
        <v>22</v>
      </c>
    </row>
    <row r="181">
      <c r="A181" s="8">
        <f>IFERROR(__xludf.DUMMYFUNCTION("""COMPUTED_VALUE"""),44555.0)</f>
        <v>44555</v>
      </c>
      <c r="B181">
        <f>IFERROR(__xludf.DUMMYFUNCTION("""COMPUTED_VALUE"""),4.0)</f>
        <v>4</v>
      </c>
      <c r="C181">
        <f>IFERROR(__xludf.DUMMYFUNCTION("""COMPUTED_VALUE"""),3.0)</f>
        <v>3</v>
      </c>
      <c r="E181" s="8">
        <f>IFERROR(__xludf.DUMMYFUNCTION("""COMPUTED_VALUE"""),44555.0)</f>
        <v>44555</v>
      </c>
      <c r="F181">
        <f t="shared" ref="F181:G181" si="181">B181+F182</f>
        <v>866</v>
      </c>
      <c r="G181">
        <f t="shared" si="181"/>
        <v>846</v>
      </c>
      <c r="I181" s="8">
        <f>IFERROR(__xludf.DUMMYFUNCTION("""COMPUTED_VALUE"""),44555.0)</f>
        <v>44555</v>
      </c>
      <c r="J181">
        <f t="shared" si="3"/>
        <v>20</v>
      </c>
    </row>
    <row r="182">
      <c r="A182" s="8">
        <f>IFERROR(__xludf.DUMMYFUNCTION("""COMPUTED_VALUE"""),44554.0)</f>
        <v>44554</v>
      </c>
      <c r="B182">
        <f>IFERROR(__xludf.DUMMYFUNCTION("""COMPUTED_VALUE"""),3.0)</f>
        <v>3</v>
      </c>
      <c r="C182">
        <f>IFERROR(__xludf.DUMMYFUNCTION("""COMPUTED_VALUE"""),1.0)</f>
        <v>1</v>
      </c>
      <c r="E182" s="8">
        <f>IFERROR(__xludf.DUMMYFUNCTION("""COMPUTED_VALUE"""),44554.0)</f>
        <v>44554</v>
      </c>
      <c r="F182">
        <f t="shared" ref="F182:G182" si="182">B182+F183</f>
        <v>862</v>
      </c>
      <c r="G182">
        <f t="shared" si="182"/>
        <v>843</v>
      </c>
      <c r="I182" s="8">
        <f>IFERROR(__xludf.DUMMYFUNCTION("""COMPUTED_VALUE"""),44554.0)</f>
        <v>44554</v>
      </c>
      <c r="J182">
        <f t="shared" si="3"/>
        <v>19</v>
      </c>
    </row>
    <row r="183">
      <c r="A183" s="8">
        <f>IFERROR(__xludf.DUMMYFUNCTION("""COMPUTED_VALUE"""),44549.0)</f>
        <v>44549</v>
      </c>
      <c r="B183">
        <f>IFERROR(__xludf.DUMMYFUNCTION("""COMPUTED_VALUE"""),3.0)</f>
        <v>3</v>
      </c>
      <c r="C183">
        <f>IFERROR(__xludf.DUMMYFUNCTION("""COMPUTED_VALUE"""),1.0)</f>
        <v>1</v>
      </c>
      <c r="E183" s="8">
        <f>IFERROR(__xludf.DUMMYFUNCTION("""COMPUTED_VALUE"""),44549.0)</f>
        <v>44549</v>
      </c>
      <c r="F183">
        <f t="shared" ref="F183:G183" si="183">B183+F184</f>
        <v>859</v>
      </c>
      <c r="G183">
        <f t="shared" si="183"/>
        <v>842</v>
      </c>
      <c r="I183" s="8">
        <f>IFERROR(__xludf.DUMMYFUNCTION("""COMPUTED_VALUE"""),44549.0)</f>
        <v>44549</v>
      </c>
      <c r="J183">
        <f t="shared" si="3"/>
        <v>17</v>
      </c>
    </row>
    <row r="184">
      <c r="A184" s="8">
        <f>IFERROR(__xludf.DUMMYFUNCTION("""COMPUTED_VALUE"""),44548.0)</f>
        <v>44548</v>
      </c>
      <c r="B184">
        <f>IFERROR(__xludf.DUMMYFUNCTION("""COMPUTED_VALUE"""),1.0)</f>
        <v>1</v>
      </c>
      <c r="C184">
        <f>IFERROR(__xludf.DUMMYFUNCTION("""COMPUTED_VALUE"""),2.0)</f>
        <v>2</v>
      </c>
      <c r="E184" s="8">
        <f>IFERROR(__xludf.DUMMYFUNCTION("""COMPUTED_VALUE"""),44548.0)</f>
        <v>44548</v>
      </c>
      <c r="F184">
        <f t="shared" ref="F184:G184" si="184">B184+F185</f>
        <v>856</v>
      </c>
      <c r="G184">
        <f t="shared" si="184"/>
        <v>841</v>
      </c>
      <c r="I184" s="8">
        <f>IFERROR(__xludf.DUMMYFUNCTION("""COMPUTED_VALUE"""),44548.0)</f>
        <v>44548</v>
      </c>
      <c r="J184">
        <f t="shared" si="3"/>
        <v>15</v>
      </c>
    </row>
    <row r="185">
      <c r="A185" s="8">
        <f>IFERROR(__xludf.DUMMYFUNCTION("""COMPUTED_VALUE"""),44528.0)</f>
        <v>44528</v>
      </c>
      <c r="B185">
        <f>IFERROR(__xludf.DUMMYFUNCTION("""COMPUTED_VALUE"""),3.0)</f>
        <v>3</v>
      </c>
      <c r="C185">
        <f>IFERROR(__xludf.DUMMYFUNCTION("""COMPUTED_VALUE"""),2.0)</f>
        <v>2</v>
      </c>
      <c r="E185" s="8">
        <f>IFERROR(__xludf.DUMMYFUNCTION("""COMPUTED_VALUE"""),44528.0)</f>
        <v>44528</v>
      </c>
      <c r="F185">
        <f t="shared" ref="F185:G185" si="185">B185+F186</f>
        <v>855</v>
      </c>
      <c r="G185">
        <f t="shared" si="185"/>
        <v>839</v>
      </c>
      <c r="I185" s="8">
        <f>IFERROR(__xludf.DUMMYFUNCTION("""COMPUTED_VALUE"""),44528.0)</f>
        <v>44528</v>
      </c>
      <c r="J185">
        <f t="shared" si="3"/>
        <v>16</v>
      </c>
    </row>
    <row r="186">
      <c r="A186" s="8">
        <f>IFERROR(__xludf.DUMMYFUNCTION("""COMPUTED_VALUE"""),44526.0)</f>
        <v>44526</v>
      </c>
      <c r="B186">
        <f>IFERROR(__xludf.DUMMYFUNCTION("""COMPUTED_VALUE"""),3.0)</f>
        <v>3</v>
      </c>
      <c r="C186">
        <f>IFERROR(__xludf.DUMMYFUNCTION("""COMPUTED_VALUE"""),2.0)</f>
        <v>2</v>
      </c>
      <c r="E186" s="8">
        <f>IFERROR(__xludf.DUMMYFUNCTION("""COMPUTED_VALUE"""),44526.0)</f>
        <v>44526</v>
      </c>
      <c r="F186">
        <f t="shared" ref="F186:G186" si="186">B186+F187</f>
        <v>852</v>
      </c>
      <c r="G186">
        <f t="shared" si="186"/>
        <v>837</v>
      </c>
      <c r="I186" s="8">
        <f>IFERROR(__xludf.DUMMYFUNCTION("""COMPUTED_VALUE"""),44526.0)</f>
        <v>44526</v>
      </c>
      <c r="J186">
        <f t="shared" si="3"/>
        <v>15</v>
      </c>
    </row>
    <row r="187">
      <c r="A187" s="8">
        <f>IFERROR(__xludf.DUMMYFUNCTION("""COMPUTED_VALUE"""),44525.0)</f>
        <v>44525</v>
      </c>
      <c r="B187">
        <f>IFERROR(__xludf.DUMMYFUNCTION("""COMPUTED_VALUE"""),3.0)</f>
        <v>3</v>
      </c>
      <c r="C187">
        <f>IFERROR(__xludf.DUMMYFUNCTION("""COMPUTED_VALUE"""),2.0)</f>
        <v>2</v>
      </c>
      <c r="E187" s="8">
        <f>IFERROR(__xludf.DUMMYFUNCTION("""COMPUTED_VALUE"""),44525.0)</f>
        <v>44525</v>
      </c>
      <c r="F187">
        <f t="shared" ref="F187:G187" si="187">B187+F188</f>
        <v>849</v>
      </c>
      <c r="G187">
        <f t="shared" si="187"/>
        <v>835</v>
      </c>
      <c r="I187" s="8">
        <f>IFERROR(__xludf.DUMMYFUNCTION("""COMPUTED_VALUE"""),44525.0)</f>
        <v>44525</v>
      </c>
      <c r="J187">
        <f t="shared" si="3"/>
        <v>14</v>
      </c>
    </row>
    <row r="188">
      <c r="A188" s="8">
        <f>IFERROR(__xludf.DUMMYFUNCTION("""COMPUTED_VALUE"""),44521.0)</f>
        <v>44521</v>
      </c>
      <c r="B188">
        <f>IFERROR(__xludf.DUMMYFUNCTION("""COMPUTED_VALUE"""),1.0)</f>
        <v>1</v>
      </c>
      <c r="C188">
        <f>IFERROR(__xludf.DUMMYFUNCTION("""COMPUTED_VALUE"""),2.0)</f>
        <v>2</v>
      </c>
      <c r="E188" s="8">
        <f>IFERROR(__xludf.DUMMYFUNCTION("""COMPUTED_VALUE"""),44521.0)</f>
        <v>44521</v>
      </c>
      <c r="F188">
        <f t="shared" ref="F188:G188" si="188">B188+F189</f>
        <v>846</v>
      </c>
      <c r="G188">
        <f t="shared" si="188"/>
        <v>833</v>
      </c>
      <c r="I188" s="8">
        <f>IFERROR(__xludf.DUMMYFUNCTION("""COMPUTED_VALUE"""),44521.0)</f>
        <v>44521</v>
      </c>
      <c r="J188">
        <f t="shared" si="3"/>
        <v>13</v>
      </c>
    </row>
    <row r="189">
      <c r="A189" s="8">
        <f>IFERROR(__xludf.DUMMYFUNCTION("""COMPUTED_VALUE"""),44520.0)</f>
        <v>44520</v>
      </c>
      <c r="B189">
        <f>IFERROR(__xludf.DUMMYFUNCTION("""COMPUTED_VALUE"""),2.0)</f>
        <v>2</v>
      </c>
      <c r="C189">
        <f>IFERROR(__xludf.DUMMYFUNCTION("""COMPUTED_VALUE"""),1.0)</f>
        <v>1</v>
      </c>
      <c r="E189" s="8">
        <f>IFERROR(__xludf.DUMMYFUNCTION("""COMPUTED_VALUE"""),44520.0)</f>
        <v>44520</v>
      </c>
      <c r="F189">
        <f t="shared" ref="F189:G189" si="189">B189+F190</f>
        <v>845</v>
      </c>
      <c r="G189">
        <f t="shared" si="189"/>
        <v>831</v>
      </c>
      <c r="I189" s="8">
        <f>IFERROR(__xludf.DUMMYFUNCTION("""COMPUTED_VALUE"""),44520.0)</f>
        <v>44520</v>
      </c>
      <c r="J189">
        <f t="shared" si="3"/>
        <v>14</v>
      </c>
    </row>
    <row r="190">
      <c r="A190" s="8">
        <f>IFERROR(__xludf.DUMMYFUNCTION("""COMPUTED_VALUE"""),44519.0)</f>
        <v>44519</v>
      </c>
      <c r="B190">
        <f>IFERROR(__xludf.DUMMYFUNCTION("""COMPUTED_VALUE"""),3.0)</f>
        <v>3</v>
      </c>
      <c r="C190">
        <f>IFERROR(__xludf.DUMMYFUNCTION("""COMPUTED_VALUE"""),1.0)</f>
        <v>1</v>
      </c>
      <c r="E190" s="8">
        <f>IFERROR(__xludf.DUMMYFUNCTION("""COMPUTED_VALUE"""),44519.0)</f>
        <v>44519</v>
      </c>
      <c r="F190">
        <f t="shared" ref="F190:G190" si="190">B190+F191</f>
        <v>843</v>
      </c>
      <c r="G190">
        <f t="shared" si="190"/>
        <v>830</v>
      </c>
      <c r="I190" s="8">
        <f>IFERROR(__xludf.DUMMYFUNCTION("""COMPUTED_VALUE"""),44519.0)</f>
        <v>44519</v>
      </c>
      <c r="J190">
        <f t="shared" si="3"/>
        <v>13</v>
      </c>
    </row>
    <row r="191">
      <c r="A191" s="8">
        <f>IFERROR(__xludf.DUMMYFUNCTION("""COMPUTED_VALUE"""),44507.0)</f>
        <v>44507</v>
      </c>
      <c r="B191">
        <f>IFERROR(__xludf.DUMMYFUNCTION("""COMPUTED_VALUE"""),3.0)</f>
        <v>3</v>
      </c>
      <c r="C191">
        <f>IFERROR(__xludf.DUMMYFUNCTION("""COMPUTED_VALUE"""),1.0)</f>
        <v>1</v>
      </c>
      <c r="E191" s="8">
        <f>IFERROR(__xludf.DUMMYFUNCTION("""COMPUTED_VALUE"""),44507.0)</f>
        <v>44507</v>
      </c>
      <c r="F191">
        <f t="shared" ref="F191:G191" si="191">B191+F192</f>
        <v>840</v>
      </c>
      <c r="G191">
        <f t="shared" si="191"/>
        <v>829</v>
      </c>
      <c r="I191" s="8">
        <f>IFERROR(__xludf.DUMMYFUNCTION("""COMPUTED_VALUE"""),44507.0)</f>
        <v>44507</v>
      </c>
      <c r="J191">
        <f t="shared" si="3"/>
        <v>11</v>
      </c>
    </row>
    <row r="192">
      <c r="A192" s="8">
        <f>IFERROR(__xludf.DUMMYFUNCTION("""COMPUTED_VALUE"""),44504.0)</f>
        <v>44504</v>
      </c>
      <c r="B192">
        <f>IFERROR(__xludf.DUMMYFUNCTION("""COMPUTED_VALUE"""),2.0)</f>
        <v>2</v>
      </c>
      <c r="C192">
        <f>IFERROR(__xludf.DUMMYFUNCTION("""COMPUTED_VALUE"""),3.0)</f>
        <v>3</v>
      </c>
      <c r="E192" s="8">
        <f>IFERROR(__xludf.DUMMYFUNCTION("""COMPUTED_VALUE"""),44504.0)</f>
        <v>44504</v>
      </c>
      <c r="F192">
        <f t="shared" ref="F192:G192" si="192">B192+F193</f>
        <v>837</v>
      </c>
      <c r="G192">
        <f t="shared" si="192"/>
        <v>828</v>
      </c>
      <c r="I192" s="8">
        <f>IFERROR(__xludf.DUMMYFUNCTION("""COMPUTED_VALUE"""),44504.0)</f>
        <v>44504</v>
      </c>
      <c r="J192">
        <f t="shared" si="3"/>
        <v>9</v>
      </c>
    </row>
    <row r="193">
      <c r="A193" s="8">
        <f>IFERROR(__xludf.DUMMYFUNCTION("""COMPUTED_VALUE"""),44500.0)</f>
        <v>44500</v>
      </c>
      <c r="B193">
        <f>IFERROR(__xludf.DUMMYFUNCTION("""COMPUTED_VALUE"""),1.0)</f>
        <v>1</v>
      </c>
      <c r="C193">
        <f>IFERROR(__xludf.DUMMYFUNCTION("""COMPUTED_VALUE"""),3.0)</f>
        <v>3</v>
      </c>
      <c r="E193" s="8">
        <f>IFERROR(__xludf.DUMMYFUNCTION("""COMPUTED_VALUE"""),44500.0)</f>
        <v>44500</v>
      </c>
      <c r="F193">
        <f t="shared" ref="F193:G193" si="193">B193+F194</f>
        <v>835</v>
      </c>
      <c r="G193">
        <f t="shared" si="193"/>
        <v>825</v>
      </c>
      <c r="I193" s="8">
        <f>IFERROR(__xludf.DUMMYFUNCTION("""COMPUTED_VALUE"""),44500.0)</f>
        <v>44500</v>
      </c>
      <c r="J193">
        <f t="shared" si="3"/>
        <v>10</v>
      </c>
    </row>
    <row r="194">
      <c r="A194" s="8">
        <f>IFERROR(__xludf.DUMMYFUNCTION("""COMPUTED_VALUE"""),44493.0)</f>
        <v>44493</v>
      </c>
      <c r="B194">
        <f>IFERROR(__xludf.DUMMYFUNCTION("""COMPUTED_VALUE"""),2.0)</f>
        <v>2</v>
      </c>
      <c r="C194">
        <f>IFERROR(__xludf.DUMMYFUNCTION("""COMPUTED_VALUE"""),3.0)</f>
        <v>3</v>
      </c>
      <c r="E194" s="8">
        <f>IFERROR(__xludf.DUMMYFUNCTION("""COMPUTED_VALUE"""),44493.0)</f>
        <v>44493</v>
      </c>
      <c r="F194">
        <f t="shared" ref="F194:G194" si="194">B194+F195</f>
        <v>834</v>
      </c>
      <c r="G194">
        <f t="shared" si="194"/>
        <v>822</v>
      </c>
      <c r="I194" s="8">
        <f>IFERROR(__xludf.DUMMYFUNCTION("""COMPUTED_VALUE"""),44493.0)</f>
        <v>44493</v>
      </c>
      <c r="J194">
        <f t="shared" si="3"/>
        <v>12</v>
      </c>
    </row>
    <row r="195">
      <c r="A195" s="8">
        <f>IFERROR(__xludf.DUMMYFUNCTION("""COMPUTED_VALUE"""),44479.0)</f>
        <v>44479</v>
      </c>
      <c r="B195">
        <f>IFERROR(__xludf.DUMMYFUNCTION("""COMPUTED_VALUE"""),3.0)</f>
        <v>3</v>
      </c>
      <c r="C195">
        <f>IFERROR(__xludf.DUMMYFUNCTION("""COMPUTED_VALUE"""),2.0)</f>
        <v>2</v>
      </c>
      <c r="E195" s="8">
        <f>IFERROR(__xludf.DUMMYFUNCTION("""COMPUTED_VALUE"""),44479.0)</f>
        <v>44479</v>
      </c>
      <c r="F195">
        <f t="shared" ref="F195:G195" si="195">B195+F196</f>
        <v>832</v>
      </c>
      <c r="G195">
        <f t="shared" si="195"/>
        <v>819</v>
      </c>
      <c r="I195" s="8">
        <f>IFERROR(__xludf.DUMMYFUNCTION("""COMPUTED_VALUE"""),44479.0)</f>
        <v>44479</v>
      </c>
      <c r="J195">
        <f t="shared" si="3"/>
        <v>13</v>
      </c>
    </row>
    <row r="196">
      <c r="A196" s="8">
        <f>IFERROR(__xludf.DUMMYFUNCTION("""COMPUTED_VALUE"""),44478.0)</f>
        <v>44478</v>
      </c>
      <c r="B196">
        <f>IFERROR(__xludf.DUMMYFUNCTION("""COMPUTED_VALUE"""),3.0)</f>
        <v>3</v>
      </c>
      <c r="C196">
        <f>IFERROR(__xludf.DUMMYFUNCTION("""COMPUTED_VALUE"""),2.0)</f>
        <v>2</v>
      </c>
      <c r="E196" s="8">
        <f>IFERROR(__xludf.DUMMYFUNCTION("""COMPUTED_VALUE"""),44478.0)</f>
        <v>44478</v>
      </c>
      <c r="F196">
        <f t="shared" ref="F196:G196" si="196">B196+F197</f>
        <v>829</v>
      </c>
      <c r="G196">
        <f t="shared" si="196"/>
        <v>817</v>
      </c>
      <c r="I196" s="8">
        <f>IFERROR(__xludf.DUMMYFUNCTION("""COMPUTED_VALUE"""),44478.0)</f>
        <v>44478</v>
      </c>
      <c r="J196">
        <f t="shared" si="3"/>
        <v>12</v>
      </c>
    </row>
    <row r="197">
      <c r="A197" s="8">
        <f>IFERROR(__xludf.DUMMYFUNCTION("""COMPUTED_VALUE"""),44478.0)</f>
        <v>44478</v>
      </c>
      <c r="B197">
        <f>IFERROR(__xludf.DUMMYFUNCTION("""COMPUTED_VALUE"""),3.0)</f>
        <v>3</v>
      </c>
      <c r="C197">
        <f>IFERROR(__xludf.DUMMYFUNCTION("""COMPUTED_VALUE"""),2.0)</f>
        <v>2</v>
      </c>
      <c r="E197" s="8">
        <f>IFERROR(__xludf.DUMMYFUNCTION("""COMPUTED_VALUE"""),44478.0)</f>
        <v>44478</v>
      </c>
      <c r="F197">
        <f t="shared" ref="F197:G197" si="197">B197+F198</f>
        <v>826</v>
      </c>
      <c r="G197">
        <f t="shared" si="197"/>
        <v>815</v>
      </c>
      <c r="I197" s="8">
        <f>IFERROR(__xludf.DUMMYFUNCTION("""COMPUTED_VALUE"""),44478.0)</f>
        <v>44478</v>
      </c>
      <c r="J197">
        <f t="shared" si="3"/>
        <v>11</v>
      </c>
    </row>
    <row r="198">
      <c r="A198" s="8">
        <f>IFERROR(__xludf.DUMMYFUNCTION("""COMPUTED_VALUE"""),44471.0)</f>
        <v>44471</v>
      </c>
      <c r="B198">
        <f>IFERROR(__xludf.DUMMYFUNCTION("""COMPUTED_VALUE"""),3.0)</f>
        <v>3</v>
      </c>
      <c r="C198">
        <f>IFERROR(__xludf.DUMMYFUNCTION("""COMPUTED_VALUE"""),1.0)</f>
        <v>1</v>
      </c>
      <c r="E198" s="8">
        <f>IFERROR(__xludf.DUMMYFUNCTION("""COMPUTED_VALUE"""),44471.0)</f>
        <v>44471</v>
      </c>
      <c r="F198">
        <f t="shared" ref="F198:G198" si="198">B198+F199</f>
        <v>823</v>
      </c>
      <c r="G198">
        <f t="shared" si="198"/>
        <v>813</v>
      </c>
      <c r="I198" s="8">
        <f>IFERROR(__xludf.DUMMYFUNCTION("""COMPUTED_VALUE"""),44471.0)</f>
        <v>44471</v>
      </c>
      <c r="J198">
        <f t="shared" si="3"/>
        <v>10</v>
      </c>
    </row>
    <row r="199">
      <c r="A199" s="8">
        <f>IFERROR(__xludf.DUMMYFUNCTION("""COMPUTED_VALUE"""),44471.0)</f>
        <v>44471</v>
      </c>
      <c r="B199">
        <f>IFERROR(__xludf.DUMMYFUNCTION("""COMPUTED_VALUE"""),1.0)</f>
        <v>1</v>
      </c>
      <c r="C199">
        <f>IFERROR(__xludf.DUMMYFUNCTION("""COMPUTED_VALUE"""),2.0)</f>
        <v>2</v>
      </c>
      <c r="E199" s="8">
        <f>IFERROR(__xludf.DUMMYFUNCTION("""COMPUTED_VALUE"""),44471.0)</f>
        <v>44471</v>
      </c>
      <c r="F199">
        <f t="shared" ref="F199:G199" si="199">B199+F200</f>
        <v>820</v>
      </c>
      <c r="G199">
        <f t="shared" si="199"/>
        <v>812</v>
      </c>
      <c r="I199" s="8">
        <f>IFERROR(__xludf.DUMMYFUNCTION("""COMPUTED_VALUE"""),44471.0)</f>
        <v>44471</v>
      </c>
      <c r="J199">
        <f t="shared" si="3"/>
        <v>8</v>
      </c>
    </row>
    <row r="200">
      <c r="A200" s="8">
        <f>IFERROR(__xludf.DUMMYFUNCTION("""COMPUTED_VALUE"""),44458.0)</f>
        <v>44458</v>
      </c>
      <c r="B200">
        <f>IFERROR(__xludf.DUMMYFUNCTION("""COMPUTED_VALUE"""),2.0)</f>
        <v>2</v>
      </c>
      <c r="C200">
        <f>IFERROR(__xludf.DUMMYFUNCTION("""COMPUTED_VALUE"""),1.0)</f>
        <v>1</v>
      </c>
      <c r="E200" s="8">
        <f>IFERROR(__xludf.DUMMYFUNCTION("""COMPUTED_VALUE"""),44458.0)</f>
        <v>44458</v>
      </c>
      <c r="F200">
        <f t="shared" ref="F200:G200" si="200">B200+F201</f>
        <v>819</v>
      </c>
      <c r="G200">
        <f t="shared" si="200"/>
        <v>810</v>
      </c>
      <c r="I200" s="8">
        <f>IFERROR(__xludf.DUMMYFUNCTION("""COMPUTED_VALUE"""),44458.0)</f>
        <v>44458</v>
      </c>
      <c r="J200">
        <f t="shared" si="3"/>
        <v>9</v>
      </c>
    </row>
    <row r="201">
      <c r="A201" s="8">
        <f>IFERROR(__xludf.DUMMYFUNCTION("""COMPUTED_VALUE"""),44445.0)</f>
        <v>44445</v>
      </c>
      <c r="B201">
        <f>IFERROR(__xludf.DUMMYFUNCTION("""COMPUTED_VALUE"""),3.0)</f>
        <v>3</v>
      </c>
      <c r="C201">
        <f>IFERROR(__xludf.DUMMYFUNCTION("""COMPUTED_VALUE"""),1.0)</f>
        <v>1</v>
      </c>
      <c r="E201" s="8">
        <f>IFERROR(__xludf.DUMMYFUNCTION("""COMPUTED_VALUE"""),44445.0)</f>
        <v>44445</v>
      </c>
      <c r="F201">
        <f t="shared" ref="F201:G201" si="201">B201+F202</f>
        <v>817</v>
      </c>
      <c r="G201">
        <f t="shared" si="201"/>
        <v>809</v>
      </c>
      <c r="I201" s="8">
        <f>IFERROR(__xludf.DUMMYFUNCTION("""COMPUTED_VALUE"""),44445.0)</f>
        <v>44445</v>
      </c>
      <c r="J201">
        <f t="shared" si="3"/>
        <v>8</v>
      </c>
    </row>
    <row r="202">
      <c r="A202" s="8">
        <f>IFERROR(__xludf.DUMMYFUNCTION("""COMPUTED_VALUE"""),44444.0)</f>
        <v>44444</v>
      </c>
      <c r="B202">
        <f>IFERROR(__xludf.DUMMYFUNCTION("""COMPUTED_VALUE"""),1.0)</f>
        <v>1</v>
      </c>
      <c r="C202">
        <f>IFERROR(__xludf.DUMMYFUNCTION("""COMPUTED_VALUE"""),2.0)</f>
        <v>2</v>
      </c>
      <c r="E202" s="8">
        <f>IFERROR(__xludf.DUMMYFUNCTION("""COMPUTED_VALUE"""),44444.0)</f>
        <v>44444</v>
      </c>
      <c r="F202">
        <f t="shared" ref="F202:G202" si="202">B202+F203</f>
        <v>814</v>
      </c>
      <c r="G202">
        <f t="shared" si="202"/>
        <v>808</v>
      </c>
      <c r="I202" s="8">
        <f>IFERROR(__xludf.DUMMYFUNCTION("""COMPUTED_VALUE"""),44444.0)</f>
        <v>44444</v>
      </c>
      <c r="J202">
        <f t="shared" si="3"/>
        <v>6</v>
      </c>
    </row>
    <row r="203">
      <c r="A203" s="8">
        <f>IFERROR(__xludf.DUMMYFUNCTION("""COMPUTED_VALUE"""),44444.0)</f>
        <v>44444</v>
      </c>
      <c r="B203">
        <f>IFERROR(__xludf.DUMMYFUNCTION("""COMPUTED_VALUE"""),2.0)</f>
        <v>2</v>
      </c>
      <c r="C203">
        <f>IFERROR(__xludf.DUMMYFUNCTION("""COMPUTED_VALUE"""),1.0)</f>
        <v>1</v>
      </c>
      <c r="E203" s="8">
        <f>IFERROR(__xludf.DUMMYFUNCTION("""COMPUTED_VALUE"""),44444.0)</f>
        <v>44444</v>
      </c>
      <c r="F203">
        <f t="shared" ref="F203:G203" si="203">B203+F204</f>
        <v>813</v>
      </c>
      <c r="G203">
        <f t="shared" si="203"/>
        <v>806</v>
      </c>
      <c r="I203" s="8">
        <f>IFERROR(__xludf.DUMMYFUNCTION("""COMPUTED_VALUE"""),44444.0)</f>
        <v>44444</v>
      </c>
      <c r="J203">
        <f t="shared" si="3"/>
        <v>7</v>
      </c>
    </row>
    <row r="204">
      <c r="A204" s="8">
        <f>IFERROR(__xludf.DUMMYFUNCTION("""COMPUTED_VALUE"""),44436.0)</f>
        <v>44436</v>
      </c>
      <c r="B204">
        <f>IFERROR(__xludf.DUMMYFUNCTION("""COMPUTED_VALUE"""),3.0)</f>
        <v>3</v>
      </c>
      <c r="C204">
        <f>IFERROR(__xludf.DUMMYFUNCTION("""COMPUTED_VALUE"""),2.0)</f>
        <v>2</v>
      </c>
      <c r="E204" s="8">
        <f>IFERROR(__xludf.DUMMYFUNCTION("""COMPUTED_VALUE"""),44436.0)</f>
        <v>44436</v>
      </c>
      <c r="F204">
        <f t="shared" ref="F204:G204" si="204">B204+F205</f>
        <v>811</v>
      </c>
      <c r="G204">
        <f t="shared" si="204"/>
        <v>805</v>
      </c>
      <c r="I204" s="8">
        <f>IFERROR(__xludf.DUMMYFUNCTION("""COMPUTED_VALUE"""),44436.0)</f>
        <v>44436</v>
      </c>
      <c r="J204">
        <f t="shared" si="3"/>
        <v>6</v>
      </c>
    </row>
    <row r="205">
      <c r="A205" s="8">
        <f>IFERROR(__xludf.DUMMYFUNCTION("""COMPUTED_VALUE"""),44430.0)</f>
        <v>44430</v>
      </c>
      <c r="B205">
        <f>IFERROR(__xludf.DUMMYFUNCTION("""COMPUTED_VALUE"""),3.0)</f>
        <v>3</v>
      </c>
      <c r="C205">
        <f>IFERROR(__xludf.DUMMYFUNCTION("""COMPUTED_VALUE"""),2.0)</f>
        <v>2</v>
      </c>
      <c r="E205" s="8">
        <f>IFERROR(__xludf.DUMMYFUNCTION("""COMPUTED_VALUE"""),44430.0)</f>
        <v>44430</v>
      </c>
      <c r="F205">
        <f t="shared" ref="F205:G205" si="205">B205+F206</f>
        <v>808</v>
      </c>
      <c r="G205">
        <f t="shared" si="205"/>
        <v>803</v>
      </c>
      <c r="I205" s="8">
        <f>IFERROR(__xludf.DUMMYFUNCTION("""COMPUTED_VALUE"""),44430.0)</f>
        <v>44430</v>
      </c>
      <c r="J205">
        <f t="shared" si="3"/>
        <v>5</v>
      </c>
    </row>
    <row r="206">
      <c r="A206" s="8">
        <f>IFERROR(__xludf.DUMMYFUNCTION("""COMPUTED_VALUE"""),44430.0)</f>
        <v>44430</v>
      </c>
      <c r="B206">
        <f>IFERROR(__xludf.DUMMYFUNCTION("""COMPUTED_VALUE"""),2.0)</f>
        <v>2</v>
      </c>
      <c r="C206">
        <f>IFERROR(__xludf.DUMMYFUNCTION("""COMPUTED_VALUE"""),3.0)</f>
        <v>3</v>
      </c>
      <c r="E206" s="8">
        <f>IFERROR(__xludf.DUMMYFUNCTION("""COMPUTED_VALUE"""),44430.0)</f>
        <v>44430</v>
      </c>
      <c r="F206">
        <f t="shared" ref="F206:G206" si="206">B206+F207</f>
        <v>805</v>
      </c>
      <c r="G206">
        <f t="shared" si="206"/>
        <v>801</v>
      </c>
      <c r="I206" s="8">
        <f>IFERROR(__xludf.DUMMYFUNCTION("""COMPUTED_VALUE"""),44430.0)</f>
        <v>44430</v>
      </c>
      <c r="J206">
        <f t="shared" si="3"/>
        <v>4</v>
      </c>
    </row>
    <row r="207">
      <c r="A207" s="8">
        <f>IFERROR(__xludf.DUMMYFUNCTION("""COMPUTED_VALUE"""),44429.0)</f>
        <v>44429</v>
      </c>
      <c r="B207">
        <f>IFERROR(__xludf.DUMMYFUNCTION("""COMPUTED_VALUE"""),3.0)</f>
        <v>3</v>
      </c>
      <c r="C207">
        <f>IFERROR(__xludf.DUMMYFUNCTION("""COMPUTED_VALUE"""),1.0)</f>
        <v>1</v>
      </c>
      <c r="E207" s="8">
        <f>IFERROR(__xludf.DUMMYFUNCTION("""COMPUTED_VALUE"""),44429.0)</f>
        <v>44429</v>
      </c>
      <c r="F207">
        <f t="shared" ref="F207:G207" si="207">B207+F208</f>
        <v>803</v>
      </c>
      <c r="G207">
        <f t="shared" si="207"/>
        <v>798</v>
      </c>
      <c r="I207" s="8">
        <f>IFERROR(__xludf.DUMMYFUNCTION("""COMPUTED_VALUE"""),44429.0)</f>
        <v>44429</v>
      </c>
      <c r="J207">
        <f t="shared" si="3"/>
        <v>5</v>
      </c>
    </row>
    <row r="208">
      <c r="A208" s="8">
        <f>IFERROR(__xludf.DUMMYFUNCTION("""COMPUTED_VALUE"""),44429.0)</f>
        <v>44429</v>
      </c>
      <c r="B208">
        <f>IFERROR(__xludf.DUMMYFUNCTION("""COMPUTED_VALUE"""),1.0)</f>
        <v>1</v>
      </c>
      <c r="C208">
        <f>IFERROR(__xludf.DUMMYFUNCTION("""COMPUTED_VALUE"""),2.0)</f>
        <v>2</v>
      </c>
      <c r="E208" s="8">
        <f>IFERROR(__xludf.DUMMYFUNCTION("""COMPUTED_VALUE"""),44429.0)</f>
        <v>44429</v>
      </c>
      <c r="F208">
        <f t="shared" ref="F208:G208" si="208">B208+F209</f>
        <v>800</v>
      </c>
      <c r="G208">
        <f t="shared" si="208"/>
        <v>797</v>
      </c>
      <c r="I208" s="8">
        <f>IFERROR(__xludf.DUMMYFUNCTION("""COMPUTED_VALUE"""),44429.0)</f>
        <v>44429</v>
      </c>
      <c r="J208">
        <f t="shared" si="3"/>
        <v>3</v>
      </c>
    </row>
    <row r="209">
      <c r="A209" s="8">
        <f>IFERROR(__xludf.DUMMYFUNCTION("""COMPUTED_VALUE"""),44426.0)</f>
        <v>44426</v>
      </c>
      <c r="B209">
        <f>IFERROR(__xludf.DUMMYFUNCTION("""COMPUTED_VALUE"""),1.0)</f>
        <v>1</v>
      </c>
      <c r="C209">
        <f>IFERROR(__xludf.DUMMYFUNCTION("""COMPUTED_VALUE"""),2.0)</f>
        <v>2</v>
      </c>
      <c r="E209" s="8">
        <f>IFERROR(__xludf.DUMMYFUNCTION("""COMPUTED_VALUE"""),44426.0)</f>
        <v>44426</v>
      </c>
      <c r="F209">
        <f t="shared" ref="F209:G209" si="209">B209+F210</f>
        <v>799</v>
      </c>
      <c r="G209">
        <f t="shared" si="209"/>
        <v>795</v>
      </c>
      <c r="I209" s="8">
        <f>IFERROR(__xludf.DUMMYFUNCTION("""COMPUTED_VALUE"""),44426.0)</f>
        <v>44426</v>
      </c>
      <c r="J209">
        <f t="shared" si="3"/>
        <v>4</v>
      </c>
    </row>
    <row r="210">
      <c r="A210" s="8">
        <f>IFERROR(__xludf.DUMMYFUNCTION("""COMPUTED_VALUE"""),44423.0)</f>
        <v>44423</v>
      </c>
      <c r="B210">
        <f>IFERROR(__xludf.DUMMYFUNCTION("""COMPUTED_VALUE"""),2.0)</f>
        <v>2</v>
      </c>
      <c r="C210">
        <f>IFERROR(__xludf.DUMMYFUNCTION("""COMPUTED_VALUE"""),1.0)</f>
        <v>1</v>
      </c>
      <c r="E210" s="8">
        <f>IFERROR(__xludf.DUMMYFUNCTION("""COMPUTED_VALUE"""),44423.0)</f>
        <v>44423</v>
      </c>
      <c r="F210">
        <f t="shared" ref="F210:G210" si="210">B210+F211</f>
        <v>798</v>
      </c>
      <c r="G210">
        <f t="shared" si="210"/>
        <v>793</v>
      </c>
      <c r="I210" s="8">
        <f>IFERROR(__xludf.DUMMYFUNCTION("""COMPUTED_VALUE"""),44423.0)</f>
        <v>44423</v>
      </c>
      <c r="J210">
        <f t="shared" si="3"/>
        <v>5</v>
      </c>
    </row>
    <row r="211">
      <c r="A211" s="8">
        <f>IFERROR(__xludf.DUMMYFUNCTION("""COMPUTED_VALUE"""),44422.0)</f>
        <v>44422</v>
      </c>
      <c r="B211">
        <f>IFERROR(__xludf.DUMMYFUNCTION("""COMPUTED_VALUE"""),4.0)</f>
        <v>4</v>
      </c>
      <c r="C211">
        <f>IFERROR(__xludf.DUMMYFUNCTION("""COMPUTED_VALUE"""),1.0)</f>
        <v>1</v>
      </c>
      <c r="E211" s="8">
        <f>IFERROR(__xludf.DUMMYFUNCTION("""COMPUTED_VALUE"""),44422.0)</f>
        <v>44422</v>
      </c>
      <c r="F211">
        <f t="shared" ref="F211:G211" si="211">B211+F212</f>
        <v>796</v>
      </c>
      <c r="G211">
        <f t="shared" si="211"/>
        <v>792</v>
      </c>
      <c r="I211" s="8">
        <f>IFERROR(__xludf.DUMMYFUNCTION("""COMPUTED_VALUE"""),44422.0)</f>
        <v>44422</v>
      </c>
      <c r="J211">
        <f t="shared" si="3"/>
        <v>4</v>
      </c>
    </row>
    <row r="212">
      <c r="A212" s="8">
        <f>IFERROR(__xludf.DUMMYFUNCTION("""COMPUTED_VALUE"""),44416.0)</f>
        <v>44416</v>
      </c>
      <c r="B212">
        <f>IFERROR(__xludf.DUMMYFUNCTION("""COMPUTED_VALUE"""),3.0)</f>
        <v>3</v>
      </c>
      <c r="C212">
        <f>IFERROR(__xludf.DUMMYFUNCTION("""COMPUTED_VALUE"""),1.0)</f>
        <v>1</v>
      </c>
      <c r="E212" s="8">
        <f>IFERROR(__xludf.DUMMYFUNCTION("""COMPUTED_VALUE"""),44416.0)</f>
        <v>44416</v>
      </c>
      <c r="F212">
        <f t="shared" ref="F212:G212" si="212">B212+F213</f>
        <v>792</v>
      </c>
      <c r="G212">
        <f t="shared" si="212"/>
        <v>791</v>
      </c>
      <c r="I212" s="8">
        <f>IFERROR(__xludf.DUMMYFUNCTION("""COMPUTED_VALUE"""),44416.0)</f>
        <v>44416</v>
      </c>
      <c r="J212">
        <f t="shared" si="3"/>
        <v>1</v>
      </c>
    </row>
    <row r="213">
      <c r="A213" s="8">
        <f>IFERROR(__xludf.DUMMYFUNCTION("""COMPUTED_VALUE"""),44415.0)</f>
        <v>44415</v>
      </c>
      <c r="B213">
        <f>IFERROR(__xludf.DUMMYFUNCTION("""COMPUTED_VALUE"""),3.0)</f>
        <v>3</v>
      </c>
      <c r="C213">
        <f>IFERROR(__xludf.DUMMYFUNCTION("""COMPUTED_VALUE"""),1.0)</f>
        <v>1</v>
      </c>
      <c r="E213" s="8">
        <f>IFERROR(__xludf.DUMMYFUNCTION("""COMPUTED_VALUE"""),44415.0)</f>
        <v>44415</v>
      </c>
      <c r="F213">
        <f t="shared" ref="F213:G213" si="213">B213+F214</f>
        <v>789</v>
      </c>
      <c r="G213">
        <f t="shared" si="213"/>
        <v>790</v>
      </c>
      <c r="I213" s="8">
        <f>IFERROR(__xludf.DUMMYFUNCTION("""COMPUTED_VALUE"""),44415.0)</f>
        <v>44415</v>
      </c>
      <c r="J213">
        <f t="shared" si="3"/>
        <v>-1</v>
      </c>
    </row>
    <row r="214">
      <c r="A214" s="8">
        <f>IFERROR(__xludf.DUMMYFUNCTION("""COMPUTED_VALUE"""),44415.0)</f>
        <v>44415</v>
      </c>
      <c r="B214">
        <f>IFERROR(__xludf.DUMMYFUNCTION("""COMPUTED_VALUE"""),3.0)</f>
        <v>3</v>
      </c>
      <c r="C214">
        <f>IFERROR(__xludf.DUMMYFUNCTION("""COMPUTED_VALUE"""),2.0)</f>
        <v>2</v>
      </c>
      <c r="E214" s="8">
        <f>IFERROR(__xludf.DUMMYFUNCTION("""COMPUTED_VALUE"""),44415.0)</f>
        <v>44415</v>
      </c>
      <c r="F214">
        <f t="shared" ref="F214:G214" si="214">B214+F215</f>
        <v>786</v>
      </c>
      <c r="G214">
        <f t="shared" si="214"/>
        <v>789</v>
      </c>
      <c r="I214" s="8">
        <f>IFERROR(__xludf.DUMMYFUNCTION("""COMPUTED_VALUE"""),44415.0)</f>
        <v>44415</v>
      </c>
      <c r="J214">
        <f t="shared" si="3"/>
        <v>-3</v>
      </c>
    </row>
    <row r="215">
      <c r="A215" s="8">
        <f>IFERROR(__xludf.DUMMYFUNCTION("""COMPUTED_VALUE"""),44409.0)</f>
        <v>44409</v>
      </c>
      <c r="B215">
        <f>IFERROR(__xludf.DUMMYFUNCTION("""COMPUTED_VALUE"""),2.0)</f>
        <v>2</v>
      </c>
      <c r="C215">
        <f>IFERROR(__xludf.DUMMYFUNCTION("""COMPUTED_VALUE"""),3.0)</f>
        <v>3</v>
      </c>
      <c r="E215" s="8">
        <f>IFERROR(__xludf.DUMMYFUNCTION("""COMPUTED_VALUE"""),44409.0)</f>
        <v>44409</v>
      </c>
      <c r="F215">
        <f t="shared" ref="F215:G215" si="215">B215+F216</f>
        <v>783</v>
      </c>
      <c r="G215">
        <f t="shared" si="215"/>
        <v>787</v>
      </c>
      <c r="I215" s="8">
        <f>IFERROR(__xludf.DUMMYFUNCTION("""COMPUTED_VALUE"""),44409.0)</f>
        <v>44409</v>
      </c>
      <c r="J215">
        <f t="shared" si="3"/>
        <v>-4</v>
      </c>
    </row>
    <row r="216">
      <c r="A216" s="8">
        <f>IFERROR(__xludf.DUMMYFUNCTION("""COMPUTED_VALUE"""),44402.0)</f>
        <v>44402</v>
      </c>
      <c r="B216">
        <f>IFERROR(__xludf.DUMMYFUNCTION("""COMPUTED_VALUE"""),2.0)</f>
        <v>2</v>
      </c>
      <c r="C216">
        <f>IFERROR(__xludf.DUMMYFUNCTION("""COMPUTED_VALUE"""),1.0)</f>
        <v>1</v>
      </c>
      <c r="E216" s="8">
        <f>IFERROR(__xludf.DUMMYFUNCTION("""COMPUTED_VALUE"""),44402.0)</f>
        <v>44402</v>
      </c>
      <c r="F216">
        <f t="shared" ref="F216:G216" si="216">B216+F217</f>
        <v>781</v>
      </c>
      <c r="G216">
        <f t="shared" si="216"/>
        <v>784</v>
      </c>
      <c r="I216" s="8">
        <f>IFERROR(__xludf.DUMMYFUNCTION("""COMPUTED_VALUE"""),44402.0)</f>
        <v>44402</v>
      </c>
      <c r="J216">
        <f t="shared" si="3"/>
        <v>-3</v>
      </c>
    </row>
    <row r="217">
      <c r="A217" s="8">
        <f>IFERROR(__xludf.DUMMYFUNCTION("""COMPUTED_VALUE"""),44398.0)</f>
        <v>44398</v>
      </c>
      <c r="B217">
        <f>IFERROR(__xludf.DUMMYFUNCTION("""COMPUTED_VALUE"""),1.0)</f>
        <v>1</v>
      </c>
      <c r="C217">
        <f>IFERROR(__xludf.DUMMYFUNCTION("""COMPUTED_VALUE"""),3.0)</f>
        <v>3</v>
      </c>
      <c r="E217" s="8">
        <f>IFERROR(__xludf.DUMMYFUNCTION("""COMPUTED_VALUE"""),44398.0)</f>
        <v>44398</v>
      </c>
      <c r="F217">
        <f t="shared" ref="F217:G217" si="217">B217+F218</f>
        <v>779</v>
      </c>
      <c r="G217">
        <f t="shared" si="217"/>
        <v>783</v>
      </c>
      <c r="I217" s="8">
        <f>IFERROR(__xludf.DUMMYFUNCTION("""COMPUTED_VALUE"""),44398.0)</f>
        <v>44398</v>
      </c>
      <c r="J217">
        <f t="shared" si="3"/>
        <v>-4</v>
      </c>
    </row>
    <row r="218">
      <c r="A218" s="8">
        <f>IFERROR(__xludf.DUMMYFUNCTION("""COMPUTED_VALUE"""),44391.0)</f>
        <v>44391</v>
      </c>
      <c r="B218">
        <f>IFERROR(__xludf.DUMMYFUNCTION("""COMPUTED_VALUE"""),1.0)</f>
        <v>1</v>
      </c>
      <c r="C218">
        <f>IFERROR(__xludf.DUMMYFUNCTION("""COMPUTED_VALUE"""),3.0)</f>
        <v>3</v>
      </c>
      <c r="E218" s="8">
        <f>IFERROR(__xludf.DUMMYFUNCTION("""COMPUTED_VALUE"""),44391.0)</f>
        <v>44391</v>
      </c>
      <c r="F218">
        <f t="shared" ref="F218:G218" si="218">B218+F219</f>
        <v>778</v>
      </c>
      <c r="G218">
        <f t="shared" si="218"/>
        <v>780</v>
      </c>
      <c r="I218" s="8">
        <f>IFERROR(__xludf.DUMMYFUNCTION("""COMPUTED_VALUE"""),44391.0)</f>
        <v>44391</v>
      </c>
      <c r="J218">
        <f t="shared" si="3"/>
        <v>-2</v>
      </c>
    </row>
    <row r="219">
      <c r="A219" s="8">
        <f>IFERROR(__xludf.DUMMYFUNCTION("""COMPUTED_VALUE"""),44384.0)</f>
        <v>44384</v>
      </c>
      <c r="B219">
        <f>IFERROR(__xludf.DUMMYFUNCTION("""COMPUTED_VALUE"""),2.0)</f>
        <v>2</v>
      </c>
      <c r="C219">
        <f>IFERROR(__xludf.DUMMYFUNCTION("""COMPUTED_VALUE"""),3.0)</f>
        <v>3</v>
      </c>
      <c r="E219" s="8">
        <f>IFERROR(__xludf.DUMMYFUNCTION("""COMPUTED_VALUE"""),44384.0)</f>
        <v>44384</v>
      </c>
      <c r="F219">
        <f t="shared" ref="F219:G219" si="219">B219+F220</f>
        <v>777</v>
      </c>
      <c r="G219">
        <f t="shared" si="219"/>
        <v>777</v>
      </c>
      <c r="I219" s="8">
        <f>IFERROR(__xludf.DUMMYFUNCTION("""COMPUTED_VALUE"""),44384.0)</f>
        <v>44384</v>
      </c>
      <c r="J219">
        <f t="shared" si="3"/>
        <v>0</v>
      </c>
    </row>
    <row r="220">
      <c r="A220" s="8">
        <f>IFERROR(__xludf.DUMMYFUNCTION("""COMPUTED_VALUE"""),44382.0)</f>
        <v>44382</v>
      </c>
      <c r="B220">
        <f>IFERROR(__xludf.DUMMYFUNCTION("""COMPUTED_VALUE"""),2.0)</f>
        <v>2</v>
      </c>
      <c r="C220">
        <f>IFERROR(__xludf.DUMMYFUNCTION("""COMPUTED_VALUE"""),1.0)</f>
        <v>1</v>
      </c>
      <c r="E220" s="8">
        <f>IFERROR(__xludf.DUMMYFUNCTION("""COMPUTED_VALUE"""),44382.0)</f>
        <v>44382</v>
      </c>
      <c r="F220">
        <f t="shared" ref="F220:G220" si="220">B220+F221</f>
        <v>775</v>
      </c>
      <c r="G220">
        <f t="shared" si="220"/>
        <v>774</v>
      </c>
      <c r="I220" s="8">
        <f>IFERROR(__xludf.DUMMYFUNCTION("""COMPUTED_VALUE"""),44382.0)</f>
        <v>44382</v>
      </c>
      <c r="J220">
        <f t="shared" si="3"/>
        <v>1</v>
      </c>
    </row>
    <row r="221">
      <c r="A221" s="8">
        <f>IFERROR(__xludf.DUMMYFUNCTION("""COMPUTED_VALUE"""),44381.0)</f>
        <v>44381</v>
      </c>
      <c r="B221">
        <f>IFERROR(__xludf.DUMMYFUNCTION("""COMPUTED_VALUE"""),2.0)</f>
        <v>2</v>
      </c>
      <c r="C221">
        <f>IFERROR(__xludf.DUMMYFUNCTION("""COMPUTED_VALUE"""),1.0)</f>
        <v>1</v>
      </c>
      <c r="E221" s="8">
        <f>IFERROR(__xludf.DUMMYFUNCTION("""COMPUTED_VALUE"""),44381.0)</f>
        <v>44381</v>
      </c>
      <c r="F221">
        <f t="shared" ref="F221:G221" si="221">B221+F222</f>
        <v>773</v>
      </c>
      <c r="G221">
        <f t="shared" si="221"/>
        <v>773</v>
      </c>
      <c r="I221" s="8">
        <f>IFERROR(__xludf.DUMMYFUNCTION("""COMPUTED_VALUE"""),44381.0)</f>
        <v>44381</v>
      </c>
      <c r="J221">
        <f t="shared" si="3"/>
        <v>0</v>
      </c>
    </row>
    <row r="222">
      <c r="A222" s="8">
        <f>IFERROR(__xludf.DUMMYFUNCTION("""COMPUTED_VALUE"""),44377.0)</f>
        <v>44377</v>
      </c>
      <c r="B222">
        <f>IFERROR(__xludf.DUMMYFUNCTION("""COMPUTED_VALUE"""),2.0)</f>
        <v>2</v>
      </c>
      <c r="C222">
        <f>IFERROR(__xludf.DUMMYFUNCTION("""COMPUTED_VALUE"""),1.0)</f>
        <v>1</v>
      </c>
      <c r="E222" s="8">
        <f>IFERROR(__xludf.DUMMYFUNCTION("""COMPUTED_VALUE"""),44377.0)</f>
        <v>44377</v>
      </c>
      <c r="F222">
        <f t="shared" ref="F222:G222" si="222">B222+F223</f>
        <v>771</v>
      </c>
      <c r="G222">
        <f t="shared" si="222"/>
        <v>772</v>
      </c>
      <c r="I222" s="8">
        <f>IFERROR(__xludf.DUMMYFUNCTION("""COMPUTED_VALUE"""),44377.0)</f>
        <v>44377</v>
      </c>
      <c r="J222">
        <f t="shared" si="3"/>
        <v>-1</v>
      </c>
    </row>
    <row r="223">
      <c r="A223" s="8">
        <f>IFERROR(__xludf.DUMMYFUNCTION("""COMPUTED_VALUE"""),44374.0)</f>
        <v>44374</v>
      </c>
      <c r="B223">
        <f>IFERROR(__xludf.DUMMYFUNCTION("""COMPUTED_VALUE"""),1.0)</f>
        <v>1</v>
      </c>
      <c r="C223">
        <f>IFERROR(__xludf.DUMMYFUNCTION("""COMPUTED_VALUE"""),2.0)</f>
        <v>2</v>
      </c>
      <c r="E223" s="8">
        <f>IFERROR(__xludf.DUMMYFUNCTION("""COMPUTED_VALUE"""),44374.0)</f>
        <v>44374</v>
      </c>
      <c r="F223">
        <f t="shared" ref="F223:G223" si="223">B223+F224</f>
        <v>769</v>
      </c>
      <c r="G223">
        <f t="shared" si="223"/>
        <v>771</v>
      </c>
      <c r="I223" s="8">
        <f>IFERROR(__xludf.DUMMYFUNCTION("""COMPUTED_VALUE"""),44374.0)</f>
        <v>44374</v>
      </c>
      <c r="J223">
        <f t="shared" si="3"/>
        <v>-2</v>
      </c>
    </row>
    <row r="224">
      <c r="A224" s="8">
        <f>IFERROR(__xludf.DUMMYFUNCTION("""COMPUTED_VALUE"""),44373.0)</f>
        <v>44373</v>
      </c>
      <c r="B224">
        <f>IFERROR(__xludf.DUMMYFUNCTION("""COMPUTED_VALUE"""),3.0)</f>
        <v>3</v>
      </c>
      <c r="C224">
        <f>IFERROR(__xludf.DUMMYFUNCTION("""COMPUTED_VALUE"""),1.0)</f>
        <v>1</v>
      </c>
      <c r="E224" s="8">
        <f>IFERROR(__xludf.DUMMYFUNCTION("""COMPUTED_VALUE"""),44373.0)</f>
        <v>44373</v>
      </c>
      <c r="F224">
        <f t="shared" ref="F224:G224" si="224">B224+F225</f>
        <v>768</v>
      </c>
      <c r="G224">
        <f t="shared" si="224"/>
        <v>769</v>
      </c>
      <c r="I224" s="8">
        <f>IFERROR(__xludf.DUMMYFUNCTION("""COMPUTED_VALUE"""),44373.0)</f>
        <v>44373</v>
      </c>
      <c r="J224">
        <f t="shared" si="3"/>
        <v>-1</v>
      </c>
    </row>
    <row r="225">
      <c r="A225" s="8">
        <f>IFERROR(__xludf.DUMMYFUNCTION("""COMPUTED_VALUE"""),44367.0)</f>
        <v>44367</v>
      </c>
      <c r="B225">
        <f>IFERROR(__xludf.DUMMYFUNCTION("""COMPUTED_VALUE"""),3.0)</f>
        <v>3</v>
      </c>
      <c r="C225">
        <f>IFERROR(__xludf.DUMMYFUNCTION("""COMPUTED_VALUE"""),1.0)</f>
        <v>1</v>
      </c>
      <c r="E225" s="8">
        <f>IFERROR(__xludf.DUMMYFUNCTION("""COMPUTED_VALUE"""),44367.0)</f>
        <v>44367</v>
      </c>
      <c r="F225">
        <f t="shared" ref="F225:G225" si="225">B225+F226</f>
        <v>765</v>
      </c>
      <c r="G225">
        <f t="shared" si="225"/>
        <v>768</v>
      </c>
      <c r="I225" s="8">
        <f>IFERROR(__xludf.DUMMYFUNCTION("""COMPUTED_VALUE"""),44367.0)</f>
        <v>44367</v>
      </c>
      <c r="J225">
        <f t="shared" si="3"/>
        <v>-3</v>
      </c>
    </row>
    <row r="226">
      <c r="A226" s="8">
        <f>IFERROR(__xludf.DUMMYFUNCTION("""COMPUTED_VALUE"""),44363.0)</f>
        <v>44363</v>
      </c>
      <c r="B226">
        <f>IFERROR(__xludf.DUMMYFUNCTION("""COMPUTED_VALUE"""),3.0)</f>
        <v>3</v>
      </c>
      <c r="C226">
        <f>IFERROR(__xludf.DUMMYFUNCTION("""COMPUTED_VALUE"""),2.0)</f>
        <v>2</v>
      </c>
      <c r="E226" s="8">
        <f>IFERROR(__xludf.DUMMYFUNCTION("""COMPUTED_VALUE"""),44363.0)</f>
        <v>44363</v>
      </c>
      <c r="F226">
        <f t="shared" ref="F226:G226" si="226">B226+F227</f>
        <v>762</v>
      </c>
      <c r="G226">
        <f t="shared" si="226"/>
        <v>767</v>
      </c>
      <c r="I226" s="8">
        <f>IFERROR(__xludf.DUMMYFUNCTION("""COMPUTED_VALUE"""),44363.0)</f>
        <v>44363</v>
      </c>
      <c r="J226">
        <f t="shared" si="3"/>
        <v>-5</v>
      </c>
    </row>
    <row r="227">
      <c r="A227" s="8">
        <f>IFERROR(__xludf.DUMMYFUNCTION("""COMPUTED_VALUE"""),44353.0)</f>
        <v>44353</v>
      </c>
      <c r="B227">
        <f>IFERROR(__xludf.DUMMYFUNCTION("""COMPUTED_VALUE"""),1.0)</f>
        <v>1</v>
      </c>
      <c r="C227">
        <f>IFERROR(__xludf.DUMMYFUNCTION("""COMPUTED_VALUE"""),2.0)</f>
        <v>2</v>
      </c>
      <c r="E227" s="8">
        <f>IFERROR(__xludf.DUMMYFUNCTION("""COMPUTED_VALUE"""),44353.0)</f>
        <v>44353</v>
      </c>
      <c r="F227">
        <f t="shared" ref="F227:G227" si="227">B227+F228</f>
        <v>759</v>
      </c>
      <c r="G227">
        <f t="shared" si="227"/>
        <v>765</v>
      </c>
      <c r="I227" s="8">
        <f>IFERROR(__xludf.DUMMYFUNCTION("""COMPUTED_VALUE"""),44353.0)</f>
        <v>44353</v>
      </c>
      <c r="J227">
        <f t="shared" si="3"/>
        <v>-6</v>
      </c>
    </row>
    <row r="228">
      <c r="A228" s="8">
        <f>IFERROR(__xludf.DUMMYFUNCTION("""COMPUTED_VALUE"""),44347.0)</f>
        <v>44347</v>
      </c>
      <c r="B228">
        <f>IFERROR(__xludf.DUMMYFUNCTION("""COMPUTED_VALUE"""),3.0)</f>
        <v>3</v>
      </c>
      <c r="C228">
        <f>IFERROR(__xludf.DUMMYFUNCTION("""COMPUTED_VALUE"""),1.0)</f>
        <v>1</v>
      </c>
      <c r="E228" s="8">
        <f>IFERROR(__xludf.DUMMYFUNCTION("""COMPUTED_VALUE"""),44347.0)</f>
        <v>44347</v>
      </c>
      <c r="F228">
        <f t="shared" ref="F228:G228" si="228">B228+F229</f>
        <v>758</v>
      </c>
      <c r="G228">
        <f t="shared" si="228"/>
        <v>763</v>
      </c>
      <c r="I228" s="8">
        <f>IFERROR(__xludf.DUMMYFUNCTION("""COMPUTED_VALUE"""),44347.0)</f>
        <v>44347</v>
      </c>
      <c r="J228">
        <f t="shared" si="3"/>
        <v>-5</v>
      </c>
    </row>
    <row r="229">
      <c r="A229" s="8">
        <f>IFERROR(__xludf.DUMMYFUNCTION("""COMPUTED_VALUE"""),44347.0)</f>
        <v>44347</v>
      </c>
      <c r="B229">
        <f>IFERROR(__xludf.DUMMYFUNCTION("""COMPUTED_VALUE"""),2.0)</f>
        <v>2</v>
      </c>
      <c r="C229">
        <f>IFERROR(__xludf.DUMMYFUNCTION("""COMPUTED_VALUE"""),3.0)</f>
        <v>3</v>
      </c>
      <c r="E229" s="8">
        <f>IFERROR(__xludf.DUMMYFUNCTION("""COMPUTED_VALUE"""),44347.0)</f>
        <v>44347</v>
      </c>
      <c r="F229">
        <f t="shared" ref="F229:G229" si="229">B229+F230</f>
        <v>755</v>
      </c>
      <c r="G229">
        <f t="shared" si="229"/>
        <v>762</v>
      </c>
      <c r="I229" s="8">
        <f>IFERROR(__xludf.DUMMYFUNCTION("""COMPUTED_VALUE"""),44347.0)</f>
        <v>44347</v>
      </c>
      <c r="J229">
        <f t="shared" si="3"/>
        <v>-7</v>
      </c>
    </row>
    <row r="230">
      <c r="A230" s="8">
        <f>IFERROR(__xludf.DUMMYFUNCTION("""COMPUTED_VALUE"""),44346.0)</f>
        <v>44346</v>
      </c>
      <c r="B230">
        <f>IFERROR(__xludf.DUMMYFUNCTION("""COMPUTED_VALUE"""),3.0)</f>
        <v>3</v>
      </c>
      <c r="C230">
        <f>IFERROR(__xludf.DUMMYFUNCTION("""COMPUTED_VALUE"""),2.0)</f>
        <v>2</v>
      </c>
      <c r="E230" s="8">
        <f>IFERROR(__xludf.DUMMYFUNCTION("""COMPUTED_VALUE"""),44346.0)</f>
        <v>44346</v>
      </c>
      <c r="F230">
        <f t="shared" ref="F230:G230" si="230">B230+F231</f>
        <v>753</v>
      </c>
      <c r="G230">
        <f t="shared" si="230"/>
        <v>759</v>
      </c>
      <c r="I230" s="8">
        <f>IFERROR(__xludf.DUMMYFUNCTION("""COMPUTED_VALUE"""),44346.0)</f>
        <v>44346</v>
      </c>
      <c r="J230">
        <f t="shared" si="3"/>
        <v>-6</v>
      </c>
    </row>
    <row r="231">
      <c r="A231" s="8">
        <f>IFERROR(__xludf.DUMMYFUNCTION("""COMPUTED_VALUE"""),44343.0)</f>
        <v>44343</v>
      </c>
      <c r="B231">
        <f>IFERROR(__xludf.DUMMYFUNCTION("""COMPUTED_VALUE"""),3.0)</f>
        <v>3</v>
      </c>
      <c r="C231">
        <f>IFERROR(__xludf.DUMMYFUNCTION("""COMPUTED_VALUE"""),2.0)</f>
        <v>2</v>
      </c>
      <c r="E231" s="8">
        <f>IFERROR(__xludf.DUMMYFUNCTION("""COMPUTED_VALUE"""),44343.0)</f>
        <v>44343</v>
      </c>
      <c r="F231">
        <f t="shared" ref="F231:G231" si="231">B231+F232</f>
        <v>750</v>
      </c>
      <c r="G231">
        <f t="shared" si="231"/>
        <v>757</v>
      </c>
      <c r="I231" s="8">
        <f>IFERROR(__xludf.DUMMYFUNCTION("""COMPUTED_VALUE"""),44343.0)</f>
        <v>44343</v>
      </c>
      <c r="J231">
        <f t="shared" si="3"/>
        <v>-7</v>
      </c>
    </row>
    <row r="232">
      <c r="A232" s="8">
        <f>IFERROR(__xludf.DUMMYFUNCTION("""COMPUTED_VALUE"""),44339.0)</f>
        <v>44339</v>
      </c>
      <c r="B232">
        <f>IFERROR(__xludf.DUMMYFUNCTION("""COMPUTED_VALUE"""),2.0)</f>
        <v>2</v>
      </c>
      <c r="C232">
        <f>IFERROR(__xludf.DUMMYFUNCTION("""COMPUTED_VALUE"""),3.0)</f>
        <v>3</v>
      </c>
      <c r="E232" s="8">
        <f>IFERROR(__xludf.DUMMYFUNCTION("""COMPUTED_VALUE"""),44339.0)</f>
        <v>44339</v>
      </c>
      <c r="F232">
        <f t="shared" ref="F232:G232" si="232">B232+F233</f>
        <v>747</v>
      </c>
      <c r="G232">
        <f t="shared" si="232"/>
        <v>755</v>
      </c>
      <c r="I232" s="8">
        <f>IFERROR(__xludf.DUMMYFUNCTION("""COMPUTED_VALUE"""),44339.0)</f>
        <v>44339</v>
      </c>
      <c r="J232">
        <f t="shared" si="3"/>
        <v>-8</v>
      </c>
    </row>
    <row r="233">
      <c r="A233" s="8">
        <f>IFERROR(__xludf.DUMMYFUNCTION("""COMPUTED_VALUE"""),44338.0)</f>
        <v>44338</v>
      </c>
      <c r="B233">
        <f>IFERROR(__xludf.DUMMYFUNCTION("""COMPUTED_VALUE"""),3.0)</f>
        <v>3</v>
      </c>
      <c r="C233">
        <f>IFERROR(__xludf.DUMMYFUNCTION("""COMPUTED_VALUE"""),2.0)</f>
        <v>2</v>
      </c>
      <c r="E233" s="8">
        <f>IFERROR(__xludf.DUMMYFUNCTION("""COMPUTED_VALUE"""),44338.0)</f>
        <v>44338</v>
      </c>
      <c r="F233">
        <f t="shared" ref="F233:G233" si="233">B233+F234</f>
        <v>745</v>
      </c>
      <c r="G233">
        <f t="shared" si="233"/>
        <v>752</v>
      </c>
      <c r="I233" s="8">
        <f>IFERROR(__xludf.DUMMYFUNCTION("""COMPUTED_VALUE"""),44338.0)</f>
        <v>44338</v>
      </c>
      <c r="J233">
        <f t="shared" si="3"/>
        <v>-7</v>
      </c>
    </row>
    <row r="234">
      <c r="A234" s="8">
        <f>IFERROR(__xludf.DUMMYFUNCTION("""COMPUTED_VALUE"""),44338.0)</f>
        <v>44338</v>
      </c>
      <c r="B234">
        <f>IFERROR(__xludf.DUMMYFUNCTION("""COMPUTED_VALUE"""),1.0)</f>
        <v>1</v>
      </c>
      <c r="C234">
        <f>IFERROR(__xludf.DUMMYFUNCTION("""COMPUTED_VALUE"""),3.0)</f>
        <v>3</v>
      </c>
      <c r="E234" s="8">
        <f>IFERROR(__xludf.DUMMYFUNCTION("""COMPUTED_VALUE"""),44338.0)</f>
        <v>44338</v>
      </c>
      <c r="F234">
        <f t="shared" ref="F234:G234" si="234">B234+F235</f>
        <v>742</v>
      </c>
      <c r="G234">
        <f t="shared" si="234"/>
        <v>750</v>
      </c>
      <c r="I234" s="8">
        <f>IFERROR(__xludf.DUMMYFUNCTION("""COMPUTED_VALUE"""),44338.0)</f>
        <v>44338</v>
      </c>
      <c r="J234">
        <f t="shared" si="3"/>
        <v>-8</v>
      </c>
    </row>
    <row r="235">
      <c r="A235" s="8">
        <f>IFERROR(__xludf.DUMMYFUNCTION("""COMPUTED_VALUE"""),44336.0)</f>
        <v>44336</v>
      </c>
      <c r="B235">
        <f>IFERROR(__xludf.DUMMYFUNCTION("""COMPUTED_VALUE"""),2.0)</f>
        <v>2</v>
      </c>
      <c r="C235">
        <f>IFERROR(__xludf.DUMMYFUNCTION("""COMPUTED_VALUE"""),1.0)</f>
        <v>1</v>
      </c>
      <c r="E235" s="8">
        <f>IFERROR(__xludf.DUMMYFUNCTION("""COMPUTED_VALUE"""),44336.0)</f>
        <v>44336</v>
      </c>
      <c r="F235">
        <f t="shared" ref="F235:G235" si="235">B235+F236</f>
        <v>741</v>
      </c>
      <c r="G235">
        <f t="shared" si="235"/>
        <v>747</v>
      </c>
      <c r="I235" s="8">
        <f>IFERROR(__xludf.DUMMYFUNCTION("""COMPUTED_VALUE"""),44336.0)</f>
        <v>44336</v>
      </c>
      <c r="J235">
        <f t="shared" si="3"/>
        <v>-6</v>
      </c>
    </row>
    <row r="236">
      <c r="A236" s="8">
        <f>IFERROR(__xludf.DUMMYFUNCTION("""COMPUTED_VALUE"""),44332.0)</f>
        <v>44332</v>
      </c>
      <c r="B236">
        <f>IFERROR(__xludf.DUMMYFUNCTION("""COMPUTED_VALUE"""),1.0)</f>
        <v>1</v>
      </c>
      <c r="C236">
        <f>IFERROR(__xludf.DUMMYFUNCTION("""COMPUTED_VALUE"""),3.0)</f>
        <v>3</v>
      </c>
      <c r="E236" s="8">
        <f>IFERROR(__xludf.DUMMYFUNCTION("""COMPUTED_VALUE"""),44332.0)</f>
        <v>44332</v>
      </c>
      <c r="F236">
        <f t="shared" ref="F236:G236" si="236">B236+F237</f>
        <v>739</v>
      </c>
      <c r="G236">
        <f t="shared" si="236"/>
        <v>746</v>
      </c>
      <c r="I236" s="8">
        <f>IFERROR(__xludf.DUMMYFUNCTION("""COMPUTED_VALUE"""),44332.0)</f>
        <v>44332</v>
      </c>
      <c r="J236">
        <f t="shared" si="3"/>
        <v>-7</v>
      </c>
    </row>
    <row r="237">
      <c r="A237" s="8">
        <f>IFERROR(__xludf.DUMMYFUNCTION("""COMPUTED_VALUE"""),44331.0)</f>
        <v>44331</v>
      </c>
      <c r="B237">
        <f>IFERROR(__xludf.DUMMYFUNCTION("""COMPUTED_VALUE"""),1.0)</f>
        <v>1</v>
      </c>
      <c r="C237">
        <f>IFERROR(__xludf.DUMMYFUNCTION("""COMPUTED_VALUE"""),3.0)</f>
        <v>3</v>
      </c>
      <c r="E237" s="8">
        <f>IFERROR(__xludf.DUMMYFUNCTION("""COMPUTED_VALUE"""),44331.0)</f>
        <v>44331</v>
      </c>
      <c r="F237">
        <f t="shared" ref="F237:G237" si="237">B237+F238</f>
        <v>738</v>
      </c>
      <c r="G237">
        <f t="shared" si="237"/>
        <v>743</v>
      </c>
      <c r="I237" s="8">
        <f>IFERROR(__xludf.DUMMYFUNCTION("""COMPUTED_VALUE"""),44331.0)</f>
        <v>44331</v>
      </c>
      <c r="J237">
        <f t="shared" si="3"/>
        <v>-5</v>
      </c>
    </row>
    <row r="238">
      <c r="A238" s="8">
        <f>IFERROR(__xludf.DUMMYFUNCTION("""COMPUTED_VALUE"""),44325.0)</f>
        <v>44325</v>
      </c>
      <c r="B238">
        <f>IFERROR(__xludf.DUMMYFUNCTION("""COMPUTED_VALUE"""),3.0)</f>
        <v>3</v>
      </c>
      <c r="C238">
        <f>IFERROR(__xludf.DUMMYFUNCTION("""COMPUTED_VALUE"""),2.0)</f>
        <v>2</v>
      </c>
      <c r="E238" s="8">
        <f>IFERROR(__xludf.DUMMYFUNCTION("""COMPUTED_VALUE"""),44325.0)</f>
        <v>44325</v>
      </c>
      <c r="F238">
        <f t="shared" ref="F238:G238" si="238">B238+F239</f>
        <v>737</v>
      </c>
      <c r="G238">
        <f t="shared" si="238"/>
        <v>740</v>
      </c>
      <c r="I238" s="8">
        <f>IFERROR(__xludf.DUMMYFUNCTION("""COMPUTED_VALUE"""),44325.0)</f>
        <v>44325</v>
      </c>
      <c r="J238">
        <f t="shared" si="3"/>
        <v>-3</v>
      </c>
    </row>
    <row r="239">
      <c r="A239" s="8">
        <f>IFERROR(__xludf.DUMMYFUNCTION("""COMPUTED_VALUE"""),44324.0)</f>
        <v>44324</v>
      </c>
      <c r="B239">
        <f>IFERROR(__xludf.DUMMYFUNCTION("""COMPUTED_VALUE"""),2.0)</f>
        <v>2</v>
      </c>
      <c r="C239">
        <f>IFERROR(__xludf.DUMMYFUNCTION("""COMPUTED_VALUE"""),3.0)</f>
        <v>3</v>
      </c>
      <c r="E239" s="8">
        <f>IFERROR(__xludf.DUMMYFUNCTION("""COMPUTED_VALUE"""),44324.0)</f>
        <v>44324</v>
      </c>
      <c r="F239">
        <f t="shared" ref="F239:G239" si="239">B239+F240</f>
        <v>734</v>
      </c>
      <c r="G239">
        <f t="shared" si="239"/>
        <v>738</v>
      </c>
      <c r="I239" s="8">
        <f>IFERROR(__xludf.DUMMYFUNCTION("""COMPUTED_VALUE"""),44324.0)</f>
        <v>44324</v>
      </c>
      <c r="J239">
        <f t="shared" si="3"/>
        <v>-4</v>
      </c>
    </row>
    <row r="240">
      <c r="A240" s="8">
        <f>IFERROR(__xludf.DUMMYFUNCTION("""COMPUTED_VALUE"""),44324.0)</f>
        <v>44324</v>
      </c>
      <c r="B240">
        <f>IFERROR(__xludf.DUMMYFUNCTION("""COMPUTED_VALUE"""),3.0)</f>
        <v>3</v>
      </c>
      <c r="C240">
        <f>IFERROR(__xludf.DUMMYFUNCTION("""COMPUTED_VALUE"""),2.0)</f>
        <v>2</v>
      </c>
      <c r="E240" s="8">
        <f>IFERROR(__xludf.DUMMYFUNCTION("""COMPUTED_VALUE"""),44324.0)</f>
        <v>44324</v>
      </c>
      <c r="F240">
        <f t="shared" ref="F240:G240" si="240">B240+F241</f>
        <v>732</v>
      </c>
      <c r="G240">
        <f t="shared" si="240"/>
        <v>735</v>
      </c>
      <c r="I240" s="8">
        <f>IFERROR(__xludf.DUMMYFUNCTION("""COMPUTED_VALUE"""),44324.0)</f>
        <v>44324</v>
      </c>
      <c r="J240">
        <f t="shared" si="3"/>
        <v>-3</v>
      </c>
    </row>
    <row r="241">
      <c r="A241" s="8">
        <f>IFERROR(__xludf.DUMMYFUNCTION("""COMPUTED_VALUE"""),44324.0)</f>
        <v>44324</v>
      </c>
      <c r="B241">
        <f>IFERROR(__xludf.DUMMYFUNCTION("""COMPUTED_VALUE"""),2.0)</f>
        <v>2</v>
      </c>
      <c r="C241">
        <f>IFERROR(__xludf.DUMMYFUNCTION("""COMPUTED_VALUE"""),1.0)</f>
        <v>1</v>
      </c>
      <c r="E241" s="8">
        <f>IFERROR(__xludf.DUMMYFUNCTION("""COMPUTED_VALUE"""),44324.0)</f>
        <v>44324</v>
      </c>
      <c r="F241">
        <f t="shared" ref="F241:G241" si="241">B241+F242</f>
        <v>729</v>
      </c>
      <c r="G241">
        <f t="shared" si="241"/>
        <v>733</v>
      </c>
      <c r="I241" s="8">
        <f>IFERROR(__xludf.DUMMYFUNCTION("""COMPUTED_VALUE"""),44324.0)</f>
        <v>44324</v>
      </c>
      <c r="J241">
        <f t="shared" si="3"/>
        <v>-4</v>
      </c>
    </row>
    <row r="242">
      <c r="A242" s="8">
        <f>IFERROR(__xludf.DUMMYFUNCTION("""COMPUTED_VALUE"""),44322.0)</f>
        <v>44322</v>
      </c>
      <c r="B242">
        <f>IFERROR(__xludf.DUMMYFUNCTION("""COMPUTED_VALUE"""),3.0)</f>
        <v>3</v>
      </c>
      <c r="C242">
        <f>IFERROR(__xludf.DUMMYFUNCTION("""COMPUTED_VALUE"""),1.0)</f>
        <v>1</v>
      </c>
      <c r="E242" s="8">
        <f>IFERROR(__xludf.DUMMYFUNCTION("""COMPUTED_VALUE"""),44322.0)</f>
        <v>44322</v>
      </c>
      <c r="F242">
        <f t="shared" ref="F242:G242" si="242">B242+F243</f>
        <v>727</v>
      </c>
      <c r="G242">
        <f t="shared" si="242"/>
        <v>732</v>
      </c>
      <c r="I242" s="8">
        <f>IFERROR(__xludf.DUMMYFUNCTION("""COMPUTED_VALUE"""),44322.0)</f>
        <v>44322</v>
      </c>
      <c r="J242">
        <f t="shared" si="3"/>
        <v>-5</v>
      </c>
    </row>
    <row r="243">
      <c r="A243" s="8">
        <f>IFERROR(__xludf.DUMMYFUNCTION("""COMPUTED_VALUE"""),44318.0)</f>
        <v>44318</v>
      </c>
      <c r="B243">
        <f>IFERROR(__xludf.DUMMYFUNCTION("""COMPUTED_VALUE"""),2.0)</f>
        <v>2</v>
      </c>
      <c r="C243">
        <f>IFERROR(__xludf.DUMMYFUNCTION("""COMPUTED_VALUE"""),1.0)</f>
        <v>1</v>
      </c>
      <c r="E243" s="8">
        <f>IFERROR(__xludf.DUMMYFUNCTION("""COMPUTED_VALUE"""),44318.0)</f>
        <v>44318</v>
      </c>
      <c r="F243">
        <f t="shared" ref="F243:G243" si="243">B243+F244</f>
        <v>724</v>
      </c>
      <c r="G243">
        <f t="shared" si="243"/>
        <v>731</v>
      </c>
      <c r="I243" s="8">
        <f>IFERROR(__xludf.DUMMYFUNCTION("""COMPUTED_VALUE"""),44318.0)</f>
        <v>44318</v>
      </c>
      <c r="J243">
        <f t="shared" si="3"/>
        <v>-7</v>
      </c>
    </row>
    <row r="244">
      <c r="A244" s="8">
        <f>IFERROR(__xludf.DUMMYFUNCTION("""COMPUTED_VALUE"""),44308.0)</f>
        <v>44308</v>
      </c>
      <c r="B244">
        <f>IFERROR(__xludf.DUMMYFUNCTION("""COMPUTED_VALUE"""),3.0)</f>
        <v>3</v>
      </c>
      <c r="C244">
        <f>IFERROR(__xludf.DUMMYFUNCTION("""COMPUTED_VALUE"""),1.0)</f>
        <v>1</v>
      </c>
      <c r="E244" s="8">
        <f>IFERROR(__xludf.DUMMYFUNCTION("""COMPUTED_VALUE"""),44308.0)</f>
        <v>44308</v>
      </c>
      <c r="F244">
        <f t="shared" ref="F244:G244" si="244">B244+F245</f>
        <v>722</v>
      </c>
      <c r="G244">
        <f t="shared" si="244"/>
        <v>730</v>
      </c>
      <c r="I244" s="8">
        <f>IFERROR(__xludf.DUMMYFUNCTION("""COMPUTED_VALUE"""),44308.0)</f>
        <v>44308</v>
      </c>
      <c r="J244">
        <f t="shared" si="3"/>
        <v>-8</v>
      </c>
    </row>
    <row r="245">
      <c r="A245" s="8">
        <f>IFERROR(__xludf.DUMMYFUNCTION("""COMPUTED_VALUE"""),44304.0)</f>
        <v>44304</v>
      </c>
      <c r="B245">
        <f>IFERROR(__xludf.DUMMYFUNCTION("""COMPUTED_VALUE"""),2.0)</f>
        <v>2</v>
      </c>
      <c r="C245">
        <f>IFERROR(__xludf.DUMMYFUNCTION("""COMPUTED_VALUE"""),1.0)</f>
        <v>1</v>
      </c>
      <c r="E245" s="8">
        <f>IFERROR(__xludf.DUMMYFUNCTION("""COMPUTED_VALUE"""),44304.0)</f>
        <v>44304</v>
      </c>
      <c r="F245">
        <f t="shared" ref="F245:G245" si="245">B245+F246</f>
        <v>719</v>
      </c>
      <c r="G245">
        <f t="shared" si="245"/>
        <v>729</v>
      </c>
      <c r="I245" s="8">
        <f>IFERROR(__xludf.DUMMYFUNCTION("""COMPUTED_VALUE"""),44304.0)</f>
        <v>44304</v>
      </c>
      <c r="J245">
        <f t="shared" si="3"/>
        <v>-10</v>
      </c>
    </row>
    <row r="246">
      <c r="A246" s="8">
        <f>IFERROR(__xludf.DUMMYFUNCTION("""COMPUTED_VALUE"""),44301.0)</f>
        <v>44301</v>
      </c>
      <c r="B246">
        <f>IFERROR(__xludf.DUMMYFUNCTION("""COMPUTED_VALUE"""),3.0)</f>
        <v>3</v>
      </c>
      <c r="C246">
        <f>IFERROR(__xludf.DUMMYFUNCTION("""COMPUTED_VALUE"""),2.0)</f>
        <v>2</v>
      </c>
      <c r="E246" s="8">
        <f>IFERROR(__xludf.DUMMYFUNCTION("""COMPUTED_VALUE"""),44301.0)</f>
        <v>44301</v>
      </c>
      <c r="F246">
        <f t="shared" ref="F246:G246" si="246">B246+F247</f>
        <v>717</v>
      </c>
      <c r="G246">
        <f t="shared" si="246"/>
        <v>728</v>
      </c>
      <c r="I246" s="8">
        <f>IFERROR(__xludf.DUMMYFUNCTION("""COMPUTED_VALUE"""),44301.0)</f>
        <v>44301</v>
      </c>
      <c r="J246">
        <f t="shared" si="3"/>
        <v>-11</v>
      </c>
    </row>
    <row r="247">
      <c r="A247" s="8">
        <f>IFERROR(__xludf.DUMMYFUNCTION("""COMPUTED_VALUE"""),44297.0)</f>
        <v>44297</v>
      </c>
      <c r="B247">
        <f>IFERROR(__xludf.DUMMYFUNCTION("""COMPUTED_VALUE"""),2.0)</f>
        <v>2</v>
      </c>
      <c r="C247">
        <f>IFERROR(__xludf.DUMMYFUNCTION("""COMPUTED_VALUE"""),3.0)</f>
        <v>3</v>
      </c>
      <c r="E247" s="8">
        <f>IFERROR(__xludf.DUMMYFUNCTION("""COMPUTED_VALUE"""),44297.0)</f>
        <v>44297</v>
      </c>
      <c r="F247">
        <f t="shared" ref="F247:G247" si="247">B247+F248</f>
        <v>714</v>
      </c>
      <c r="G247">
        <f t="shared" si="247"/>
        <v>726</v>
      </c>
      <c r="I247" s="8">
        <f>IFERROR(__xludf.DUMMYFUNCTION("""COMPUTED_VALUE"""),44297.0)</f>
        <v>44297</v>
      </c>
      <c r="J247">
        <f t="shared" si="3"/>
        <v>-12</v>
      </c>
    </row>
    <row r="248">
      <c r="A248" s="8">
        <f>IFERROR(__xludf.DUMMYFUNCTION("""COMPUTED_VALUE"""),44294.0)</f>
        <v>44294</v>
      </c>
      <c r="B248">
        <f>IFERROR(__xludf.DUMMYFUNCTION("""COMPUTED_VALUE"""),3.0)</f>
        <v>3</v>
      </c>
      <c r="C248">
        <f>IFERROR(__xludf.DUMMYFUNCTION("""COMPUTED_VALUE"""),2.0)</f>
        <v>2</v>
      </c>
      <c r="E248" s="8">
        <f>IFERROR(__xludf.DUMMYFUNCTION("""COMPUTED_VALUE"""),44294.0)</f>
        <v>44294</v>
      </c>
      <c r="F248">
        <f t="shared" ref="F248:G248" si="248">B248+F249</f>
        <v>712</v>
      </c>
      <c r="G248">
        <f t="shared" si="248"/>
        <v>723</v>
      </c>
      <c r="I248" s="8">
        <f>IFERROR(__xludf.DUMMYFUNCTION("""COMPUTED_VALUE"""),44294.0)</f>
        <v>44294</v>
      </c>
      <c r="J248">
        <f t="shared" si="3"/>
        <v>-11</v>
      </c>
    </row>
    <row r="249">
      <c r="A249" s="8">
        <f>IFERROR(__xludf.DUMMYFUNCTION("""COMPUTED_VALUE"""),44290.0)</f>
        <v>44290</v>
      </c>
      <c r="B249">
        <f>IFERROR(__xludf.DUMMYFUNCTION("""COMPUTED_VALUE"""),1.0)</f>
        <v>1</v>
      </c>
      <c r="C249">
        <f>IFERROR(__xludf.DUMMYFUNCTION("""COMPUTED_VALUE"""),3.0)</f>
        <v>3</v>
      </c>
      <c r="E249" s="8">
        <f>IFERROR(__xludf.DUMMYFUNCTION("""COMPUTED_VALUE"""),44290.0)</f>
        <v>44290</v>
      </c>
      <c r="F249">
        <f t="shared" ref="F249:G249" si="249">B249+F250</f>
        <v>709</v>
      </c>
      <c r="G249">
        <f t="shared" si="249"/>
        <v>721</v>
      </c>
      <c r="I249" s="8">
        <f>IFERROR(__xludf.DUMMYFUNCTION("""COMPUTED_VALUE"""),44290.0)</f>
        <v>44290</v>
      </c>
      <c r="J249">
        <f t="shared" si="3"/>
        <v>-12</v>
      </c>
    </row>
    <row r="250">
      <c r="A250" s="8">
        <f>IFERROR(__xludf.DUMMYFUNCTION("""COMPUTED_VALUE"""),44287.0)</f>
        <v>44287</v>
      </c>
      <c r="B250">
        <f>IFERROR(__xludf.DUMMYFUNCTION("""COMPUTED_VALUE"""),1.0)</f>
        <v>1</v>
      </c>
      <c r="C250">
        <f>IFERROR(__xludf.DUMMYFUNCTION("""COMPUTED_VALUE"""),3.0)</f>
        <v>3</v>
      </c>
      <c r="E250" s="8">
        <f>IFERROR(__xludf.DUMMYFUNCTION("""COMPUTED_VALUE"""),44287.0)</f>
        <v>44287</v>
      </c>
      <c r="F250">
        <f t="shared" ref="F250:G250" si="250">B250+F251</f>
        <v>708</v>
      </c>
      <c r="G250">
        <f t="shared" si="250"/>
        <v>718</v>
      </c>
      <c r="I250" s="8">
        <f>IFERROR(__xludf.DUMMYFUNCTION("""COMPUTED_VALUE"""),44287.0)</f>
        <v>44287</v>
      </c>
      <c r="J250">
        <f t="shared" si="3"/>
        <v>-10</v>
      </c>
    </row>
    <row r="251">
      <c r="A251" s="8">
        <f>IFERROR(__xludf.DUMMYFUNCTION("""COMPUTED_VALUE"""),44283.0)</f>
        <v>44283</v>
      </c>
      <c r="B251">
        <f>IFERROR(__xludf.DUMMYFUNCTION("""COMPUTED_VALUE"""),3.0)</f>
        <v>3</v>
      </c>
      <c r="C251">
        <f>IFERROR(__xludf.DUMMYFUNCTION("""COMPUTED_VALUE"""),2.0)</f>
        <v>2</v>
      </c>
      <c r="E251" s="8">
        <f>IFERROR(__xludf.DUMMYFUNCTION("""COMPUTED_VALUE"""),44283.0)</f>
        <v>44283</v>
      </c>
      <c r="F251">
        <f t="shared" ref="F251:G251" si="251">B251+F252</f>
        <v>707</v>
      </c>
      <c r="G251">
        <f t="shared" si="251"/>
        <v>715</v>
      </c>
      <c r="I251" s="8">
        <f>IFERROR(__xludf.DUMMYFUNCTION("""COMPUTED_VALUE"""),44283.0)</f>
        <v>44283</v>
      </c>
      <c r="J251">
        <f t="shared" si="3"/>
        <v>-8</v>
      </c>
    </row>
    <row r="252">
      <c r="A252" s="8">
        <f>IFERROR(__xludf.DUMMYFUNCTION("""COMPUTED_VALUE"""),44282.0)</f>
        <v>44282</v>
      </c>
      <c r="B252">
        <f>IFERROR(__xludf.DUMMYFUNCTION("""COMPUTED_VALUE"""),3.0)</f>
        <v>3</v>
      </c>
      <c r="C252">
        <f>IFERROR(__xludf.DUMMYFUNCTION("""COMPUTED_VALUE"""),1.0)</f>
        <v>1</v>
      </c>
      <c r="E252" s="8">
        <f>IFERROR(__xludf.DUMMYFUNCTION("""COMPUTED_VALUE"""),44282.0)</f>
        <v>44282</v>
      </c>
      <c r="F252">
        <f t="shared" ref="F252:G252" si="252">B252+F253</f>
        <v>704</v>
      </c>
      <c r="G252">
        <f t="shared" si="252"/>
        <v>713</v>
      </c>
      <c r="I252" s="8">
        <f>IFERROR(__xludf.DUMMYFUNCTION("""COMPUTED_VALUE"""),44282.0)</f>
        <v>44282</v>
      </c>
      <c r="J252">
        <f t="shared" si="3"/>
        <v>-9</v>
      </c>
    </row>
    <row r="253">
      <c r="A253" s="8">
        <f>IFERROR(__xludf.DUMMYFUNCTION("""COMPUTED_VALUE"""),44276.0)</f>
        <v>44276</v>
      </c>
      <c r="B253">
        <f>IFERROR(__xludf.DUMMYFUNCTION("""COMPUTED_VALUE"""),3.0)</f>
        <v>3</v>
      </c>
      <c r="C253">
        <f>IFERROR(__xludf.DUMMYFUNCTION("""COMPUTED_VALUE"""),2.0)</f>
        <v>2</v>
      </c>
      <c r="E253" s="8">
        <f>IFERROR(__xludf.DUMMYFUNCTION("""COMPUTED_VALUE"""),44276.0)</f>
        <v>44276</v>
      </c>
      <c r="F253">
        <f t="shared" ref="F253:G253" si="253">B253+F254</f>
        <v>701</v>
      </c>
      <c r="G253">
        <f t="shared" si="253"/>
        <v>712</v>
      </c>
      <c r="I253" s="8">
        <f>IFERROR(__xludf.DUMMYFUNCTION("""COMPUTED_VALUE"""),44276.0)</f>
        <v>44276</v>
      </c>
      <c r="J253">
        <f t="shared" si="3"/>
        <v>-11</v>
      </c>
    </row>
    <row r="254">
      <c r="A254" s="8">
        <f>IFERROR(__xludf.DUMMYFUNCTION("""COMPUTED_VALUE"""),44269.0)</f>
        <v>44269</v>
      </c>
      <c r="B254">
        <f>IFERROR(__xludf.DUMMYFUNCTION("""COMPUTED_VALUE"""),2.0)</f>
        <v>2</v>
      </c>
      <c r="C254">
        <f>IFERROR(__xludf.DUMMYFUNCTION("""COMPUTED_VALUE"""),1.0)</f>
        <v>1</v>
      </c>
      <c r="E254" s="8">
        <f>IFERROR(__xludf.DUMMYFUNCTION("""COMPUTED_VALUE"""),44269.0)</f>
        <v>44269</v>
      </c>
      <c r="F254">
        <f t="shared" ref="F254:G254" si="254">B254+F255</f>
        <v>698</v>
      </c>
      <c r="G254">
        <f t="shared" si="254"/>
        <v>710</v>
      </c>
      <c r="I254" s="8">
        <f>IFERROR(__xludf.DUMMYFUNCTION("""COMPUTED_VALUE"""),44269.0)</f>
        <v>44269</v>
      </c>
      <c r="J254">
        <f t="shared" si="3"/>
        <v>-12</v>
      </c>
    </row>
    <row r="255">
      <c r="A255" s="8">
        <f>IFERROR(__xludf.DUMMYFUNCTION("""COMPUTED_VALUE"""),44262.0)</f>
        <v>44262</v>
      </c>
      <c r="B255">
        <f>IFERROR(__xludf.DUMMYFUNCTION("""COMPUTED_VALUE"""),1.0)</f>
        <v>1</v>
      </c>
      <c r="C255">
        <f>IFERROR(__xludf.DUMMYFUNCTION("""COMPUTED_VALUE"""),2.0)</f>
        <v>2</v>
      </c>
      <c r="E255" s="8">
        <f>IFERROR(__xludf.DUMMYFUNCTION("""COMPUTED_VALUE"""),44262.0)</f>
        <v>44262</v>
      </c>
      <c r="F255">
        <f t="shared" ref="F255:G255" si="255">B255+F256</f>
        <v>696</v>
      </c>
      <c r="G255">
        <f t="shared" si="255"/>
        <v>709</v>
      </c>
      <c r="I255" s="8">
        <f>IFERROR(__xludf.DUMMYFUNCTION("""COMPUTED_VALUE"""),44262.0)</f>
        <v>44262</v>
      </c>
      <c r="J255">
        <f t="shared" si="3"/>
        <v>-13</v>
      </c>
    </row>
    <row r="256">
      <c r="A256" s="8">
        <f>IFERROR(__xludf.DUMMYFUNCTION("""COMPUTED_VALUE"""),44259.0)</f>
        <v>44259</v>
      </c>
      <c r="B256">
        <f>IFERROR(__xludf.DUMMYFUNCTION("""COMPUTED_VALUE"""),2.0)</f>
        <v>2</v>
      </c>
      <c r="C256">
        <f>IFERROR(__xludf.DUMMYFUNCTION("""COMPUTED_VALUE"""),3.0)</f>
        <v>3</v>
      </c>
      <c r="E256" s="8">
        <f>IFERROR(__xludf.DUMMYFUNCTION("""COMPUTED_VALUE"""),44259.0)</f>
        <v>44259</v>
      </c>
      <c r="F256">
        <f t="shared" ref="F256:G256" si="256">B256+F257</f>
        <v>695</v>
      </c>
      <c r="G256">
        <f t="shared" si="256"/>
        <v>707</v>
      </c>
      <c r="I256" s="8">
        <f>IFERROR(__xludf.DUMMYFUNCTION("""COMPUTED_VALUE"""),44259.0)</f>
        <v>44259</v>
      </c>
      <c r="J256">
        <f t="shared" si="3"/>
        <v>-12</v>
      </c>
    </row>
    <row r="257">
      <c r="A257" s="8">
        <f>IFERROR(__xludf.DUMMYFUNCTION("""COMPUTED_VALUE"""),44255.0)</f>
        <v>44255</v>
      </c>
      <c r="B257">
        <f>IFERROR(__xludf.DUMMYFUNCTION("""COMPUTED_VALUE"""),1.0)</f>
        <v>1</v>
      </c>
      <c r="C257">
        <f>IFERROR(__xludf.DUMMYFUNCTION("""COMPUTED_VALUE"""),2.0)</f>
        <v>2</v>
      </c>
      <c r="E257" s="8">
        <f>IFERROR(__xludf.DUMMYFUNCTION("""COMPUTED_VALUE"""),44255.0)</f>
        <v>44255</v>
      </c>
      <c r="F257">
        <f t="shared" ref="F257:G257" si="257">B257+F258</f>
        <v>693</v>
      </c>
      <c r="G257">
        <f t="shared" si="257"/>
        <v>704</v>
      </c>
      <c r="I257" s="8">
        <f>IFERROR(__xludf.DUMMYFUNCTION("""COMPUTED_VALUE"""),44255.0)</f>
        <v>44255</v>
      </c>
      <c r="J257">
        <f t="shared" si="3"/>
        <v>-11</v>
      </c>
    </row>
    <row r="258">
      <c r="A258" s="8">
        <f>IFERROR(__xludf.DUMMYFUNCTION("""COMPUTED_VALUE"""),44248.0)</f>
        <v>44248</v>
      </c>
      <c r="B258">
        <f>IFERROR(__xludf.DUMMYFUNCTION("""COMPUTED_VALUE"""),1.0)</f>
        <v>1</v>
      </c>
      <c r="C258">
        <f>IFERROR(__xludf.DUMMYFUNCTION("""COMPUTED_VALUE"""),3.0)</f>
        <v>3</v>
      </c>
      <c r="E258" s="8">
        <f>IFERROR(__xludf.DUMMYFUNCTION("""COMPUTED_VALUE"""),44248.0)</f>
        <v>44248</v>
      </c>
      <c r="F258">
        <f t="shared" ref="F258:G258" si="258">B258+F259</f>
        <v>692</v>
      </c>
      <c r="G258">
        <f t="shared" si="258"/>
        <v>702</v>
      </c>
      <c r="I258" s="8">
        <f>IFERROR(__xludf.DUMMYFUNCTION("""COMPUTED_VALUE"""),44248.0)</f>
        <v>44248</v>
      </c>
      <c r="J258">
        <f t="shared" si="3"/>
        <v>-10</v>
      </c>
    </row>
    <row r="259">
      <c r="A259" s="8">
        <f>IFERROR(__xludf.DUMMYFUNCTION("""COMPUTED_VALUE"""),44247.0)</f>
        <v>44247</v>
      </c>
      <c r="B259">
        <f>IFERROR(__xludf.DUMMYFUNCTION("""COMPUTED_VALUE"""),3.0)</f>
        <v>3</v>
      </c>
      <c r="C259">
        <f>IFERROR(__xludf.DUMMYFUNCTION("""COMPUTED_VALUE"""),1.0)</f>
        <v>1</v>
      </c>
      <c r="E259" s="8">
        <f>IFERROR(__xludf.DUMMYFUNCTION("""COMPUTED_VALUE"""),44247.0)</f>
        <v>44247</v>
      </c>
      <c r="F259">
        <f t="shared" ref="F259:G259" si="259">B259+F260</f>
        <v>691</v>
      </c>
      <c r="G259">
        <f t="shared" si="259"/>
        <v>699</v>
      </c>
      <c r="I259" s="8">
        <f>IFERROR(__xludf.DUMMYFUNCTION("""COMPUTED_VALUE"""),44247.0)</f>
        <v>44247</v>
      </c>
      <c r="J259">
        <f t="shared" si="3"/>
        <v>-8</v>
      </c>
    </row>
    <row r="260">
      <c r="A260" s="8">
        <f>IFERROR(__xludf.DUMMYFUNCTION("""COMPUTED_VALUE"""),44246.0)</f>
        <v>44246</v>
      </c>
      <c r="B260">
        <f>IFERROR(__xludf.DUMMYFUNCTION("""COMPUTED_VALUE"""),2.0)</f>
        <v>2</v>
      </c>
      <c r="C260">
        <f>IFERROR(__xludf.DUMMYFUNCTION("""COMPUTED_VALUE"""),2.0)</f>
        <v>2</v>
      </c>
      <c r="E260" s="8">
        <f>IFERROR(__xludf.DUMMYFUNCTION("""COMPUTED_VALUE"""),44246.0)</f>
        <v>44246</v>
      </c>
      <c r="F260">
        <f t="shared" ref="F260:G260" si="260">B260+F261</f>
        <v>688</v>
      </c>
      <c r="G260">
        <f t="shared" si="260"/>
        <v>698</v>
      </c>
      <c r="I260" s="8">
        <f>IFERROR(__xludf.DUMMYFUNCTION("""COMPUTED_VALUE"""),44246.0)</f>
        <v>44246</v>
      </c>
      <c r="J260">
        <f t="shared" si="3"/>
        <v>-10</v>
      </c>
    </row>
    <row r="261">
      <c r="A261" s="8">
        <f>IFERROR(__xludf.DUMMYFUNCTION("""COMPUTED_VALUE"""),44241.0)</f>
        <v>44241</v>
      </c>
      <c r="B261">
        <f>IFERROR(__xludf.DUMMYFUNCTION("""COMPUTED_VALUE"""),1.0)</f>
        <v>1</v>
      </c>
      <c r="C261">
        <f>IFERROR(__xludf.DUMMYFUNCTION("""COMPUTED_VALUE"""),3.0)</f>
        <v>3</v>
      </c>
      <c r="E261" s="8">
        <f>IFERROR(__xludf.DUMMYFUNCTION("""COMPUTED_VALUE"""),44241.0)</f>
        <v>44241</v>
      </c>
      <c r="F261">
        <f t="shared" ref="F261:G261" si="261">B261+F262</f>
        <v>686</v>
      </c>
      <c r="G261">
        <f t="shared" si="261"/>
        <v>696</v>
      </c>
      <c r="I261" s="8">
        <f>IFERROR(__xludf.DUMMYFUNCTION("""COMPUTED_VALUE"""),44241.0)</f>
        <v>44241</v>
      </c>
      <c r="J261">
        <f t="shared" si="3"/>
        <v>-10</v>
      </c>
    </row>
    <row r="262">
      <c r="A262" s="8">
        <f>IFERROR(__xludf.DUMMYFUNCTION("""COMPUTED_VALUE"""),44238.0)</f>
        <v>44238</v>
      </c>
      <c r="B262">
        <f>IFERROR(__xludf.DUMMYFUNCTION("""COMPUTED_VALUE"""),2.0)</f>
        <v>2</v>
      </c>
      <c r="C262">
        <f>IFERROR(__xludf.DUMMYFUNCTION("""COMPUTED_VALUE"""),1.0)</f>
        <v>1</v>
      </c>
      <c r="E262" s="8">
        <f>IFERROR(__xludf.DUMMYFUNCTION("""COMPUTED_VALUE"""),44238.0)</f>
        <v>44238</v>
      </c>
      <c r="F262">
        <f t="shared" ref="F262:G262" si="262">B262+F263</f>
        <v>685</v>
      </c>
      <c r="G262">
        <f t="shared" si="262"/>
        <v>693</v>
      </c>
      <c r="I262" s="8">
        <f>IFERROR(__xludf.DUMMYFUNCTION("""COMPUTED_VALUE"""),44238.0)</f>
        <v>44238</v>
      </c>
      <c r="J262">
        <f t="shared" si="3"/>
        <v>-8</v>
      </c>
    </row>
    <row r="263">
      <c r="A263" s="8">
        <f>IFERROR(__xludf.DUMMYFUNCTION("""COMPUTED_VALUE"""),44233.0)</f>
        <v>44233</v>
      </c>
      <c r="B263">
        <f>IFERROR(__xludf.DUMMYFUNCTION("""COMPUTED_VALUE"""),3.0)</f>
        <v>3</v>
      </c>
      <c r="C263">
        <f>IFERROR(__xludf.DUMMYFUNCTION("""COMPUTED_VALUE"""),1.0)</f>
        <v>1</v>
      </c>
      <c r="E263" s="8">
        <f>IFERROR(__xludf.DUMMYFUNCTION("""COMPUTED_VALUE"""),44233.0)</f>
        <v>44233</v>
      </c>
      <c r="F263">
        <f t="shared" ref="F263:G263" si="263">B263+F264</f>
        <v>683</v>
      </c>
      <c r="G263">
        <f t="shared" si="263"/>
        <v>692</v>
      </c>
      <c r="I263" s="8">
        <f>IFERROR(__xludf.DUMMYFUNCTION("""COMPUTED_VALUE"""),44233.0)</f>
        <v>44233</v>
      </c>
      <c r="J263">
        <f t="shared" si="3"/>
        <v>-9</v>
      </c>
    </row>
    <row r="264">
      <c r="A264" s="8">
        <f>IFERROR(__xludf.DUMMYFUNCTION("""COMPUTED_VALUE"""),44233.0)</f>
        <v>44233</v>
      </c>
      <c r="B264">
        <f>IFERROR(__xludf.DUMMYFUNCTION("""COMPUTED_VALUE"""),3.0)</f>
        <v>3</v>
      </c>
      <c r="C264">
        <f>IFERROR(__xludf.DUMMYFUNCTION("""COMPUTED_VALUE"""),2.0)</f>
        <v>2</v>
      </c>
      <c r="E264" s="8">
        <f>IFERROR(__xludf.DUMMYFUNCTION("""COMPUTED_VALUE"""),44233.0)</f>
        <v>44233</v>
      </c>
      <c r="F264">
        <f t="shared" ref="F264:G264" si="264">B264+F265</f>
        <v>680</v>
      </c>
      <c r="G264">
        <f t="shared" si="264"/>
        <v>691</v>
      </c>
      <c r="I264" s="8">
        <f>IFERROR(__xludf.DUMMYFUNCTION("""COMPUTED_VALUE"""),44233.0)</f>
        <v>44233</v>
      </c>
      <c r="J264">
        <f t="shared" si="3"/>
        <v>-11</v>
      </c>
    </row>
    <row r="265">
      <c r="A265" s="8">
        <f>IFERROR(__xludf.DUMMYFUNCTION("""COMPUTED_VALUE"""),44231.0)</f>
        <v>44231</v>
      </c>
      <c r="B265">
        <f>IFERROR(__xludf.DUMMYFUNCTION("""COMPUTED_VALUE"""),3.0)</f>
        <v>3</v>
      </c>
      <c r="C265">
        <f>IFERROR(__xludf.DUMMYFUNCTION("""COMPUTED_VALUE"""),2.0)</f>
        <v>2</v>
      </c>
      <c r="E265" s="8">
        <f>IFERROR(__xludf.DUMMYFUNCTION("""COMPUTED_VALUE"""),44231.0)</f>
        <v>44231</v>
      </c>
      <c r="F265">
        <f t="shared" ref="F265:G265" si="265">B265+F266</f>
        <v>677</v>
      </c>
      <c r="G265">
        <f t="shared" si="265"/>
        <v>689</v>
      </c>
      <c r="I265" s="8">
        <f>IFERROR(__xludf.DUMMYFUNCTION("""COMPUTED_VALUE"""),44231.0)</f>
        <v>44231</v>
      </c>
      <c r="J265">
        <f t="shared" si="3"/>
        <v>-12</v>
      </c>
    </row>
    <row r="266">
      <c r="A266" s="8">
        <f>IFERROR(__xludf.DUMMYFUNCTION("""COMPUTED_VALUE"""),44226.0)</f>
        <v>44226</v>
      </c>
      <c r="B266">
        <f>IFERROR(__xludf.DUMMYFUNCTION("""COMPUTED_VALUE"""),2.0)</f>
        <v>2</v>
      </c>
      <c r="C266">
        <f>IFERROR(__xludf.DUMMYFUNCTION("""COMPUTED_VALUE"""),1.0)</f>
        <v>1</v>
      </c>
      <c r="E266" s="8">
        <f>IFERROR(__xludf.DUMMYFUNCTION("""COMPUTED_VALUE"""),44226.0)</f>
        <v>44226</v>
      </c>
      <c r="F266">
        <f t="shared" ref="F266:G266" si="266">B266+F267</f>
        <v>674</v>
      </c>
      <c r="G266">
        <f t="shared" si="266"/>
        <v>687</v>
      </c>
      <c r="I266" s="8">
        <f>IFERROR(__xludf.DUMMYFUNCTION("""COMPUTED_VALUE"""),44226.0)</f>
        <v>44226</v>
      </c>
      <c r="J266">
        <f t="shared" si="3"/>
        <v>-13</v>
      </c>
    </row>
    <row r="267">
      <c r="A267" s="8">
        <f>IFERROR(__xludf.DUMMYFUNCTION("""COMPUTED_VALUE"""),44217.0)</f>
        <v>44217</v>
      </c>
      <c r="B267">
        <f>IFERROR(__xludf.DUMMYFUNCTION("""COMPUTED_VALUE"""),2.0)</f>
        <v>2</v>
      </c>
      <c r="C267">
        <f>IFERROR(__xludf.DUMMYFUNCTION("""COMPUTED_VALUE"""),1.0)</f>
        <v>1</v>
      </c>
      <c r="E267" s="8">
        <f>IFERROR(__xludf.DUMMYFUNCTION("""COMPUTED_VALUE"""),44217.0)</f>
        <v>44217</v>
      </c>
      <c r="F267">
        <f t="shared" ref="F267:G267" si="267">B267+F268</f>
        <v>672</v>
      </c>
      <c r="G267">
        <f t="shared" si="267"/>
        <v>686</v>
      </c>
      <c r="I267" s="8">
        <f>IFERROR(__xludf.DUMMYFUNCTION("""COMPUTED_VALUE"""),44217.0)</f>
        <v>44217</v>
      </c>
      <c r="J267">
        <f t="shared" si="3"/>
        <v>-14</v>
      </c>
    </row>
    <row r="268">
      <c r="A268" s="8">
        <f>IFERROR(__xludf.DUMMYFUNCTION("""COMPUTED_VALUE"""),44213.0)</f>
        <v>44213</v>
      </c>
      <c r="B268">
        <f>IFERROR(__xludf.DUMMYFUNCTION("""COMPUTED_VALUE"""),1.0)</f>
        <v>1</v>
      </c>
      <c r="C268">
        <f>IFERROR(__xludf.DUMMYFUNCTION("""COMPUTED_VALUE"""),2.0)</f>
        <v>2</v>
      </c>
      <c r="E268" s="8">
        <f>IFERROR(__xludf.DUMMYFUNCTION("""COMPUTED_VALUE"""),44213.0)</f>
        <v>44213</v>
      </c>
      <c r="F268">
        <f t="shared" ref="F268:G268" si="268">B268+F269</f>
        <v>670</v>
      </c>
      <c r="G268">
        <f t="shared" si="268"/>
        <v>685</v>
      </c>
      <c r="I268" s="8">
        <f>IFERROR(__xludf.DUMMYFUNCTION("""COMPUTED_VALUE"""),44213.0)</f>
        <v>44213</v>
      </c>
      <c r="J268">
        <f t="shared" si="3"/>
        <v>-15</v>
      </c>
    </row>
    <row r="269">
      <c r="A269" s="8">
        <f>IFERROR(__xludf.DUMMYFUNCTION("""COMPUTED_VALUE"""),44212.0)</f>
        <v>44212</v>
      </c>
      <c r="B269">
        <f>IFERROR(__xludf.DUMMYFUNCTION("""COMPUTED_VALUE"""),2.0)</f>
        <v>2</v>
      </c>
      <c r="C269">
        <f>IFERROR(__xludf.DUMMYFUNCTION("""COMPUTED_VALUE"""),1.0)</f>
        <v>1</v>
      </c>
      <c r="E269" s="8">
        <f>IFERROR(__xludf.DUMMYFUNCTION("""COMPUTED_VALUE"""),44212.0)</f>
        <v>44212</v>
      </c>
      <c r="F269">
        <f t="shared" ref="F269:G269" si="269">B269+F270</f>
        <v>669</v>
      </c>
      <c r="G269">
        <f t="shared" si="269"/>
        <v>683</v>
      </c>
      <c r="I269" s="8">
        <f>IFERROR(__xludf.DUMMYFUNCTION("""COMPUTED_VALUE"""),44212.0)</f>
        <v>44212</v>
      </c>
      <c r="J269">
        <f t="shared" si="3"/>
        <v>-14</v>
      </c>
    </row>
    <row r="270">
      <c r="A270" s="8">
        <f>IFERROR(__xludf.DUMMYFUNCTION("""COMPUTED_VALUE"""),44206.0)</f>
        <v>44206</v>
      </c>
      <c r="B270">
        <f>IFERROR(__xludf.DUMMYFUNCTION("""COMPUTED_VALUE"""),3.0)</f>
        <v>3</v>
      </c>
      <c r="C270">
        <f>IFERROR(__xludf.DUMMYFUNCTION("""COMPUTED_VALUE"""),1.0)</f>
        <v>1</v>
      </c>
      <c r="E270" s="8">
        <f>IFERROR(__xludf.DUMMYFUNCTION("""COMPUTED_VALUE"""),44206.0)</f>
        <v>44206</v>
      </c>
      <c r="F270">
        <f t="shared" ref="F270:G270" si="270">B270+F271</f>
        <v>667</v>
      </c>
      <c r="G270">
        <f t="shared" si="270"/>
        <v>682</v>
      </c>
      <c r="I270" s="8">
        <f>IFERROR(__xludf.DUMMYFUNCTION("""COMPUTED_VALUE"""),44206.0)</f>
        <v>44206</v>
      </c>
      <c r="J270">
        <f t="shared" si="3"/>
        <v>-15</v>
      </c>
    </row>
    <row r="271">
      <c r="A271" s="8">
        <f>IFERROR(__xludf.DUMMYFUNCTION("""COMPUTED_VALUE"""),44202.0)</f>
        <v>44202</v>
      </c>
      <c r="B271">
        <f>IFERROR(__xludf.DUMMYFUNCTION("""COMPUTED_VALUE"""),2.0)</f>
        <v>2</v>
      </c>
      <c r="C271">
        <f>IFERROR(__xludf.DUMMYFUNCTION("""COMPUTED_VALUE"""),1.0)</f>
        <v>1</v>
      </c>
      <c r="E271" s="8">
        <f>IFERROR(__xludf.DUMMYFUNCTION("""COMPUTED_VALUE"""),44202.0)</f>
        <v>44202</v>
      </c>
      <c r="F271">
        <f t="shared" ref="F271:G271" si="271">B271+F272</f>
        <v>664</v>
      </c>
      <c r="G271">
        <f t="shared" si="271"/>
        <v>681</v>
      </c>
      <c r="I271" s="8">
        <f>IFERROR(__xludf.DUMMYFUNCTION("""COMPUTED_VALUE"""),44202.0)</f>
        <v>44202</v>
      </c>
      <c r="J271">
        <f t="shared" si="3"/>
        <v>-17</v>
      </c>
    </row>
    <row r="272">
      <c r="A272" s="8">
        <f>IFERROR(__xludf.DUMMYFUNCTION("""COMPUTED_VALUE"""),44199.0)</f>
        <v>44199</v>
      </c>
      <c r="B272">
        <f>IFERROR(__xludf.DUMMYFUNCTION("""COMPUTED_VALUE"""),1.0)</f>
        <v>1</v>
      </c>
      <c r="C272">
        <f>IFERROR(__xludf.DUMMYFUNCTION("""COMPUTED_VALUE"""),3.0)</f>
        <v>3</v>
      </c>
      <c r="E272" s="8">
        <f>IFERROR(__xludf.DUMMYFUNCTION("""COMPUTED_VALUE"""),44199.0)</f>
        <v>44199</v>
      </c>
      <c r="F272">
        <f t="shared" ref="F272:G272" si="272">B272+F273</f>
        <v>662</v>
      </c>
      <c r="G272">
        <f t="shared" si="272"/>
        <v>680</v>
      </c>
      <c r="I272" s="8">
        <f>IFERROR(__xludf.DUMMYFUNCTION("""COMPUTED_VALUE"""),44199.0)</f>
        <v>44199</v>
      </c>
      <c r="J272">
        <f t="shared" si="3"/>
        <v>-18</v>
      </c>
    </row>
    <row r="273">
      <c r="A273" s="8">
        <f>IFERROR(__xludf.DUMMYFUNCTION("""COMPUTED_VALUE"""),44195.0)</f>
        <v>44195</v>
      </c>
      <c r="B273">
        <f>IFERROR(__xludf.DUMMYFUNCTION("""COMPUTED_VALUE"""),2.0)</f>
        <v>2</v>
      </c>
      <c r="C273">
        <f>IFERROR(__xludf.DUMMYFUNCTION("""COMPUTED_VALUE"""),3.0)</f>
        <v>3</v>
      </c>
      <c r="E273" s="8">
        <f>IFERROR(__xludf.DUMMYFUNCTION("""COMPUTED_VALUE"""),44195.0)</f>
        <v>44195</v>
      </c>
      <c r="F273">
        <f t="shared" ref="F273:G273" si="273">B273+F274</f>
        <v>661</v>
      </c>
      <c r="G273">
        <f t="shared" si="273"/>
        <v>677</v>
      </c>
      <c r="I273" s="8">
        <f>IFERROR(__xludf.DUMMYFUNCTION("""COMPUTED_VALUE"""),44195.0)</f>
        <v>44195</v>
      </c>
      <c r="J273">
        <f t="shared" si="3"/>
        <v>-16</v>
      </c>
    </row>
    <row r="274">
      <c r="A274" s="8">
        <f>IFERROR(__xludf.DUMMYFUNCTION("""COMPUTED_VALUE"""),44192.0)</f>
        <v>44192</v>
      </c>
      <c r="B274">
        <f>IFERROR(__xludf.DUMMYFUNCTION("""COMPUTED_VALUE"""),2.0)</f>
        <v>2</v>
      </c>
      <c r="C274">
        <f>IFERROR(__xludf.DUMMYFUNCTION("""COMPUTED_VALUE"""),3.0)</f>
        <v>3</v>
      </c>
      <c r="E274" s="8">
        <f>IFERROR(__xludf.DUMMYFUNCTION("""COMPUTED_VALUE"""),44192.0)</f>
        <v>44192</v>
      </c>
      <c r="F274">
        <f t="shared" ref="F274:G274" si="274">B274+F275</f>
        <v>659</v>
      </c>
      <c r="G274">
        <f t="shared" si="274"/>
        <v>674</v>
      </c>
      <c r="I274" s="8">
        <f>IFERROR(__xludf.DUMMYFUNCTION("""COMPUTED_VALUE"""),44192.0)</f>
        <v>44192</v>
      </c>
      <c r="J274">
        <f t="shared" si="3"/>
        <v>-15</v>
      </c>
    </row>
    <row r="275">
      <c r="A275" s="8">
        <f>IFERROR(__xludf.DUMMYFUNCTION("""COMPUTED_VALUE"""),44190.0)</f>
        <v>44190</v>
      </c>
      <c r="B275">
        <f>IFERROR(__xludf.DUMMYFUNCTION("""COMPUTED_VALUE"""),2.0)</f>
        <v>2</v>
      </c>
      <c r="C275">
        <f>IFERROR(__xludf.DUMMYFUNCTION("""COMPUTED_VALUE"""),3.0)</f>
        <v>3</v>
      </c>
      <c r="E275" s="8">
        <f>IFERROR(__xludf.DUMMYFUNCTION("""COMPUTED_VALUE"""),44190.0)</f>
        <v>44190</v>
      </c>
      <c r="F275">
        <f t="shared" ref="F275:G275" si="275">B275+F276</f>
        <v>657</v>
      </c>
      <c r="G275">
        <f t="shared" si="275"/>
        <v>671</v>
      </c>
      <c r="I275" s="8">
        <f>IFERROR(__xludf.DUMMYFUNCTION("""COMPUTED_VALUE"""),44190.0)</f>
        <v>44190</v>
      </c>
      <c r="J275">
        <f t="shared" si="3"/>
        <v>-14</v>
      </c>
    </row>
    <row r="276">
      <c r="A276" s="8">
        <f>IFERROR(__xludf.DUMMYFUNCTION("""COMPUTED_VALUE"""),44185.0)</f>
        <v>44185</v>
      </c>
      <c r="B276">
        <f>IFERROR(__xludf.DUMMYFUNCTION("""COMPUTED_VALUE"""),1.0)</f>
        <v>1</v>
      </c>
      <c r="C276">
        <f>IFERROR(__xludf.DUMMYFUNCTION("""COMPUTED_VALUE"""),2.0)</f>
        <v>2</v>
      </c>
      <c r="E276" s="8">
        <f>IFERROR(__xludf.DUMMYFUNCTION("""COMPUTED_VALUE"""),44185.0)</f>
        <v>44185</v>
      </c>
      <c r="F276">
        <f t="shared" ref="F276:G276" si="276">B276+F277</f>
        <v>655</v>
      </c>
      <c r="G276">
        <f t="shared" si="276"/>
        <v>668</v>
      </c>
      <c r="I276" s="8">
        <f>IFERROR(__xludf.DUMMYFUNCTION("""COMPUTED_VALUE"""),44185.0)</f>
        <v>44185</v>
      </c>
      <c r="J276">
        <f t="shared" si="3"/>
        <v>-13</v>
      </c>
    </row>
    <row r="277">
      <c r="A277" s="8">
        <f>IFERROR(__xludf.DUMMYFUNCTION("""COMPUTED_VALUE"""),44183.0)</f>
        <v>44183</v>
      </c>
      <c r="B277">
        <f>IFERROR(__xludf.DUMMYFUNCTION("""COMPUTED_VALUE"""),1.0)</f>
        <v>1</v>
      </c>
      <c r="C277">
        <f>IFERROR(__xludf.DUMMYFUNCTION("""COMPUTED_VALUE"""),2.0)</f>
        <v>2</v>
      </c>
      <c r="E277" s="8">
        <f>IFERROR(__xludf.DUMMYFUNCTION("""COMPUTED_VALUE"""),44183.0)</f>
        <v>44183</v>
      </c>
      <c r="F277">
        <f t="shared" ref="F277:G277" si="277">B277+F278</f>
        <v>654</v>
      </c>
      <c r="G277">
        <f t="shared" si="277"/>
        <v>666</v>
      </c>
      <c r="I277" s="8">
        <f>IFERROR(__xludf.DUMMYFUNCTION("""COMPUTED_VALUE"""),44183.0)</f>
        <v>44183</v>
      </c>
      <c r="J277">
        <f t="shared" si="3"/>
        <v>-12</v>
      </c>
    </row>
    <row r="278">
      <c r="A278" s="8">
        <f>IFERROR(__xludf.DUMMYFUNCTION("""COMPUTED_VALUE"""),44181.0)</f>
        <v>44181</v>
      </c>
      <c r="B278">
        <f>IFERROR(__xludf.DUMMYFUNCTION("""COMPUTED_VALUE"""),2.0)</f>
        <v>2</v>
      </c>
      <c r="C278">
        <f>IFERROR(__xludf.DUMMYFUNCTION("""COMPUTED_VALUE"""),1.0)</f>
        <v>1</v>
      </c>
      <c r="E278" s="8">
        <f>IFERROR(__xludf.DUMMYFUNCTION("""COMPUTED_VALUE"""),44181.0)</f>
        <v>44181</v>
      </c>
      <c r="F278">
        <f t="shared" ref="F278:G278" si="278">B278+F279</f>
        <v>653</v>
      </c>
      <c r="G278">
        <f t="shared" si="278"/>
        <v>664</v>
      </c>
      <c r="I278" s="8">
        <f>IFERROR(__xludf.DUMMYFUNCTION("""COMPUTED_VALUE"""),44181.0)</f>
        <v>44181</v>
      </c>
      <c r="J278">
        <f t="shared" si="3"/>
        <v>-11</v>
      </c>
    </row>
    <row r="279">
      <c r="A279" s="8">
        <f>IFERROR(__xludf.DUMMYFUNCTION("""COMPUTED_VALUE"""),44178.0)</f>
        <v>44178</v>
      </c>
      <c r="B279">
        <f>IFERROR(__xludf.DUMMYFUNCTION("""COMPUTED_VALUE"""),1.0)</f>
        <v>1</v>
      </c>
      <c r="C279">
        <f>IFERROR(__xludf.DUMMYFUNCTION("""COMPUTED_VALUE"""),3.0)</f>
        <v>3</v>
      </c>
      <c r="E279" s="8">
        <f>IFERROR(__xludf.DUMMYFUNCTION("""COMPUTED_VALUE"""),44178.0)</f>
        <v>44178</v>
      </c>
      <c r="F279">
        <f t="shared" ref="F279:G279" si="279">B279+F280</f>
        <v>651</v>
      </c>
      <c r="G279">
        <f t="shared" si="279"/>
        <v>663</v>
      </c>
      <c r="I279" s="8">
        <f>IFERROR(__xludf.DUMMYFUNCTION("""COMPUTED_VALUE"""),44178.0)</f>
        <v>44178</v>
      </c>
      <c r="J279">
        <f t="shared" si="3"/>
        <v>-12</v>
      </c>
    </row>
    <row r="280">
      <c r="A280" s="8">
        <f>IFERROR(__xludf.DUMMYFUNCTION("""COMPUTED_VALUE"""),44174.0)</f>
        <v>44174</v>
      </c>
      <c r="B280">
        <f>IFERROR(__xludf.DUMMYFUNCTION("""COMPUTED_VALUE"""),3.0)</f>
        <v>3</v>
      </c>
      <c r="C280">
        <f>IFERROR(__xludf.DUMMYFUNCTION("""COMPUTED_VALUE"""),2.0)</f>
        <v>2</v>
      </c>
      <c r="E280" s="8">
        <f>IFERROR(__xludf.DUMMYFUNCTION("""COMPUTED_VALUE"""),44174.0)</f>
        <v>44174</v>
      </c>
      <c r="F280">
        <f t="shared" ref="F280:G280" si="280">B280+F281</f>
        <v>650</v>
      </c>
      <c r="G280">
        <f t="shared" si="280"/>
        <v>660</v>
      </c>
      <c r="I280" s="8">
        <f>IFERROR(__xludf.DUMMYFUNCTION("""COMPUTED_VALUE"""),44174.0)</f>
        <v>44174</v>
      </c>
      <c r="J280">
        <f t="shared" si="3"/>
        <v>-10</v>
      </c>
    </row>
    <row r="281">
      <c r="A281" s="8">
        <f>IFERROR(__xludf.DUMMYFUNCTION("""COMPUTED_VALUE"""),44171.0)</f>
        <v>44171</v>
      </c>
      <c r="B281">
        <f>IFERROR(__xludf.DUMMYFUNCTION("""COMPUTED_VALUE"""),2.0)</f>
        <v>2</v>
      </c>
      <c r="C281">
        <f>IFERROR(__xludf.DUMMYFUNCTION("""COMPUTED_VALUE"""),1.0)</f>
        <v>1</v>
      </c>
      <c r="E281" s="8">
        <f>IFERROR(__xludf.DUMMYFUNCTION("""COMPUTED_VALUE"""),44171.0)</f>
        <v>44171</v>
      </c>
      <c r="F281">
        <f t="shared" ref="F281:G281" si="281">B281+F282</f>
        <v>647</v>
      </c>
      <c r="G281">
        <f t="shared" si="281"/>
        <v>658</v>
      </c>
      <c r="I281" s="8">
        <f>IFERROR(__xludf.DUMMYFUNCTION("""COMPUTED_VALUE"""),44171.0)</f>
        <v>44171</v>
      </c>
      <c r="J281">
        <f t="shared" si="3"/>
        <v>-11</v>
      </c>
    </row>
    <row r="282">
      <c r="A282" s="8">
        <f>IFERROR(__xludf.DUMMYFUNCTION("""COMPUTED_VALUE"""),44170.0)</f>
        <v>44170</v>
      </c>
      <c r="B282">
        <f>IFERROR(__xludf.DUMMYFUNCTION("""COMPUTED_VALUE"""),3.0)</f>
        <v>3</v>
      </c>
      <c r="C282">
        <f>IFERROR(__xludf.DUMMYFUNCTION("""COMPUTED_VALUE"""),2.0)</f>
        <v>2</v>
      </c>
      <c r="E282" s="8">
        <f>IFERROR(__xludf.DUMMYFUNCTION("""COMPUTED_VALUE"""),44170.0)</f>
        <v>44170</v>
      </c>
      <c r="F282">
        <f t="shared" ref="F282:G282" si="282">B282+F283</f>
        <v>645</v>
      </c>
      <c r="G282">
        <f t="shared" si="282"/>
        <v>657</v>
      </c>
      <c r="I282" s="8">
        <f>IFERROR(__xludf.DUMMYFUNCTION("""COMPUTED_VALUE"""),44170.0)</f>
        <v>44170</v>
      </c>
      <c r="J282">
        <f t="shared" si="3"/>
        <v>-12</v>
      </c>
    </row>
    <row r="283">
      <c r="A283" s="8">
        <f>IFERROR(__xludf.DUMMYFUNCTION("""COMPUTED_VALUE"""),44167.0)</f>
        <v>44167</v>
      </c>
      <c r="B283">
        <f>IFERROR(__xludf.DUMMYFUNCTION("""COMPUTED_VALUE"""),3.0)</f>
        <v>3</v>
      </c>
      <c r="C283">
        <f>IFERROR(__xludf.DUMMYFUNCTION("""COMPUTED_VALUE"""),1.0)</f>
        <v>1</v>
      </c>
      <c r="E283" s="8">
        <f>IFERROR(__xludf.DUMMYFUNCTION("""COMPUTED_VALUE"""),44167.0)</f>
        <v>44167</v>
      </c>
      <c r="F283">
        <f t="shared" ref="F283:G283" si="283">B283+F284</f>
        <v>642</v>
      </c>
      <c r="G283">
        <f t="shared" si="283"/>
        <v>655</v>
      </c>
      <c r="I283" s="8">
        <f>IFERROR(__xludf.DUMMYFUNCTION("""COMPUTED_VALUE"""),44167.0)</f>
        <v>44167</v>
      </c>
      <c r="J283">
        <f t="shared" si="3"/>
        <v>-13</v>
      </c>
    </row>
    <row r="284">
      <c r="A284" s="8">
        <f>IFERROR(__xludf.DUMMYFUNCTION("""COMPUTED_VALUE"""),44157.0)</f>
        <v>44157</v>
      </c>
      <c r="B284">
        <f>IFERROR(__xludf.DUMMYFUNCTION("""COMPUTED_VALUE"""),2.0)</f>
        <v>2</v>
      </c>
      <c r="C284">
        <f>IFERROR(__xludf.DUMMYFUNCTION("""COMPUTED_VALUE"""),1.0)</f>
        <v>1</v>
      </c>
      <c r="E284" s="8">
        <f>IFERROR(__xludf.DUMMYFUNCTION("""COMPUTED_VALUE"""),44157.0)</f>
        <v>44157</v>
      </c>
      <c r="F284">
        <f t="shared" ref="F284:G284" si="284">B284+F285</f>
        <v>639</v>
      </c>
      <c r="G284">
        <f t="shared" si="284"/>
        <v>654</v>
      </c>
      <c r="I284" s="8">
        <f>IFERROR(__xludf.DUMMYFUNCTION("""COMPUTED_VALUE"""),44157.0)</f>
        <v>44157</v>
      </c>
      <c r="J284">
        <f t="shared" si="3"/>
        <v>-15</v>
      </c>
    </row>
    <row r="285">
      <c r="A285" s="8">
        <f>IFERROR(__xludf.DUMMYFUNCTION("""COMPUTED_VALUE"""),44156.0)</f>
        <v>44156</v>
      </c>
      <c r="B285">
        <f>IFERROR(__xludf.DUMMYFUNCTION("""COMPUTED_VALUE"""),1.0)</f>
        <v>1</v>
      </c>
      <c r="C285">
        <f>IFERROR(__xludf.DUMMYFUNCTION("""COMPUTED_VALUE"""),3.0)</f>
        <v>3</v>
      </c>
      <c r="E285" s="8">
        <f>IFERROR(__xludf.DUMMYFUNCTION("""COMPUTED_VALUE"""),44156.0)</f>
        <v>44156</v>
      </c>
      <c r="F285">
        <f t="shared" ref="F285:G285" si="285">B285+F286</f>
        <v>637</v>
      </c>
      <c r="G285">
        <f t="shared" si="285"/>
        <v>653</v>
      </c>
      <c r="I285" s="8">
        <f>IFERROR(__xludf.DUMMYFUNCTION("""COMPUTED_VALUE"""),44156.0)</f>
        <v>44156</v>
      </c>
      <c r="J285">
        <f t="shared" si="3"/>
        <v>-16</v>
      </c>
    </row>
    <row r="286">
      <c r="A286" s="8">
        <f>IFERROR(__xludf.DUMMYFUNCTION("""COMPUTED_VALUE"""),44156.0)</f>
        <v>44156</v>
      </c>
      <c r="B286">
        <f>IFERROR(__xludf.DUMMYFUNCTION("""COMPUTED_VALUE"""),3.0)</f>
        <v>3</v>
      </c>
      <c r="C286">
        <f>IFERROR(__xludf.DUMMYFUNCTION("""COMPUTED_VALUE"""),2.0)</f>
        <v>2</v>
      </c>
      <c r="E286" s="8">
        <f>IFERROR(__xludf.DUMMYFUNCTION("""COMPUTED_VALUE"""),44156.0)</f>
        <v>44156</v>
      </c>
      <c r="F286">
        <f t="shared" ref="F286:G286" si="286">B286+F287</f>
        <v>636</v>
      </c>
      <c r="G286">
        <f t="shared" si="286"/>
        <v>650</v>
      </c>
      <c r="I286" s="8">
        <f>IFERROR(__xludf.DUMMYFUNCTION("""COMPUTED_VALUE"""),44156.0)</f>
        <v>44156</v>
      </c>
      <c r="J286">
        <f t="shared" si="3"/>
        <v>-14</v>
      </c>
    </row>
    <row r="287">
      <c r="A287" s="8">
        <f>IFERROR(__xludf.DUMMYFUNCTION("""COMPUTED_VALUE"""),44155.0)</f>
        <v>44155</v>
      </c>
      <c r="B287">
        <f>IFERROR(__xludf.DUMMYFUNCTION("""COMPUTED_VALUE"""),3.0)</f>
        <v>3</v>
      </c>
      <c r="C287">
        <f>IFERROR(__xludf.DUMMYFUNCTION("""COMPUTED_VALUE"""),1.0)</f>
        <v>1</v>
      </c>
      <c r="E287" s="8">
        <f>IFERROR(__xludf.DUMMYFUNCTION("""COMPUTED_VALUE"""),44155.0)</f>
        <v>44155</v>
      </c>
      <c r="F287">
        <f t="shared" ref="F287:G287" si="287">B287+F288</f>
        <v>633</v>
      </c>
      <c r="G287">
        <f t="shared" si="287"/>
        <v>648</v>
      </c>
      <c r="I287" s="8">
        <f>IFERROR(__xludf.DUMMYFUNCTION("""COMPUTED_VALUE"""),44155.0)</f>
        <v>44155</v>
      </c>
      <c r="J287">
        <f t="shared" si="3"/>
        <v>-15</v>
      </c>
    </row>
    <row r="288">
      <c r="A288" s="8">
        <f>IFERROR(__xludf.DUMMYFUNCTION("""COMPUTED_VALUE"""),44150.0)</f>
        <v>44150</v>
      </c>
      <c r="B288">
        <f>IFERROR(__xludf.DUMMYFUNCTION("""COMPUTED_VALUE"""),2.0)</f>
        <v>2</v>
      </c>
      <c r="C288">
        <f>IFERROR(__xludf.DUMMYFUNCTION("""COMPUTED_VALUE"""),3.0)</f>
        <v>3</v>
      </c>
      <c r="E288" s="8">
        <f>IFERROR(__xludf.DUMMYFUNCTION("""COMPUTED_VALUE"""),44150.0)</f>
        <v>44150</v>
      </c>
      <c r="F288">
        <f t="shared" ref="F288:G288" si="288">B288+F289</f>
        <v>630</v>
      </c>
      <c r="G288">
        <f t="shared" si="288"/>
        <v>647</v>
      </c>
      <c r="I288" s="8">
        <f>IFERROR(__xludf.DUMMYFUNCTION("""COMPUTED_VALUE"""),44150.0)</f>
        <v>44150</v>
      </c>
      <c r="J288">
        <f t="shared" si="3"/>
        <v>-17</v>
      </c>
    </row>
    <row r="289">
      <c r="A289" s="8">
        <f>IFERROR(__xludf.DUMMYFUNCTION("""COMPUTED_VALUE"""),44146.0)</f>
        <v>44146</v>
      </c>
      <c r="B289">
        <f>IFERROR(__xludf.DUMMYFUNCTION("""COMPUTED_VALUE"""),3.0)</f>
        <v>3</v>
      </c>
      <c r="C289">
        <f>IFERROR(__xludf.DUMMYFUNCTION("""COMPUTED_VALUE"""),1.0)</f>
        <v>1</v>
      </c>
      <c r="E289" s="8">
        <f>IFERROR(__xludf.DUMMYFUNCTION("""COMPUTED_VALUE"""),44146.0)</f>
        <v>44146</v>
      </c>
      <c r="F289">
        <f t="shared" ref="F289:G289" si="289">B289+F290</f>
        <v>628</v>
      </c>
      <c r="G289">
        <f t="shared" si="289"/>
        <v>644</v>
      </c>
      <c r="I289" s="8">
        <f>IFERROR(__xludf.DUMMYFUNCTION("""COMPUTED_VALUE"""),44146.0)</f>
        <v>44146</v>
      </c>
      <c r="J289">
        <f t="shared" si="3"/>
        <v>-16</v>
      </c>
    </row>
    <row r="290">
      <c r="A290" s="8">
        <f>IFERROR(__xludf.DUMMYFUNCTION("""COMPUTED_VALUE"""),44143.0)</f>
        <v>44143</v>
      </c>
      <c r="B290">
        <f>IFERROR(__xludf.DUMMYFUNCTION("""COMPUTED_VALUE"""),2.0)</f>
        <v>2</v>
      </c>
      <c r="C290">
        <f>IFERROR(__xludf.DUMMYFUNCTION("""COMPUTED_VALUE"""),1.0)</f>
        <v>1</v>
      </c>
      <c r="E290" s="8">
        <f>IFERROR(__xludf.DUMMYFUNCTION("""COMPUTED_VALUE"""),44143.0)</f>
        <v>44143</v>
      </c>
      <c r="F290">
        <f t="shared" ref="F290:G290" si="290">B290+F291</f>
        <v>625</v>
      </c>
      <c r="G290">
        <f t="shared" si="290"/>
        <v>643</v>
      </c>
      <c r="I290" s="8">
        <f>IFERROR(__xludf.DUMMYFUNCTION("""COMPUTED_VALUE"""),44143.0)</f>
        <v>44143</v>
      </c>
      <c r="J290">
        <f t="shared" si="3"/>
        <v>-18</v>
      </c>
    </row>
    <row r="291">
      <c r="A291" s="8">
        <f>IFERROR(__xludf.DUMMYFUNCTION("""COMPUTED_VALUE"""),44139.0)</f>
        <v>44139</v>
      </c>
      <c r="B291">
        <f>IFERROR(__xludf.DUMMYFUNCTION("""COMPUTED_VALUE"""),3.0)</f>
        <v>3</v>
      </c>
      <c r="C291">
        <f>IFERROR(__xludf.DUMMYFUNCTION("""COMPUTED_VALUE"""),2.0)</f>
        <v>2</v>
      </c>
      <c r="E291" s="8">
        <f>IFERROR(__xludf.DUMMYFUNCTION("""COMPUTED_VALUE"""),44139.0)</f>
        <v>44139</v>
      </c>
      <c r="F291">
        <f t="shared" ref="F291:G291" si="291">B291+F292</f>
        <v>623</v>
      </c>
      <c r="G291">
        <f t="shared" si="291"/>
        <v>642</v>
      </c>
      <c r="I291" s="8">
        <f>IFERROR(__xludf.DUMMYFUNCTION("""COMPUTED_VALUE"""),44139.0)</f>
        <v>44139</v>
      </c>
      <c r="J291">
        <f t="shared" si="3"/>
        <v>-19</v>
      </c>
    </row>
    <row r="292">
      <c r="A292" s="8">
        <f>IFERROR(__xludf.DUMMYFUNCTION("""COMPUTED_VALUE"""),44136.0)</f>
        <v>44136</v>
      </c>
      <c r="B292">
        <f>IFERROR(__xludf.DUMMYFUNCTION("""COMPUTED_VALUE"""),1.0)</f>
        <v>1</v>
      </c>
      <c r="C292">
        <f>IFERROR(__xludf.DUMMYFUNCTION("""COMPUTED_VALUE"""),3.0)</f>
        <v>3</v>
      </c>
      <c r="E292" s="8">
        <f>IFERROR(__xludf.DUMMYFUNCTION("""COMPUTED_VALUE"""),44136.0)</f>
        <v>44136</v>
      </c>
      <c r="F292">
        <f t="shared" ref="F292:G292" si="292">B292+F293</f>
        <v>620</v>
      </c>
      <c r="G292">
        <f t="shared" si="292"/>
        <v>640</v>
      </c>
      <c r="I292" s="8">
        <f>IFERROR(__xludf.DUMMYFUNCTION("""COMPUTED_VALUE"""),44136.0)</f>
        <v>44136</v>
      </c>
      <c r="J292">
        <f t="shared" si="3"/>
        <v>-20</v>
      </c>
    </row>
    <row r="293">
      <c r="A293" s="8">
        <f>IFERROR(__xludf.DUMMYFUNCTION("""COMPUTED_VALUE"""),44135.0)</f>
        <v>44135</v>
      </c>
      <c r="B293">
        <f>IFERROR(__xludf.DUMMYFUNCTION("""COMPUTED_VALUE"""),3.0)</f>
        <v>3</v>
      </c>
      <c r="C293">
        <f>IFERROR(__xludf.DUMMYFUNCTION("""COMPUTED_VALUE"""),1.0)</f>
        <v>1</v>
      </c>
      <c r="E293" s="8">
        <f>IFERROR(__xludf.DUMMYFUNCTION("""COMPUTED_VALUE"""),44135.0)</f>
        <v>44135</v>
      </c>
      <c r="F293">
        <f t="shared" ref="F293:G293" si="293">B293+F294</f>
        <v>619</v>
      </c>
      <c r="G293">
        <f t="shared" si="293"/>
        <v>637</v>
      </c>
      <c r="I293" s="8">
        <f>IFERROR(__xludf.DUMMYFUNCTION("""COMPUTED_VALUE"""),44135.0)</f>
        <v>44135</v>
      </c>
      <c r="J293">
        <f t="shared" si="3"/>
        <v>-18</v>
      </c>
    </row>
    <row r="294">
      <c r="A294" s="8">
        <f>IFERROR(__xludf.DUMMYFUNCTION("""COMPUTED_VALUE"""),44135.0)</f>
        <v>44135</v>
      </c>
      <c r="B294">
        <f>IFERROR(__xludf.DUMMYFUNCTION("""COMPUTED_VALUE"""),2.0)</f>
        <v>2</v>
      </c>
      <c r="C294">
        <f>IFERROR(__xludf.DUMMYFUNCTION("""COMPUTED_VALUE"""),4.0)</f>
        <v>4</v>
      </c>
      <c r="E294" s="8">
        <f>IFERROR(__xludf.DUMMYFUNCTION("""COMPUTED_VALUE"""),44135.0)</f>
        <v>44135</v>
      </c>
      <c r="F294">
        <f t="shared" ref="F294:G294" si="294">B294+F295</f>
        <v>616</v>
      </c>
      <c r="G294">
        <f t="shared" si="294"/>
        <v>636</v>
      </c>
      <c r="I294" s="8">
        <f>IFERROR(__xludf.DUMMYFUNCTION("""COMPUTED_VALUE"""),44135.0)</f>
        <v>44135</v>
      </c>
      <c r="J294">
        <f t="shared" si="3"/>
        <v>-20</v>
      </c>
    </row>
    <row r="295">
      <c r="A295" s="8">
        <f>IFERROR(__xludf.DUMMYFUNCTION("""COMPUTED_VALUE"""),44132.0)</f>
        <v>44132</v>
      </c>
      <c r="B295">
        <f>IFERROR(__xludf.DUMMYFUNCTION("""COMPUTED_VALUE"""),1.0)</f>
        <v>1</v>
      </c>
      <c r="C295">
        <f>IFERROR(__xludf.DUMMYFUNCTION("""COMPUTED_VALUE"""),2.0)</f>
        <v>2</v>
      </c>
      <c r="E295" s="8">
        <f>IFERROR(__xludf.DUMMYFUNCTION("""COMPUTED_VALUE"""),44132.0)</f>
        <v>44132</v>
      </c>
      <c r="F295">
        <f t="shared" ref="F295:G295" si="295">B295+F296</f>
        <v>614</v>
      </c>
      <c r="G295">
        <f t="shared" si="295"/>
        <v>632</v>
      </c>
      <c r="I295" s="8">
        <f>IFERROR(__xludf.DUMMYFUNCTION("""COMPUTED_VALUE"""),44132.0)</f>
        <v>44132</v>
      </c>
      <c r="J295">
        <f t="shared" si="3"/>
        <v>-18</v>
      </c>
    </row>
    <row r="296">
      <c r="A296" s="8">
        <f>IFERROR(__xludf.DUMMYFUNCTION("""COMPUTED_VALUE"""),44129.0)</f>
        <v>44129</v>
      </c>
      <c r="B296">
        <f>IFERROR(__xludf.DUMMYFUNCTION("""COMPUTED_VALUE"""),1.0)</f>
        <v>1</v>
      </c>
      <c r="C296">
        <f>IFERROR(__xludf.DUMMYFUNCTION("""COMPUTED_VALUE"""),2.0)</f>
        <v>2</v>
      </c>
      <c r="E296" s="8">
        <f>IFERROR(__xludf.DUMMYFUNCTION("""COMPUTED_VALUE"""),44129.0)</f>
        <v>44129</v>
      </c>
      <c r="F296">
        <f t="shared" ref="F296:G296" si="296">B296+F297</f>
        <v>613</v>
      </c>
      <c r="G296">
        <f t="shared" si="296"/>
        <v>630</v>
      </c>
      <c r="I296" s="8">
        <f>IFERROR(__xludf.DUMMYFUNCTION("""COMPUTED_VALUE"""),44129.0)</f>
        <v>44129</v>
      </c>
      <c r="J296">
        <f t="shared" si="3"/>
        <v>-17</v>
      </c>
    </row>
    <row r="297">
      <c r="A297" s="8">
        <f>IFERROR(__xludf.DUMMYFUNCTION("""COMPUTED_VALUE"""),44125.0)</f>
        <v>44125</v>
      </c>
      <c r="B297">
        <f>IFERROR(__xludf.DUMMYFUNCTION("""COMPUTED_VALUE"""),2.0)</f>
        <v>2</v>
      </c>
      <c r="C297">
        <f>IFERROR(__xludf.DUMMYFUNCTION("""COMPUTED_VALUE"""),1.0)</f>
        <v>1</v>
      </c>
      <c r="E297" s="8">
        <f>IFERROR(__xludf.DUMMYFUNCTION("""COMPUTED_VALUE"""),44125.0)</f>
        <v>44125</v>
      </c>
      <c r="F297">
        <f t="shared" ref="F297:G297" si="297">B297+F298</f>
        <v>612</v>
      </c>
      <c r="G297">
        <f t="shared" si="297"/>
        <v>628</v>
      </c>
      <c r="I297" s="8">
        <f>IFERROR(__xludf.DUMMYFUNCTION("""COMPUTED_VALUE"""),44125.0)</f>
        <v>44125</v>
      </c>
      <c r="J297">
        <f t="shared" si="3"/>
        <v>-16</v>
      </c>
    </row>
    <row r="298">
      <c r="A298" s="8">
        <f>IFERROR(__xludf.DUMMYFUNCTION("""COMPUTED_VALUE"""),44122.0)</f>
        <v>44122</v>
      </c>
      <c r="B298">
        <f>IFERROR(__xludf.DUMMYFUNCTION("""COMPUTED_VALUE"""),1.0)</f>
        <v>1</v>
      </c>
      <c r="C298">
        <f>IFERROR(__xludf.DUMMYFUNCTION("""COMPUTED_VALUE"""),3.0)</f>
        <v>3</v>
      </c>
      <c r="E298" s="8">
        <f>IFERROR(__xludf.DUMMYFUNCTION("""COMPUTED_VALUE"""),44122.0)</f>
        <v>44122</v>
      </c>
      <c r="F298">
        <f t="shared" ref="F298:G298" si="298">B298+F299</f>
        <v>610</v>
      </c>
      <c r="G298">
        <f t="shared" si="298"/>
        <v>627</v>
      </c>
      <c r="I298" s="8">
        <f>IFERROR(__xludf.DUMMYFUNCTION("""COMPUTED_VALUE"""),44122.0)</f>
        <v>44122</v>
      </c>
      <c r="J298">
        <f t="shared" si="3"/>
        <v>-17</v>
      </c>
    </row>
    <row r="299">
      <c r="A299" s="8">
        <f>IFERROR(__xludf.DUMMYFUNCTION("""COMPUTED_VALUE"""),44121.0)</f>
        <v>44121</v>
      </c>
      <c r="B299">
        <f>IFERROR(__xludf.DUMMYFUNCTION("""COMPUTED_VALUE"""),3.0)</f>
        <v>3</v>
      </c>
      <c r="C299">
        <f>IFERROR(__xludf.DUMMYFUNCTION("""COMPUTED_VALUE"""),2.0)</f>
        <v>2</v>
      </c>
      <c r="E299" s="8">
        <f>IFERROR(__xludf.DUMMYFUNCTION("""COMPUTED_VALUE"""),44121.0)</f>
        <v>44121</v>
      </c>
      <c r="F299">
        <f t="shared" ref="F299:G299" si="299">B299+F300</f>
        <v>609</v>
      </c>
      <c r="G299">
        <f t="shared" si="299"/>
        <v>624</v>
      </c>
      <c r="I299" s="8">
        <f>IFERROR(__xludf.DUMMYFUNCTION("""COMPUTED_VALUE"""),44121.0)</f>
        <v>44121</v>
      </c>
      <c r="J299">
        <f t="shared" si="3"/>
        <v>-15</v>
      </c>
    </row>
    <row r="300">
      <c r="A300" s="8">
        <f>IFERROR(__xludf.DUMMYFUNCTION("""COMPUTED_VALUE"""),44118.0)</f>
        <v>44118</v>
      </c>
      <c r="B300">
        <f>IFERROR(__xludf.DUMMYFUNCTION("""COMPUTED_VALUE"""),2.0)</f>
        <v>2</v>
      </c>
      <c r="C300">
        <f>IFERROR(__xludf.DUMMYFUNCTION("""COMPUTED_VALUE"""),1.0)</f>
        <v>1</v>
      </c>
      <c r="E300" s="8">
        <f>IFERROR(__xludf.DUMMYFUNCTION("""COMPUTED_VALUE"""),44118.0)</f>
        <v>44118</v>
      </c>
      <c r="F300">
        <f t="shared" ref="F300:G300" si="300">B300+F301</f>
        <v>606</v>
      </c>
      <c r="G300">
        <f t="shared" si="300"/>
        <v>622</v>
      </c>
      <c r="I300" s="8">
        <f>IFERROR(__xludf.DUMMYFUNCTION("""COMPUTED_VALUE"""),44118.0)</f>
        <v>44118</v>
      </c>
      <c r="J300">
        <f t="shared" si="3"/>
        <v>-16</v>
      </c>
    </row>
    <row r="301">
      <c r="A301" s="8">
        <f>IFERROR(__xludf.DUMMYFUNCTION("""COMPUTED_VALUE"""),44101.0)</f>
        <v>44101</v>
      </c>
      <c r="B301">
        <f>IFERROR(__xludf.DUMMYFUNCTION("""COMPUTED_VALUE"""),1.0)</f>
        <v>1</v>
      </c>
      <c r="C301">
        <f>IFERROR(__xludf.DUMMYFUNCTION("""COMPUTED_VALUE"""),3.0)</f>
        <v>3</v>
      </c>
      <c r="E301" s="8">
        <f>IFERROR(__xludf.DUMMYFUNCTION("""COMPUTED_VALUE"""),44101.0)</f>
        <v>44101</v>
      </c>
      <c r="F301">
        <f t="shared" ref="F301:G301" si="301">B301+F302</f>
        <v>604</v>
      </c>
      <c r="G301">
        <f t="shared" si="301"/>
        <v>621</v>
      </c>
      <c r="I301" s="8">
        <f>IFERROR(__xludf.DUMMYFUNCTION("""COMPUTED_VALUE"""),44101.0)</f>
        <v>44101</v>
      </c>
      <c r="J301">
        <f t="shared" si="3"/>
        <v>-17</v>
      </c>
    </row>
    <row r="302">
      <c r="A302" s="8">
        <f>IFERROR(__xludf.DUMMYFUNCTION("""COMPUTED_VALUE"""),44097.0)</f>
        <v>44097</v>
      </c>
      <c r="B302">
        <f>IFERROR(__xludf.DUMMYFUNCTION("""COMPUTED_VALUE"""),3.0)</f>
        <v>3</v>
      </c>
      <c r="C302">
        <f>IFERROR(__xludf.DUMMYFUNCTION("""COMPUTED_VALUE"""),1.0)</f>
        <v>1</v>
      </c>
      <c r="E302" s="8">
        <f>IFERROR(__xludf.DUMMYFUNCTION("""COMPUTED_VALUE"""),44097.0)</f>
        <v>44097</v>
      </c>
      <c r="F302">
        <f t="shared" ref="F302:G302" si="302">B302+F303</f>
        <v>603</v>
      </c>
      <c r="G302">
        <f t="shared" si="302"/>
        <v>618</v>
      </c>
      <c r="I302" s="8">
        <f>IFERROR(__xludf.DUMMYFUNCTION("""COMPUTED_VALUE"""),44097.0)</f>
        <v>44097</v>
      </c>
      <c r="J302">
        <f t="shared" si="3"/>
        <v>-15</v>
      </c>
    </row>
    <row r="303">
      <c r="A303" s="8">
        <f>IFERROR(__xludf.DUMMYFUNCTION("""COMPUTED_VALUE"""),44093.0)</f>
        <v>44093</v>
      </c>
      <c r="B303">
        <f>IFERROR(__xludf.DUMMYFUNCTION("""COMPUTED_VALUE"""),2.0)</f>
        <v>2</v>
      </c>
      <c r="C303">
        <f>IFERROR(__xludf.DUMMYFUNCTION("""COMPUTED_VALUE"""),1.0)</f>
        <v>1</v>
      </c>
      <c r="E303" s="8">
        <f>IFERROR(__xludf.DUMMYFUNCTION("""COMPUTED_VALUE"""),44093.0)</f>
        <v>44093</v>
      </c>
      <c r="F303">
        <f t="shared" ref="F303:G303" si="303">B303+F304</f>
        <v>600</v>
      </c>
      <c r="G303">
        <f t="shared" si="303"/>
        <v>617</v>
      </c>
      <c r="I303" s="8">
        <f>IFERROR(__xludf.DUMMYFUNCTION("""COMPUTED_VALUE"""),44093.0)</f>
        <v>44093</v>
      </c>
      <c r="J303">
        <f t="shared" si="3"/>
        <v>-17</v>
      </c>
    </row>
    <row r="304">
      <c r="A304" s="8">
        <f>IFERROR(__xludf.DUMMYFUNCTION("""COMPUTED_VALUE"""),44087.0)</f>
        <v>44087</v>
      </c>
      <c r="B304">
        <f>IFERROR(__xludf.DUMMYFUNCTION("""COMPUTED_VALUE"""),1.0)</f>
        <v>1</v>
      </c>
      <c r="C304">
        <f>IFERROR(__xludf.DUMMYFUNCTION("""COMPUTED_VALUE"""),2.0)</f>
        <v>2</v>
      </c>
      <c r="E304" s="8">
        <f>IFERROR(__xludf.DUMMYFUNCTION("""COMPUTED_VALUE"""),44087.0)</f>
        <v>44087</v>
      </c>
      <c r="F304">
        <f t="shared" ref="F304:G304" si="304">B304+F305</f>
        <v>598</v>
      </c>
      <c r="G304">
        <f t="shared" si="304"/>
        <v>616</v>
      </c>
      <c r="I304" s="8">
        <f>IFERROR(__xludf.DUMMYFUNCTION("""COMPUTED_VALUE"""),44087.0)</f>
        <v>44087</v>
      </c>
      <c r="J304">
        <f t="shared" si="3"/>
        <v>-18</v>
      </c>
    </row>
    <row r="305">
      <c r="A305" s="8">
        <f>IFERROR(__xludf.DUMMYFUNCTION("""COMPUTED_VALUE"""),44086.0)</f>
        <v>44086</v>
      </c>
      <c r="B305">
        <f>IFERROR(__xludf.DUMMYFUNCTION("""COMPUTED_VALUE"""),1.0)</f>
        <v>1</v>
      </c>
      <c r="C305">
        <f>IFERROR(__xludf.DUMMYFUNCTION("""COMPUTED_VALUE"""),2.0)</f>
        <v>2</v>
      </c>
      <c r="E305" s="8">
        <f>IFERROR(__xludf.DUMMYFUNCTION("""COMPUTED_VALUE"""),44086.0)</f>
        <v>44086</v>
      </c>
      <c r="F305">
        <f t="shared" ref="F305:G305" si="305">B305+F306</f>
        <v>597</v>
      </c>
      <c r="G305">
        <f t="shared" si="305"/>
        <v>614</v>
      </c>
      <c r="I305" s="8">
        <f>IFERROR(__xludf.DUMMYFUNCTION("""COMPUTED_VALUE"""),44086.0)</f>
        <v>44086</v>
      </c>
      <c r="J305">
        <f t="shared" si="3"/>
        <v>-17</v>
      </c>
    </row>
    <row r="306">
      <c r="A306" s="8">
        <f>IFERROR(__xludf.DUMMYFUNCTION("""COMPUTED_VALUE"""),44081.0)</f>
        <v>44081</v>
      </c>
      <c r="B306">
        <f>IFERROR(__xludf.DUMMYFUNCTION("""COMPUTED_VALUE"""),3.0)</f>
        <v>3</v>
      </c>
      <c r="C306">
        <f>IFERROR(__xludf.DUMMYFUNCTION("""COMPUTED_VALUE"""),2.0)</f>
        <v>2</v>
      </c>
      <c r="E306" s="8">
        <f>IFERROR(__xludf.DUMMYFUNCTION("""COMPUTED_VALUE"""),44081.0)</f>
        <v>44081</v>
      </c>
      <c r="F306">
        <f t="shared" ref="F306:G306" si="306">B306+F307</f>
        <v>596</v>
      </c>
      <c r="G306">
        <f t="shared" si="306"/>
        <v>612</v>
      </c>
      <c r="I306" s="8">
        <f>IFERROR(__xludf.DUMMYFUNCTION("""COMPUTED_VALUE"""),44081.0)</f>
        <v>44081</v>
      </c>
      <c r="J306">
        <f t="shared" si="3"/>
        <v>-16</v>
      </c>
    </row>
    <row r="307">
      <c r="A307" s="8">
        <f>IFERROR(__xludf.DUMMYFUNCTION("""COMPUTED_VALUE"""),44080.0)</f>
        <v>44080</v>
      </c>
      <c r="B307">
        <f>IFERROR(__xludf.DUMMYFUNCTION("""COMPUTED_VALUE"""),4.0)</f>
        <v>4</v>
      </c>
      <c r="C307">
        <f>IFERROR(__xludf.DUMMYFUNCTION("""COMPUTED_VALUE"""),1.0)</f>
        <v>1</v>
      </c>
      <c r="E307" s="8">
        <f>IFERROR(__xludf.DUMMYFUNCTION("""COMPUTED_VALUE"""),44080.0)</f>
        <v>44080</v>
      </c>
      <c r="F307">
        <f t="shared" ref="F307:G307" si="307">B307+F308</f>
        <v>593</v>
      </c>
      <c r="G307">
        <f t="shared" si="307"/>
        <v>610</v>
      </c>
      <c r="I307" s="8">
        <f>IFERROR(__xludf.DUMMYFUNCTION("""COMPUTED_VALUE"""),44080.0)</f>
        <v>44080</v>
      </c>
      <c r="J307">
        <f t="shared" si="3"/>
        <v>-17</v>
      </c>
    </row>
    <row r="308">
      <c r="A308" s="8">
        <f>IFERROR(__xludf.DUMMYFUNCTION("""COMPUTED_VALUE"""),44076.0)</f>
        <v>44076</v>
      </c>
      <c r="B308">
        <f>IFERROR(__xludf.DUMMYFUNCTION("""COMPUTED_VALUE"""),3.0)</f>
        <v>3</v>
      </c>
      <c r="C308">
        <f>IFERROR(__xludf.DUMMYFUNCTION("""COMPUTED_VALUE"""),1.0)</f>
        <v>1</v>
      </c>
      <c r="E308" s="8">
        <f>IFERROR(__xludf.DUMMYFUNCTION("""COMPUTED_VALUE"""),44076.0)</f>
        <v>44076</v>
      </c>
      <c r="F308">
        <f t="shared" ref="F308:G308" si="308">B308+F309</f>
        <v>589</v>
      </c>
      <c r="G308">
        <f t="shared" si="308"/>
        <v>609</v>
      </c>
      <c r="I308" s="8">
        <f>IFERROR(__xludf.DUMMYFUNCTION("""COMPUTED_VALUE"""),44076.0)</f>
        <v>44076</v>
      </c>
      <c r="J308">
        <f t="shared" si="3"/>
        <v>-20</v>
      </c>
    </row>
    <row r="309">
      <c r="A309" s="8">
        <f>IFERROR(__xludf.DUMMYFUNCTION("""COMPUTED_VALUE"""),44073.0)</f>
        <v>44073</v>
      </c>
      <c r="B309">
        <f>IFERROR(__xludf.DUMMYFUNCTION("""COMPUTED_VALUE"""),2.0)</f>
        <v>2</v>
      </c>
      <c r="C309">
        <f>IFERROR(__xludf.DUMMYFUNCTION("""COMPUTED_VALUE"""),3.0)</f>
        <v>3</v>
      </c>
      <c r="E309" s="8">
        <f>IFERROR(__xludf.DUMMYFUNCTION("""COMPUTED_VALUE"""),44073.0)</f>
        <v>44073</v>
      </c>
      <c r="F309">
        <f t="shared" ref="F309:G309" si="309">B309+F310</f>
        <v>586</v>
      </c>
      <c r="G309">
        <f t="shared" si="309"/>
        <v>608</v>
      </c>
      <c r="I309" s="8">
        <f>IFERROR(__xludf.DUMMYFUNCTION("""COMPUTED_VALUE"""),44073.0)</f>
        <v>44073</v>
      </c>
      <c r="J309">
        <f t="shared" si="3"/>
        <v>-22</v>
      </c>
    </row>
    <row r="310">
      <c r="A310" s="8">
        <f>IFERROR(__xludf.DUMMYFUNCTION("""COMPUTED_VALUE"""),44072.0)</f>
        <v>44072</v>
      </c>
      <c r="B310">
        <f>IFERROR(__xludf.DUMMYFUNCTION("""COMPUTED_VALUE"""),1.0)</f>
        <v>1</v>
      </c>
      <c r="C310">
        <f>IFERROR(__xludf.DUMMYFUNCTION("""COMPUTED_VALUE"""),2.0)</f>
        <v>2</v>
      </c>
      <c r="E310" s="8">
        <f>IFERROR(__xludf.DUMMYFUNCTION("""COMPUTED_VALUE"""),44072.0)</f>
        <v>44072</v>
      </c>
      <c r="F310">
        <f t="shared" ref="F310:G310" si="310">B310+F311</f>
        <v>584</v>
      </c>
      <c r="G310">
        <f t="shared" si="310"/>
        <v>605</v>
      </c>
      <c r="I310" s="8">
        <f>IFERROR(__xludf.DUMMYFUNCTION("""COMPUTED_VALUE"""),44072.0)</f>
        <v>44072</v>
      </c>
      <c r="J310">
        <f t="shared" si="3"/>
        <v>-21</v>
      </c>
    </row>
    <row r="311">
      <c r="A311" s="8">
        <f>IFERROR(__xludf.DUMMYFUNCTION("""COMPUTED_VALUE"""),44069.0)</f>
        <v>44069</v>
      </c>
      <c r="B311">
        <f>IFERROR(__xludf.DUMMYFUNCTION("""COMPUTED_VALUE"""),1.0)</f>
        <v>1</v>
      </c>
      <c r="C311">
        <f>IFERROR(__xludf.DUMMYFUNCTION("""COMPUTED_VALUE"""),3.0)</f>
        <v>3</v>
      </c>
      <c r="E311" s="8">
        <f>IFERROR(__xludf.DUMMYFUNCTION("""COMPUTED_VALUE"""),44069.0)</f>
        <v>44069</v>
      </c>
      <c r="F311">
        <f t="shared" ref="F311:G311" si="311">B311+F312</f>
        <v>583</v>
      </c>
      <c r="G311">
        <f t="shared" si="311"/>
        <v>603</v>
      </c>
      <c r="I311" s="8">
        <f>IFERROR(__xludf.DUMMYFUNCTION("""COMPUTED_VALUE"""),44069.0)</f>
        <v>44069</v>
      </c>
      <c r="J311">
        <f t="shared" si="3"/>
        <v>-20</v>
      </c>
    </row>
    <row r="312">
      <c r="A312" s="8">
        <f>IFERROR(__xludf.DUMMYFUNCTION("""COMPUTED_VALUE"""),44066.0)</f>
        <v>44066</v>
      </c>
      <c r="B312">
        <f>IFERROR(__xludf.DUMMYFUNCTION("""COMPUTED_VALUE"""),3.0)</f>
        <v>3</v>
      </c>
      <c r="C312">
        <f>IFERROR(__xludf.DUMMYFUNCTION("""COMPUTED_VALUE"""),2.0)</f>
        <v>2</v>
      </c>
      <c r="E312" s="8">
        <f>IFERROR(__xludf.DUMMYFUNCTION("""COMPUTED_VALUE"""),44066.0)</f>
        <v>44066</v>
      </c>
      <c r="F312">
        <f t="shared" ref="F312:G312" si="312">B312+F313</f>
        <v>582</v>
      </c>
      <c r="G312">
        <f t="shared" si="312"/>
        <v>600</v>
      </c>
      <c r="I312" s="8">
        <f>IFERROR(__xludf.DUMMYFUNCTION("""COMPUTED_VALUE"""),44066.0)</f>
        <v>44066</v>
      </c>
      <c r="J312">
        <f t="shared" si="3"/>
        <v>-18</v>
      </c>
    </row>
    <row r="313">
      <c r="A313" s="8">
        <f>IFERROR(__xludf.DUMMYFUNCTION("""COMPUTED_VALUE"""),44066.0)</f>
        <v>44066</v>
      </c>
      <c r="B313">
        <f>IFERROR(__xludf.DUMMYFUNCTION("""COMPUTED_VALUE"""),2.0)</f>
        <v>2</v>
      </c>
      <c r="C313">
        <f>IFERROR(__xludf.DUMMYFUNCTION("""COMPUTED_VALUE"""),1.0)</f>
        <v>1</v>
      </c>
      <c r="E313" s="8">
        <f>IFERROR(__xludf.DUMMYFUNCTION("""COMPUTED_VALUE"""),44066.0)</f>
        <v>44066</v>
      </c>
      <c r="F313">
        <f t="shared" ref="F313:G313" si="313">B313+F314</f>
        <v>579</v>
      </c>
      <c r="G313">
        <f t="shared" si="313"/>
        <v>598</v>
      </c>
      <c r="I313" s="8">
        <f>IFERROR(__xludf.DUMMYFUNCTION("""COMPUTED_VALUE"""),44066.0)</f>
        <v>44066</v>
      </c>
      <c r="J313">
        <f t="shared" si="3"/>
        <v>-19</v>
      </c>
    </row>
    <row r="314">
      <c r="A314" s="8">
        <f>IFERROR(__xludf.DUMMYFUNCTION("""COMPUTED_VALUE"""),44065.0)</f>
        <v>44065</v>
      </c>
      <c r="B314">
        <f>IFERROR(__xludf.DUMMYFUNCTION("""COMPUTED_VALUE"""),3.0)</f>
        <v>3</v>
      </c>
      <c r="C314">
        <f>IFERROR(__xludf.DUMMYFUNCTION("""COMPUTED_VALUE"""),1.0)</f>
        <v>1</v>
      </c>
      <c r="E314" s="8">
        <f>IFERROR(__xludf.DUMMYFUNCTION("""COMPUTED_VALUE"""),44065.0)</f>
        <v>44065</v>
      </c>
      <c r="F314">
        <f t="shared" ref="F314:G314" si="314">B314+F315</f>
        <v>577</v>
      </c>
      <c r="G314">
        <f t="shared" si="314"/>
        <v>597</v>
      </c>
      <c r="I314" s="8">
        <f>IFERROR(__xludf.DUMMYFUNCTION("""COMPUTED_VALUE"""),44065.0)</f>
        <v>44065</v>
      </c>
      <c r="J314">
        <f t="shared" si="3"/>
        <v>-20</v>
      </c>
    </row>
    <row r="315">
      <c r="A315" s="8">
        <f>IFERROR(__xludf.DUMMYFUNCTION("""COMPUTED_VALUE"""),44058.0)</f>
        <v>44058</v>
      </c>
      <c r="B315">
        <f>IFERROR(__xludf.DUMMYFUNCTION("""COMPUTED_VALUE"""),3.0)</f>
        <v>3</v>
      </c>
      <c r="C315">
        <f>IFERROR(__xludf.DUMMYFUNCTION("""COMPUTED_VALUE"""),1.0)</f>
        <v>1</v>
      </c>
      <c r="E315" s="8">
        <f>IFERROR(__xludf.DUMMYFUNCTION("""COMPUTED_VALUE"""),44058.0)</f>
        <v>44058</v>
      </c>
      <c r="F315">
        <f t="shared" ref="F315:G315" si="315">B315+F316</f>
        <v>574</v>
      </c>
      <c r="G315">
        <f t="shared" si="315"/>
        <v>596</v>
      </c>
      <c r="I315" s="8">
        <f>IFERROR(__xludf.DUMMYFUNCTION("""COMPUTED_VALUE"""),44058.0)</f>
        <v>44058</v>
      </c>
      <c r="J315">
        <f t="shared" si="3"/>
        <v>-22</v>
      </c>
    </row>
    <row r="316">
      <c r="A316" s="8">
        <f>IFERROR(__xludf.DUMMYFUNCTION("""COMPUTED_VALUE"""),44058.0)</f>
        <v>44058</v>
      </c>
      <c r="B316">
        <f>IFERROR(__xludf.DUMMYFUNCTION("""COMPUTED_VALUE"""),2.0)</f>
        <v>2</v>
      </c>
      <c r="C316">
        <f>IFERROR(__xludf.DUMMYFUNCTION("""COMPUTED_VALUE"""),3.0)</f>
        <v>3</v>
      </c>
      <c r="E316" s="8">
        <f>IFERROR(__xludf.DUMMYFUNCTION("""COMPUTED_VALUE"""),44058.0)</f>
        <v>44058</v>
      </c>
      <c r="F316">
        <f t="shared" ref="F316:G316" si="316">B316+F317</f>
        <v>571</v>
      </c>
      <c r="G316">
        <f t="shared" si="316"/>
        <v>595</v>
      </c>
      <c r="I316" s="8">
        <f>IFERROR(__xludf.DUMMYFUNCTION("""COMPUTED_VALUE"""),44058.0)</f>
        <v>44058</v>
      </c>
      <c r="J316">
        <f t="shared" si="3"/>
        <v>-24</v>
      </c>
    </row>
    <row r="317">
      <c r="A317" s="8">
        <f>IFERROR(__xludf.DUMMYFUNCTION("""COMPUTED_VALUE"""),44045.0)</f>
        <v>44045</v>
      </c>
      <c r="B317">
        <f>IFERROR(__xludf.DUMMYFUNCTION("""COMPUTED_VALUE"""),3.0)</f>
        <v>3</v>
      </c>
      <c r="C317">
        <f>IFERROR(__xludf.DUMMYFUNCTION("""COMPUTED_VALUE"""),1.0)</f>
        <v>1</v>
      </c>
      <c r="E317" s="8">
        <f>IFERROR(__xludf.DUMMYFUNCTION("""COMPUTED_VALUE"""),44045.0)</f>
        <v>44045</v>
      </c>
      <c r="F317">
        <f t="shared" ref="F317:G317" si="317">B317+F318</f>
        <v>569</v>
      </c>
      <c r="G317">
        <f t="shared" si="317"/>
        <v>592</v>
      </c>
      <c r="I317" s="8">
        <f>IFERROR(__xludf.DUMMYFUNCTION("""COMPUTED_VALUE"""),44045.0)</f>
        <v>44045</v>
      </c>
      <c r="J317">
        <f t="shared" si="3"/>
        <v>-23</v>
      </c>
    </row>
    <row r="318">
      <c r="A318" s="8">
        <f>IFERROR(__xludf.DUMMYFUNCTION("""COMPUTED_VALUE"""),44044.0)</f>
        <v>44044</v>
      </c>
      <c r="B318">
        <f>IFERROR(__xludf.DUMMYFUNCTION("""COMPUTED_VALUE"""),1.0)</f>
        <v>1</v>
      </c>
      <c r="C318">
        <f>IFERROR(__xludf.DUMMYFUNCTION("""COMPUTED_VALUE"""),3.0)</f>
        <v>3</v>
      </c>
      <c r="E318" s="8">
        <f>IFERROR(__xludf.DUMMYFUNCTION("""COMPUTED_VALUE"""),44044.0)</f>
        <v>44044</v>
      </c>
      <c r="F318">
        <f t="shared" ref="F318:G318" si="318">B318+F319</f>
        <v>566</v>
      </c>
      <c r="G318">
        <f t="shared" si="318"/>
        <v>591</v>
      </c>
      <c r="I318" s="8">
        <f>IFERROR(__xludf.DUMMYFUNCTION("""COMPUTED_VALUE"""),44044.0)</f>
        <v>44044</v>
      </c>
      <c r="J318">
        <f t="shared" si="3"/>
        <v>-25</v>
      </c>
    </row>
    <row r="319">
      <c r="A319" s="8">
        <f>IFERROR(__xludf.DUMMYFUNCTION("""COMPUTED_VALUE"""),44044.0)</f>
        <v>44044</v>
      </c>
      <c r="B319">
        <f>IFERROR(__xludf.DUMMYFUNCTION("""COMPUTED_VALUE"""),3.0)</f>
        <v>3</v>
      </c>
      <c r="C319">
        <f>IFERROR(__xludf.DUMMYFUNCTION("""COMPUTED_VALUE"""),1.0)</f>
        <v>1</v>
      </c>
      <c r="E319" s="8">
        <f>IFERROR(__xludf.DUMMYFUNCTION("""COMPUTED_VALUE"""),44044.0)</f>
        <v>44044</v>
      </c>
      <c r="F319">
        <f t="shared" ref="F319:G319" si="319">B319+F320</f>
        <v>565</v>
      </c>
      <c r="G319">
        <f t="shared" si="319"/>
        <v>588</v>
      </c>
      <c r="I319" s="8">
        <f>IFERROR(__xludf.DUMMYFUNCTION("""COMPUTED_VALUE"""),44044.0)</f>
        <v>44044</v>
      </c>
      <c r="J319">
        <f t="shared" si="3"/>
        <v>-23</v>
      </c>
    </row>
    <row r="320">
      <c r="A320" s="8">
        <f>IFERROR(__xludf.DUMMYFUNCTION("""COMPUTED_VALUE"""),44042.0)</f>
        <v>44042</v>
      </c>
      <c r="B320">
        <f>IFERROR(__xludf.DUMMYFUNCTION("""COMPUTED_VALUE"""),2.0)</f>
        <v>2</v>
      </c>
      <c r="C320">
        <f>IFERROR(__xludf.DUMMYFUNCTION("""COMPUTED_VALUE"""),3.0)</f>
        <v>3</v>
      </c>
      <c r="E320" s="8">
        <f>IFERROR(__xludf.DUMMYFUNCTION("""COMPUTED_VALUE"""),44042.0)</f>
        <v>44042</v>
      </c>
      <c r="F320">
        <f t="shared" ref="F320:G320" si="320">B320+F321</f>
        <v>562</v>
      </c>
      <c r="G320">
        <f t="shared" si="320"/>
        <v>587</v>
      </c>
      <c r="I320" s="8">
        <f>IFERROR(__xludf.DUMMYFUNCTION("""COMPUTED_VALUE"""),44042.0)</f>
        <v>44042</v>
      </c>
      <c r="J320">
        <f t="shared" si="3"/>
        <v>-25</v>
      </c>
    </row>
    <row r="321">
      <c r="A321" s="8">
        <f>IFERROR(__xludf.DUMMYFUNCTION("""COMPUTED_VALUE"""),44038.0)</f>
        <v>44038</v>
      </c>
      <c r="B321">
        <f>IFERROR(__xludf.DUMMYFUNCTION("""COMPUTED_VALUE"""),2.0)</f>
        <v>2</v>
      </c>
      <c r="C321">
        <f>IFERROR(__xludf.DUMMYFUNCTION("""COMPUTED_VALUE"""),3.0)</f>
        <v>3</v>
      </c>
      <c r="E321" s="8">
        <f>IFERROR(__xludf.DUMMYFUNCTION("""COMPUTED_VALUE"""),44038.0)</f>
        <v>44038</v>
      </c>
      <c r="F321">
        <f t="shared" ref="F321:G321" si="321">B321+F322</f>
        <v>560</v>
      </c>
      <c r="G321">
        <f t="shared" si="321"/>
        <v>584</v>
      </c>
      <c r="I321" s="8">
        <f>IFERROR(__xludf.DUMMYFUNCTION("""COMPUTED_VALUE"""),44038.0)</f>
        <v>44038</v>
      </c>
      <c r="J321">
        <f t="shared" si="3"/>
        <v>-24</v>
      </c>
    </row>
    <row r="322">
      <c r="A322" s="8">
        <f>IFERROR(__xludf.DUMMYFUNCTION("""COMPUTED_VALUE"""),44035.0)</f>
        <v>44035</v>
      </c>
      <c r="B322">
        <f>IFERROR(__xludf.DUMMYFUNCTION("""COMPUTED_VALUE"""),1.0)</f>
        <v>1</v>
      </c>
      <c r="C322">
        <f>IFERROR(__xludf.DUMMYFUNCTION("""COMPUTED_VALUE"""),3.0)</f>
        <v>3</v>
      </c>
      <c r="E322" s="8">
        <f>IFERROR(__xludf.DUMMYFUNCTION("""COMPUTED_VALUE"""),44035.0)</f>
        <v>44035</v>
      </c>
      <c r="F322">
        <f t="shared" ref="F322:G322" si="322">B322+F323</f>
        <v>558</v>
      </c>
      <c r="G322">
        <f t="shared" si="322"/>
        <v>581</v>
      </c>
      <c r="I322" s="8">
        <f>IFERROR(__xludf.DUMMYFUNCTION("""COMPUTED_VALUE"""),44035.0)</f>
        <v>44035</v>
      </c>
      <c r="J322">
        <f t="shared" si="3"/>
        <v>-23</v>
      </c>
    </row>
    <row r="323">
      <c r="A323" s="8">
        <f>IFERROR(__xludf.DUMMYFUNCTION("""COMPUTED_VALUE"""),44024.0)</f>
        <v>44024</v>
      </c>
      <c r="B323">
        <f>IFERROR(__xludf.DUMMYFUNCTION("""COMPUTED_VALUE"""),2.0)</f>
        <v>2</v>
      </c>
      <c r="C323">
        <f>IFERROR(__xludf.DUMMYFUNCTION("""COMPUTED_VALUE"""),3.0)</f>
        <v>3</v>
      </c>
      <c r="E323" s="8">
        <f>IFERROR(__xludf.DUMMYFUNCTION("""COMPUTED_VALUE"""),44024.0)</f>
        <v>44024</v>
      </c>
      <c r="F323">
        <f t="shared" ref="F323:G323" si="323">B323+F324</f>
        <v>557</v>
      </c>
      <c r="G323">
        <f t="shared" si="323"/>
        <v>578</v>
      </c>
      <c r="I323" s="8">
        <f>IFERROR(__xludf.DUMMYFUNCTION("""COMPUTED_VALUE"""),44024.0)</f>
        <v>44024</v>
      </c>
      <c r="J323">
        <f t="shared" si="3"/>
        <v>-21</v>
      </c>
    </row>
    <row r="324">
      <c r="A324" s="8">
        <f>IFERROR(__xludf.DUMMYFUNCTION("""COMPUTED_VALUE"""),44017.0)</f>
        <v>44017</v>
      </c>
      <c r="B324">
        <f>IFERROR(__xludf.DUMMYFUNCTION("""COMPUTED_VALUE"""),1.0)</f>
        <v>1</v>
      </c>
      <c r="C324">
        <f>IFERROR(__xludf.DUMMYFUNCTION("""COMPUTED_VALUE"""),1.0)</f>
        <v>1</v>
      </c>
      <c r="E324" s="8">
        <f>IFERROR(__xludf.DUMMYFUNCTION("""COMPUTED_VALUE"""),44017.0)</f>
        <v>44017</v>
      </c>
      <c r="F324">
        <f t="shared" ref="F324:G324" si="324">B324+F325</f>
        <v>555</v>
      </c>
      <c r="G324">
        <f t="shared" si="324"/>
        <v>575</v>
      </c>
      <c r="I324" s="8">
        <f>IFERROR(__xludf.DUMMYFUNCTION("""COMPUTED_VALUE"""),44017.0)</f>
        <v>44017</v>
      </c>
      <c r="J324">
        <f t="shared" si="3"/>
        <v>-20</v>
      </c>
    </row>
    <row r="325">
      <c r="A325" s="8">
        <f>IFERROR(__xludf.DUMMYFUNCTION("""COMPUTED_VALUE"""),44014.0)</f>
        <v>44014</v>
      </c>
      <c r="B325">
        <f>IFERROR(__xludf.DUMMYFUNCTION("""COMPUTED_VALUE"""),3.0)</f>
        <v>3</v>
      </c>
      <c r="C325">
        <f>IFERROR(__xludf.DUMMYFUNCTION("""COMPUTED_VALUE"""),2.0)</f>
        <v>2</v>
      </c>
      <c r="E325" s="8">
        <f>IFERROR(__xludf.DUMMYFUNCTION("""COMPUTED_VALUE"""),44014.0)</f>
        <v>44014</v>
      </c>
      <c r="F325">
        <f t="shared" ref="F325:G325" si="325">B325+F326</f>
        <v>554</v>
      </c>
      <c r="G325">
        <f t="shared" si="325"/>
        <v>574</v>
      </c>
      <c r="I325" s="8">
        <f>IFERROR(__xludf.DUMMYFUNCTION("""COMPUTED_VALUE"""),44014.0)</f>
        <v>44014</v>
      </c>
      <c r="J325">
        <f t="shared" si="3"/>
        <v>-20</v>
      </c>
    </row>
    <row r="326">
      <c r="A326" s="8">
        <f>IFERROR(__xludf.DUMMYFUNCTION("""COMPUTED_VALUE"""),44010.0)</f>
        <v>44010</v>
      </c>
      <c r="B326">
        <f>IFERROR(__xludf.DUMMYFUNCTION("""COMPUTED_VALUE"""),1.0)</f>
        <v>1</v>
      </c>
      <c r="C326">
        <f>IFERROR(__xludf.DUMMYFUNCTION("""COMPUTED_VALUE"""),2.0)</f>
        <v>2</v>
      </c>
      <c r="E326" s="8">
        <f>IFERROR(__xludf.DUMMYFUNCTION("""COMPUTED_VALUE"""),44010.0)</f>
        <v>44010</v>
      </c>
      <c r="F326">
        <f t="shared" ref="F326:G326" si="326">B326+F327</f>
        <v>551</v>
      </c>
      <c r="G326">
        <f t="shared" si="326"/>
        <v>572</v>
      </c>
      <c r="I326" s="8">
        <f>IFERROR(__xludf.DUMMYFUNCTION("""COMPUTED_VALUE"""),44010.0)</f>
        <v>44010</v>
      </c>
      <c r="J326">
        <f t="shared" si="3"/>
        <v>-21</v>
      </c>
    </row>
    <row r="327">
      <c r="A327" s="8">
        <f>IFERROR(__xludf.DUMMYFUNCTION("""COMPUTED_VALUE"""),44009.0)</f>
        <v>44009</v>
      </c>
      <c r="B327">
        <f>IFERROR(__xludf.DUMMYFUNCTION("""COMPUTED_VALUE"""),2.0)</f>
        <v>2</v>
      </c>
      <c r="C327">
        <f>IFERROR(__xludf.DUMMYFUNCTION("""COMPUTED_VALUE"""),1.0)</f>
        <v>1</v>
      </c>
      <c r="E327" s="8">
        <f>IFERROR(__xludf.DUMMYFUNCTION("""COMPUTED_VALUE"""),44009.0)</f>
        <v>44009</v>
      </c>
      <c r="F327">
        <f t="shared" ref="F327:G327" si="327">B327+F328</f>
        <v>550</v>
      </c>
      <c r="G327">
        <f t="shared" si="327"/>
        <v>570</v>
      </c>
      <c r="I327" s="8">
        <f>IFERROR(__xludf.DUMMYFUNCTION("""COMPUTED_VALUE"""),44009.0)</f>
        <v>44009</v>
      </c>
      <c r="J327">
        <f t="shared" si="3"/>
        <v>-20</v>
      </c>
    </row>
    <row r="328">
      <c r="A328" s="8">
        <f>IFERROR(__xludf.DUMMYFUNCTION("""COMPUTED_VALUE"""),44007.0)</f>
        <v>44007</v>
      </c>
      <c r="B328">
        <f>IFERROR(__xludf.DUMMYFUNCTION("""COMPUTED_VALUE"""),3.0)</f>
        <v>3</v>
      </c>
      <c r="C328">
        <f>IFERROR(__xludf.DUMMYFUNCTION("""COMPUTED_VALUE"""),1.0)</f>
        <v>1</v>
      </c>
      <c r="E328" s="8">
        <f>IFERROR(__xludf.DUMMYFUNCTION("""COMPUTED_VALUE"""),44007.0)</f>
        <v>44007</v>
      </c>
      <c r="F328">
        <f t="shared" ref="F328:G328" si="328">B328+F329</f>
        <v>548</v>
      </c>
      <c r="G328">
        <f t="shared" si="328"/>
        <v>569</v>
      </c>
      <c r="I328" s="8">
        <f>IFERROR(__xludf.DUMMYFUNCTION("""COMPUTED_VALUE"""),44007.0)</f>
        <v>44007</v>
      </c>
      <c r="J328">
        <f t="shared" si="3"/>
        <v>-21</v>
      </c>
    </row>
    <row r="329">
      <c r="A329" s="8">
        <f>IFERROR(__xludf.DUMMYFUNCTION("""COMPUTED_VALUE"""),44003.0)</f>
        <v>44003</v>
      </c>
      <c r="B329">
        <f>IFERROR(__xludf.DUMMYFUNCTION("""COMPUTED_VALUE"""),3.0)</f>
        <v>3</v>
      </c>
      <c r="C329">
        <f>IFERROR(__xludf.DUMMYFUNCTION("""COMPUTED_VALUE"""),2.0)</f>
        <v>2</v>
      </c>
      <c r="E329" s="8">
        <f>IFERROR(__xludf.DUMMYFUNCTION("""COMPUTED_VALUE"""),44003.0)</f>
        <v>44003</v>
      </c>
      <c r="F329">
        <f t="shared" ref="F329:G329" si="329">B329+F330</f>
        <v>545</v>
      </c>
      <c r="G329">
        <f t="shared" si="329"/>
        <v>568</v>
      </c>
      <c r="I329" s="8">
        <f>IFERROR(__xludf.DUMMYFUNCTION("""COMPUTED_VALUE"""),44003.0)</f>
        <v>44003</v>
      </c>
      <c r="J329">
        <f t="shared" si="3"/>
        <v>-23</v>
      </c>
    </row>
    <row r="330">
      <c r="A330" s="8">
        <f>IFERROR(__xludf.DUMMYFUNCTION("""COMPUTED_VALUE"""),44003.0)</f>
        <v>44003</v>
      </c>
      <c r="B330">
        <f>IFERROR(__xludf.DUMMYFUNCTION("""COMPUTED_VALUE"""),1.0)</f>
        <v>1</v>
      </c>
      <c r="C330">
        <f>IFERROR(__xludf.DUMMYFUNCTION("""COMPUTED_VALUE"""),2.0)</f>
        <v>2</v>
      </c>
      <c r="E330" s="8">
        <f>IFERROR(__xludf.DUMMYFUNCTION("""COMPUTED_VALUE"""),44003.0)</f>
        <v>44003</v>
      </c>
      <c r="F330">
        <f t="shared" ref="F330:G330" si="330">B330+F331</f>
        <v>542</v>
      </c>
      <c r="G330">
        <f t="shared" si="330"/>
        <v>566</v>
      </c>
      <c r="I330" s="8">
        <f>IFERROR(__xludf.DUMMYFUNCTION("""COMPUTED_VALUE"""),44003.0)</f>
        <v>44003</v>
      </c>
      <c r="J330">
        <f t="shared" si="3"/>
        <v>-24</v>
      </c>
    </row>
    <row r="331">
      <c r="A331" s="8">
        <f>IFERROR(__xludf.DUMMYFUNCTION("""COMPUTED_VALUE"""),44001.0)</f>
        <v>44001</v>
      </c>
      <c r="B331">
        <f>IFERROR(__xludf.DUMMYFUNCTION("""COMPUTED_VALUE"""),2.0)</f>
        <v>2</v>
      </c>
      <c r="C331">
        <f>IFERROR(__xludf.DUMMYFUNCTION("""COMPUTED_VALUE"""),1.0)</f>
        <v>1</v>
      </c>
      <c r="E331" s="8">
        <f>IFERROR(__xludf.DUMMYFUNCTION("""COMPUTED_VALUE"""),44001.0)</f>
        <v>44001</v>
      </c>
      <c r="F331">
        <f t="shared" ref="F331:G331" si="331">B331+F332</f>
        <v>541</v>
      </c>
      <c r="G331">
        <f t="shared" si="331"/>
        <v>564</v>
      </c>
      <c r="I331" s="8">
        <f>IFERROR(__xludf.DUMMYFUNCTION("""COMPUTED_VALUE"""),44001.0)</f>
        <v>44001</v>
      </c>
      <c r="J331">
        <f t="shared" si="3"/>
        <v>-23</v>
      </c>
    </row>
    <row r="332">
      <c r="A332" s="8">
        <f>IFERROR(__xludf.DUMMYFUNCTION("""COMPUTED_VALUE"""),43996.0)</f>
        <v>43996</v>
      </c>
      <c r="B332">
        <f>IFERROR(__xludf.DUMMYFUNCTION("""COMPUTED_VALUE"""),1.0)</f>
        <v>1</v>
      </c>
      <c r="C332">
        <f>IFERROR(__xludf.DUMMYFUNCTION("""COMPUTED_VALUE"""),2.0)</f>
        <v>2</v>
      </c>
      <c r="E332" s="8">
        <f>IFERROR(__xludf.DUMMYFUNCTION("""COMPUTED_VALUE"""),43996.0)</f>
        <v>43996</v>
      </c>
      <c r="F332">
        <f t="shared" ref="F332:G332" si="332">B332+F333</f>
        <v>539</v>
      </c>
      <c r="G332">
        <f t="shared" si="332"/>
        <v>563</v>
      </c>
      <c r="I332" s="8">
        <f>IFERROR(__xludf.DUMMYFUNCTION("""COMPUTED_VALUE"""),43996.0)</f>
        <v>43996</v>
      </c>
      <c r="J332">
        <f t="shared" si="3"/>
        <v>-24</v>
      </c>
    </row>
    <row r="333">
      <c r="A333" s="8">
        <f>IFERROR(__xludf.DUMMYFUNCTION("""COMPUTED_VALUE"""),43996.0)</f>
        <v>43996</v>
      </c>
      <c r="B333">
        <f>IFERROR(__xludf.DUMMYFUNCTION("""COMPUTED_VALUE"""),3.0)</f>
        <v>3</v>
      </c>
      <c r="C333">
        <f>IFERROR(__xludf.DUMMYFUNCTION("""COMPUTED_VALUE"""),1.0)</f>
        <v>1</v>
      </c>
      <c r="E333" s="8">
        <f>IFERROR(__xludf.DUMMYFUNCTION("""COMPUTED_VALUE"""),43996.0)</f>
        <v>43996</v>
      </c>
      <c r="F333">
        <f t="shared" ref="F333:G333" si="333">B333+F334</f>
        <v>538</v>
      </c>
      <c r="G333">
        <f t="shared" si="333"/>
        <v>561</v>
      </c>
      <c r="I333" s="8">
        <f>IFERROR(__xludf.DUMMYFUNCTION("""COMPUTED_VALUE"""),43996.0)</f>
        <v>43996</v>
      </c>
      <c r="J333">
        <f t="shared" si="3"/>
        <v>-23</v>
      </c>
    </row>
    <row r="334">
      <c r="A334" s="8">
        <f>IFERROR(__xludf.DUMMYFUNCTION("""COMPUTED_VALUE"""),43995.0)</f>
        <v>43995</v>
      </c>
      <c r="B334">
        <f>IFERROR(__xludf.DUMMYFUNCTION("""COMPUTED_VALUE"""),3.0)</f>
        <v>3</v>
      </c>
      <c r="C334">
        <f>IFERROR(__xludf.DUMMYFUNCTION("""COMPUTED_VALUE"""),1.0)</f>
        <v>1</v>
      </c>
      <c r="E334" s="8">
        <f>IFERROR(__xludf.DUMMYFUNCTION("""COMPUTED_VALUE"""),43995.0)</f>
        <v>43995</v>
      </c>
      <c r="F334">
        <f t="shared" ref="F334:G334" si="334">B334+F335</f>
        <v>535</v>
      </c>
      <c r="G334">
        <f t="shared" si="334"/>
        <v>560</v>
      </c>
      <c r="I334" s="8">
        <f>IFERROR(__xludf.DUMMYFUNCTION("""COMPUTED_VALUE"""),43995.0)</f>
        <v>43995</v>
      </c>
      <c r="J334">
        <f t="shared" si="3"/>
        <v>-25</v>
      </c>
    </row>
    <row r="335">
      <c r="A335" s="8">
        <f>IFERROR(__xludf.DUMMYFUNCTION("""COMPUTED_VALUE"""),43995.0)</f>
        <v>43995</v>
      </c>
      <c r="B335">
        <f>IFERROR(__xludf.DUMMYFUNCTION("""COMPUTED_VALUE"""),3.0)</f>
        <v>3</v>
      </c>
      <c r="C335">
        <f>IFERROR(__xludf.DUMMYFUNCTION("""COMPUTED_VALUE"""),1.0)</f>
        <v>1</v>
      </c>
      <c r="E335" s="8">
        <f>IFERROR(__xludf.DUMMYFUNCTION("""COMPUTED_VALUE"""),43995.0)</f>
        <v>43995</v>
      </c>
      <c r="F335">
        <f t="shared" ref="F335:G335" si="335">B335+F336</f>
        <v>532</v>
      </c>
      <c r="G335">
        <f t="shared" si="335"/>
        <v>559</v>
      </c>
      <c r="I335" s="8">
        <f>IFERROR(__xludf.DUMMYFUNCTION("""COMPUTED_VALUE"""),43995.0)</f>
        <v>43995</v>
      </c>
      <c r="J335">
        <f t="shared" si="3"/>
        <v>-27</v>
      </c>
    </row>
    <row r="336">
      <c r="A336" s="8">
        <f>IFERROR(__xludf.DUMMYFUNCTION("""COMPUTED_VALUE"""),43995.0)</f>
        <v>43995</v>
      </c>
      <c r="B336">
        <f>IFERROR(__xludf.DUMMYFUNCTION("""COMPUTED_VALUE"""),3.0)</f>
        <v>3</v>
      </c>
      <c r="C336">
        <f>IFERROR(__xludf.DUMMYFUNCTION("""COMPUTED_VALUE"""),1.0)</f>
        <v>1</v>
      </c>
      <c r="E336" s="8">
        <f>IFERROR(__xludf.DUMMYFUNCTION("""COMPUTED_VALUE"""),43995.0)</f>
        <v>43995</v>
      </c>
      <c r="F336">
        <f t="shared" ref="F336:G336" si="336">B336+F337</f>
        <v>529</v>
      </c>
      <c r="G336">
        <f t="shared" si="336"/>
        <v>558</v>
      </c>
      <c r="I336" s="8">
        <f>IFERROR(__xludf.DUMMYFUNCTION("""COMPUTED_VALUE"""),43995.0)</f>
        <v>43995</v>
      </c>
      <c r="J336">
        <f t="shared" si="3"/>
        <v>-29</v>
      </c>
    </row>
    <row r="337">
      <c r="A337" s="8">
        <f>IFERROR(__xludf.DUMMYFUNCTION("""COMPUTED_VALUE"""),43993.0)</f>
        <v>43993</v>
      </c>
      <c r="B337">
        <f>IFERROR(__xludf.DUMMYFUNCTION("""COMPUTED_VALUE"""),2.0)</f>
        <v>2</v>
      </c>
      <c r="C337">
        <f>IFERROR(__xludf.DUMMYFUNCTION("""COMPUTED_VALUE"""),3.0)</f>
        <v>3</v>
      </c>
      <c r="E337" s="8">
        <f>IFERROR(__xludf.DUMMYFUNCTION("""COMPUTED_VALUE"""),43993.0)</f>
        <v>43993</v>
      </c>
      <c r="F337">
        <f t="shared" ref="F337:G337" si="337">B337+F338</f>
        <v>526</v>
      </c>
      <c r="G337">
        <f t="shared" si="337"/>
        <v>557</v>
      </c>
      <c r="I337" s="8">
        <f>IFERROR(__xludf.DUMMYFUNCTION("""COMPUTED_VALUE"""),43993.0)</f>
        <v>43993</v>
      </c>
      <c r="J337">
        <f t="shared" si="3"/>
        <v>-31</v>
      </c>
    </row>
    <row r="338">
      <c r="A338" s="8">
        <f>IFERROR(__xludf.DUMMYFUNCTION("""COMPUTED_VALUE"""),43989.0)</f>
        <v>43989</v>
      </c>
      <c r="B338">
        <f>IFERROR(__xludf.DUMMYFUNCTION("""COMPUTED_VALUE"""),1.0)</f>
        <v>1</v>
      </c>
      <c r="C338">
        <f>IFERROR(__xludf.DUMMYFUNCTION("""COMPUTED_VALUE"""),3.0)</f>
        <v>3</v>
      </c>
      <c r="E338" s="8">
        <f>IFERROR(__xludf.DUMMYFUNCTION("""COMPUTED_VALUE"""),43989.0)</f>
        <v>43989</v>
      </c>
      <c r="F338">
        <f t="shared" ref="F338:G338" si="338">B338+F339</f>
        <v>524</v>
      </c>
      <c r="G338">
        <f t="shared" si="338"/>
        <v>554</v>
      </c>
      <c r="I338" s="8">
        <f>IFERROR(__xludf.DUMMYFUNCTION("""COMPUTED_VALUE"""),43989.0)</f>
        <v>43989</v>
      </c>
      <c r="J338">
        <f t="shared" si="3"/>
        <v>-30</v>
      </c>
    </row>
    <row r="339">
      <c r="A339" s="8">
        <f>IFERROR(__xludf.DUMMYFUNCTION("""COMPUTED_VALUE"""),43989.0)</f>
        <v>43989</v>
      </c>
      <c r="B339">
        <f>IFERROR(__xludf.DUMMYFUNCTION("""COMPUTED_VALUE"""),3.0)</f>
        <v>3</v>
      </c>
      <c r="C339">
        <f>IFERROR(__xludf.DUMMYFUNCTION("""COMPUTED_VALUE"""),1.0)</f>
        <v>1</v>
      </c>
      <c r="E339" s="8">
        <f>IFERROR(__xludf.DUMMYFUNCTION("""COMPUTED_VALUE"""),43989.0)</f>
        <v>43989</v>
      </c>
      <c r="F339">
        <f t="shared" ref="F339:G339" si="339">B339+F340</f>
        <v>523</v>
      </c>
      <c r="G339">
        <f t="shared" si="339"/>
        <v>551</v>
      </c>
      <c r="I339" s="8">
        <f>IFERROR(__xludf.DUMMYFUNCTION("""COMPUTED_VALUE"""),43989.0)</f>
        <v>43989</v>
      </c>
      <c r="J339">
        <f t="shared" si="3"/>
        <v>-28</v>
      </c>
    </row>
    <row r="340">
      <c r="A340" s="8">
        <f>IFERROR(__xludf.DUMMYFUNCTION("""COMPUTED_VALUE"""),43988.0)</f>
        <v>43988</v>
      </c>
      <c r="B340">
        <f>IFERROR(__xludf.DUMMYFUNCTION("""COMPUTED_VALUE"""),2.0)</f>
        <v>2</v>
      </c>
      <c r="C340">
        <f>IFERROR(__xludf.DUMMYFUNCTION("""COMPUTED_VALUE"""),2.0)</f>
        <v>2</v>
      </c>
      <c r="E340" s="8">
        <f>IFERROR(__xludf.DUMMYFUNCTION("""COMPUTED_VALUE"""),43988.0)</f>
        <v>43988</v>
      </c>
      <c r="F340">
        <f t="shared" ref="F340:G340" si="340">B340+F341</f>
        <v>520</v>
      </c>
      <c r="G340">
        <f t="shared" si="340"/>
        <v>550</v>
      </c>
      <c r="I340" s="8">
        <f>IFERROR(__xludf.DUMMYFUNCTION("""COMPUTED_VALUE"""),43988.0)</f>
        <v>43988</v>
      </c>
      <c r="J340">
        <f t="shared" si="3"/>
        <v>-30</v>
      </c>
    </row>
    <row r="341">
      <c r="A341" s="8">
        <f>IFERROR(__xludf.DUMMYFUNCTION("""COMPUTED_VALUE"""),43988.0)</f>
        <v>43988</v>
      </c>
      <c r="B341">
        <f>IFERROR(__xludf.DUMMYFUNCTION("""COMPUTED_VALUE"""),1.0)</f>
        <v>1</v>
      </c>
      <c r="C341">
        <f>IFERROR(__xludf.DUMMYFUNCTION("""COMPUTED_VALUE"""),2.0)</f>
        <v>2</v>
      </c>
      <c r="E341" s="8">
        <f>IFERROR(__xludf.DUMMYFUNCTION("""COMPUTED_VALUE"""),43988.0)</f>
        <v>43988</v>
      </c>
      <c r="F341">
        <f t="shared" ref="F341:G341" si="341">B341+F342</f>
        <v>518</v>
      </c>
      <c r="G341">
        <f t="shared" si="341"/>
        <v>548</v>
      </c>
      <c r="I341" s="8">
        <f>IFERROR(__xludf.DUMMYFUNCTION("""COMPUTED_VALUE"""),43988.0)</f>
        <v>43988</v>
      </c>
      <c r="J341">
        <f t="shared" si="3"/>
        <v>-30</v>
      </c>
    </row>
    <row r="342">
      <c r="A342" s="8">
        <f>IFERROR(__xludf.DUMMYFUNCTION("""COMPUTED_VALUE"""),43986.0)</f>
        <v>43986</v>
      </c>
      <c r="B342">
        <f>IFERROR(__xludf.DUMMYFUNCTION("""COMPUTED_VALUE"""),3.0)</f>
        <v>3</v>
      </c>
      <c r="C342">
        <f>IFERROR(__xludf.DUMMYFUNCTION("""COMPUTED_VALUE"""),1.0)</f>
        <v>1</v>
      </c>
      <c r="E342" s="8">
        <f>IFERROR(__xludf.DUMMYFUNCTION("""COMPUTED_VALUE"""),43986.0)</f>
        <v>43986</v>
      </c>
      <c r="F342">
        <f t="shared" ref="F342:G342" si="342">B342+F343</f>
        <v>517</v>
      </c>
      <c r="G342">
        <f t="shared" si="342"/>
        <v>546</v>
      </c>
      <c r="I342" s="8">
        <f>IFERROR(__xludf.DUMMYFUNCTION("""COMPUTED_VALUE"""),43986.0)</f>
        <v>43986</v>
      </c>
      <c r="J342">
        <f t="shared" si="3"/>
        <v>-29</v>
      </c>
    </row>
    <row r="343">
      <c r="A343" s="8">
        <f>IFERROR(__xludf.DUMMYFUNCTION("""COMPUTED_VALUE"""),43982.0)</f>
        <v>43982</v>
      </c>
      <c r="B343">
        <f>IFERROR(__xludf.DUMMYFUNCTION("""COMPUTED_VALUE"""),1.0)</f>
        <v>1</v>
      </c>
      <c r="C343">
        <f>IFERROR(__xludf.DUMMYFUNCTION("""COMPUTED_VALUE"""),3.0)</f>
        <v>3</v>
      </c>
      <c r="E343" s="8">
        <f>IFERROR(__xludf.DUMMYFUNCTION("""COMPUTED_VALUE"""),43982.0)</f>
        <v>43982</v>
      </c>
      <c r="F343">
        <f t="shared" ref="F343:G343" si="343">B343+F344</f>
        <v>514</v>
      </c>
      <c r="G343">
        <f t="shared" si="343"/>
        <v>545</v>
      </c>
      <c r="I343" s="8">
        <f>IFERROR(__xludf.DUMMYFUNCTION("""COMPUTED_VALUE"""),43982.0)</f>
        <v>43982</v>
      </c>
      <c r="J343">
        <f t="shared" si="3"/>
        <v>-31</v>
      </c>
    </row>
    <row r="344">
      <c r="A344" s="8">
        <f>IFERROR(__xludf.DUMMYFUNCTION("""COMPUTED_VALUE"""),43975.0)</f>
        <v>43975</v>
      </c>
      <c r="B344">
        <f>IFERROR(__xludf.DUMMYFUNCTION("""COMPUTED_VALUE"""),1.0)</f>
        <v>1</v>
      </c>
      <c r="C344">
        <f>IFERROR(__xludf.DUMMYFUNCTION("""COMPUTED_VALUE"""),3.0)</f>
        <v>3</v>
      </c>
      <c r="E344" s="8">
        <f>IFERROR(__xludf.DUMMYFUNCTION("""COMPUTED_VALUE"""),43975.0)</f>
        <v>43975</v>
      </c>
      <c r="F344">
        <f t="shared" ref="F344:G344" si="344">B344+F345</f>
        <v>513</v>
      </c>
      <c r="G344">
        <f t="shared" si="344"/>
        <v>542</v>
      </c>
      <c r="I344" s="8">
        <f>IFERROR(__xludf.DUMMYFUNCTION("""COMPUTED_VALUE"""),43975.0)</f>
        <v>43975</v>
      </c>
      <c r="J344">
        <f t="shared" si="3"/>
        <v>-29</v>
      </c>
    </row>
    <row r="345">
      <c r="A345" s="8">
        <f>IFERROR(__xludf.DUMMYFUNCTION("""COMPUTED_VALUE"""),43975.0)</f>
        <v>43975</v>
      </c>
      <c r="B345">
        <f>IFERROR(__xludf.DUMMYFUNCTION("""COMPUTED_VALUE"""),2.0)</f>
        <v>2</v>
      </c>
      <c r="C345">
        <f>IFERROR(__xludf.DUMMYFUNCTION("""COMPUTED_VALUE"""),1.0)</f>
        <v>1</v>
      </c>
      <c r="E345" s="8">
        <f>IFERROR(__xludf.DUMMYFUNCTION("""COMPUTED_VALUE"""),43975.0)</f>
        <v>43975</v>
      </c>
      <c r="F345">
        <f t="shared" ref="F345:G345" si="345">B345+F346</f>
        <v>512</v>
      </c>
      <c r="G345">
        <f t="shared" si="345"/>
        <v>539</v>
      </c>
      <c r="I345" s="8">
        <f>IFERROR(__xludf.DUMMYFUNCTION("""COMPUTED_VALUE"""),43975.0)</f>
        <v>43975</v>
      </c>
      <c r="J345">
        <f t="shared" si="3"/>
        <v>-27</v>
      </c>
    </row>
    <row r="346">
      <c r="A346" s="8">
        <f>IFERROR(__xludf.DUMMYFUNCTION("""COMPUTED_VALUE"""),43974.0)</f>
        <v>43974</v>
      </c>
      <c r="B346">
        <f>IFERROR(__xludf.DUMMYFUNCTION("""COMPUTED_VALUE"""),3.0)</f>
        <v>3</v>
      </c>
      <c r="C346">
        <f>IFERROR(__xludf.DUMMYFUNCTION("""COMPUTED_VALUE"""),1.0)</f>
        <v>1</v>
      </c>
      <c r="E346" s="8">
        <f>IFERROR(__xludf.DUMMYFUNCTION("""COMPUTED_VALUE"""),43974.0)</f>
        <v>43974</v>
      </c>
      <c r="F346">
        <f t="shared" ref="F346:G346" si="346">B346+F347</f>
        <v>510</v>
      </c>
      <c r="G346">
        <f t="shared" si="346"/>
        <v>538</v>
      </c>
      <c r="I346" s="8">
        <f>IFERROR(__xludf.DUMMYFUNCTION("""COMPUTED_VALUE"""),43974.0)</f>
        <v>43974</v>
      </c>
      <c r="J346">
        <f t="shared" si="3"/>
        <v>-28</v>
      </c>
    </row>
    <row r="347">
      <c r="A347" s="8">
        <f>IFERROR(__xludf.DUMMYFUNCTION("""COMPUTED_VALUE"""),43968.0)</f>
        <v>43968</v>
      </c>
      <c r="B347">
        <f>IFERROR(__xludf.DUMMYFUNCTION("""COMPUTED_VALUE"""),1.0)</f>
        <v>1</v>
      </c>
      <c r="C347">
        <f>IFERROR(__xludf.DUMMYFUNCTION("""COMPUTED_VALUE"""),2.0)</f>
        <v>2</v>
      </c>
      <c r="E347" s="8">
        <f>IFERROR(__xludf.DUMMYFUNCTION("""COMPUTED_VALUE"""),43968.0)</f>
        <v>43968</v>
      </c>
      <c r="F347">
        <f t="shared" ref="F347:G347" si="347">B347+F348</f>
        <v>507</v>
      </c>
      <c r="G347">
        <f t="shared" si="347"/>
        <v>537</v>
      </c>
      <c r="I347" s="8">
        <f>IFERROR(__xludf.DUMMYFUNCTION("""COMPUTED_VALUE"""),43968.0)</f>
        <v>43968</v>
      </c>
      <c r="J347">
        <f t="shared" si="3"/>
        <v>-30</v>
      </c>
    </row>
    <row r="348">
      <c r="A348" s="8">
        <f>IFERROR(__xludf.DUMMYFUNCTION("""COMPUTED_VALUE"""),43967.0)</f>
        <v>43967</v>
      </c>
      <c r="B348">
        <f>IFERROR(__xludf.DUMMYFUNCTION("""COMPUTED_VALUE"""),2.0)</f>
        <v>2</v>
      </c>
      <c r="C348">
        <f>IFERROR(__xludf.DUMMYFUNCTION("""COMPUTED_VALUE"""),3.0)</f>
        <v>3</v>
      </c>
      <c r="E348" s="8">
        <f>IFERROR(__xludf.DUMMYFUNCTION("""COMPUTED_VALUE"""),43967.0)</f>
        <v>43967</v>
      </c>
      <c r="F348">
        <f t="shared" ref="F348:G348" si="348">B348+F349</f>
        <v>506</v>
      </c>
      <c r="G348">
        <f t="shared" si="348"/>
        <v>535</v>
      </c>
      <c r="I348" s="8">
        <f>IFERROR(__xludf.DUMMYFUNCTION("""COMPUTED_VALUE"""),43967.0)</f>
        <v>43967</v>
      </c>
      <c r="J348">
        <f t="shared" si="3"/>
        <v>-29</v>
      </c>
    </row>
    <row r="349">
      <c r="A349" s="8">
        <f>IFERROR(__xludf.DUMMYFUNCTION("""COMPUTED_VALUE"""),43965.0)</f>
        <v>43965</v>
      </c>
      <c r="B349">
        <f>IFERROR(__xludf.DUMMYFUNCTION("""COMPUTED_VALUE"""),1.0)</f>
        <v>1</v>
      </c>
      <c r="C349">
        <f>IFERROR(__xludf.DUMMYFUNCTION("""COMPUTED_VALUE"""),3.0)</f>
        <v>3</v>
      </c>
      <c r="E349" s="8">
        <f>IFERROR(__xludf.DUMMYFUNCTION("""COMPUTED_VALUE"""),43965.0)</f>
        <v>43965</v>
      </c>
      <c r="F349">
        <f t="shared" ref="F349:G349" si="349">B349+F350</f>
        <v>504</v>
      </c>
      <c r="G349">
        <f t="shared" si="349"/>
        <v>532</v>
      </c>
      <c r="I349" s="8">
        <f>IFERROR(__xludf.DUMMYFUNCTION("""COMPUTED_VALUE"""),43965.0)</f>
        <v>43965</v>
      </c>
      <c r="J349">
        <f t="shared" si="3"/>
        <v>-28</v>
      </c>
    </row>
    <row r="350">
      <c r="A350" s="8">
        <f>IFERROR(__xludf.DUMMYFUNCTION("""COMPUTED_VALUE"""),43965.0)</f>
        <v>43965</v>
      </c>
      <c r="B350">
        <f>IFERROR(__xludf.DUMMYFUNCTION("""COMPUTED_VALUE"""),1.0)</f>
        <v>1</v>
      </c>
      <c r="C350">
        <f>IFERROR(__xludf.DUMMYFUNCTION("""COMPUTED_VALUE"""),2.0)</f>
        <v>2</v>
      </c>
      <c r="E350" s="8">
        <f>IFERROR(__xludf.DUMMYFUNCTION("""COMPUTED_VALUE"""),43965.0)</f>
        <v>43965</v>
      </c>
      <c r="F350">
        <f t="shared" ref="F350:G350" si="350">B350+F351</f>
        <v>503</v>
      </c>
      <c r="G350">
        <f t="shared" si="350"/>
        <v>529</v>
      </c>
      <c r="I350" s="8">
        <f>IFERROR(__xludf.DUMMYFUNCTION("""COMPUTED_VALUE"""),43965.0)</f>
        <v>43965</v>
      </c>
      <c r="J350">
        <f t="shared" si="3"/>
        <v>-26</v>
      </c>
    </row>
    <row r="351">
      <c r="A351" s="8">
        <f>IFERROR(__xludf.DUMMYFUNCTION("""COMPUTED_VALUE"""),43963.0)</f>
        <v>43963</v>
      </c>
      <c r="B351">
        <f>IFERROR(__xludf.DUMMYFUNCTION("""COMPUTED_VALUE"""),2.0)</f>
        <v>2</v>
      </c>
      <c r="C351">
        <f>IFERROR(__xludf.DUMMYFUNCTION("""COMPUTED_VALUE"""),1.0)</f>
        <v>1</v>
      </c>
      <c r="E351" s="8">
        <f>IFERROR(__xludf.DUMMYFUNCTION("""COMPUTED_VALUE"""),43963.0)</f>
        <v>43963</v>
      </c>
      <c r="F351">
        <f t="shared" ref="F351:G351" si="351">B351+F352</f>
        <v>502</v>
      </c>
      <c r="G351">
        <f t="shared" si="351"/>
        <v>527</v>
      </c>
      <c r="I351" s="8">
        <f>IFERROR(__xludf.DUMMYFUNCTION("""COMPUTED_VALUE"""),43963.0)</f>
        <v>43963</v>
      </c>
      <c r="J351">
        <f t="shared" si="3"/>
        <v>-25</v>
      </c>
    </row>
    <row r="352">
      <c r="A352" s="8">
        <f>IFERROR(__xludf.DUMMYFUNCTION("""COMPUTED_VALUE"""),43961.0)</f>
        <v>43961</v>
      </c>
      <c r="B352">
        <f>IFERROR(__xludf.DUMMYFUNCTION("""COMPUTED_VALUE"""),1.0)</f>
        <v>1</v>
      </c>
      <c r="C352">
        <f>IFERROR(__xludf.DUMMYFUNCTION("""COMPUTED_VALUE"""),2.0)</f>
        <v>2</v>
      </c>
      <c r="E352" s="8">
        <f>IFERROR(__xludf.DUMMYFUNCTION("""COMPUTED_VALUE"""),43961.0)</f>
        <v>43961</v>
      </c>
      <c r="F352">
        <f t="shared" ref="F352:G352" si="352">B352+F353</f>
        <v>500</v>
      </c>
      <c r="G352">
        <f t="shared" si="352"/>
        <v>526</v>
      </c>
      <c r="I352" s="8">
        <f>IFERROR(__xludf.DUMMYFUNCTION("""COMPUTED_VALUE"""),43961.0)</f>
        <v>43961</v>
      </c>
      <c r="J352">
        <f t="shared" si="3"/>
        <v>-26</v>
      </c>
    </row>
    <row r="353">
      <c r="A353" s="8">
        <f>IFERROR(__xludf.DUMMYFUNCTION("""COMPUTED_VALUE"""),43958.0)</f>
        <v>43958</v>
      </c>
      <c r="B353">
        <f>IFERROR(__xludf.DUMMYFUNCTION("""COMPUTED_VALUE"""),1.0)</f>
        <v>1</v>
      </c>
      <c r="C353">
        <f>IFERROR(__xludf.DUMMYFUNCTION("""COMPUTED_VALUE"""),3.0)</f>
        <v>3</v>
      </c>
      <c r="E353" s="8">
        <f>IFERROR(__xludf.DUMMYFUNCTION("""COMPUTED_VALUE"""),43958.0)</f>
        <v>43958</v>
      </c>
      <c r="F353">
        <f t="shared" ref="F353:G353" si="353">B353+F354</f>
        <v>499</v>
      </c>
      <c r="G353">
        <f t="shared" si="353"/>
        <v>524</v>
      </c>
      <c r="I353" s="8">
        <f>IFERROR(__xludf.DUMMYFUNCTION("""COMPUTED_VALUE"""),43958.0)</f>
        <v>43958</v>
      </c>
      <c r="J353">
        <f t="shared" si="3"/>
        <v>-25</v>
      </c>
    </row>
    <row r="354">
      <c r="A354" s="8">
        <f>IFERROR(__xludf.DUMMYFUNCTION("""COMPUTED_VALUE"""),43954.0)</f>
        <v>43954</v>
      </c>
      <c r="B354">
        <f>IFERROR(__xludf.DUMMYFUNCTION("""COMPUTED_VALUE"""),4.0)</f>
        <v>4</v>
      </c>
      <c r="C354">
        <f>IFERROR(__xludf.DUMMYFUNCTION("""COMPUTED_VALUE"""),3.0)</f>
        <v>3</v>
      </c>
      <c r="E354" s="8">
        <f>IFERROR(__xludf.DUMMYFUNCTION("""COMPUTED_VALUE"""),43954.0)</f>
        <v>43954</v>
      </c>
      <c r="F354">
        <f t="shared" ref="F354:G354" si="354">B354+F355</f>
        <v>498</v>
      </c>
      <c r="G354">
        <f t="shared" si="354"/>
        <v>521</v>
      </c>
      <c r="I354" s="8">
        <f>IFERROR(__xludf.DUMMYFUNCTION("""COMPUTED_VALUE"""),43954.0)</f>
        <v>43954</v>
      </c>
      <c r="J354">
        <f t="shared" si="3"/>
        <v>-23</v>
      </c>
    </row>
    <row r="355">
      <c r="A355" s="8">
        <f>IFERROR(__xludf.DUMMYFUNCTION("""COMPUTED_VALUE"""),43951.0)</f>
        <v>43951</v>
      </c>
      <c r="B355">
        <f>IFERROR(__xludf.DUMMYFUNCTION("""COMPUTED_VALUE"""),1.0)</f>
        <v>1</v>
      </c>
      <c r="C355">
        <f>IFERROR(__xludf.DUMMYFUNCTION("""COMPUTED_VALUE"""),3.0)</f>
        <v>3</v>
      </c>
      <c r="E355" s="8">
        <f>IFERROR(__xludf.DUMMYFUNCTION("""COMPUTED_VALUE"""),43951.0)</f>
        <v>43951</v>
      </c>
      <c r="F355">
        <f t="shared" ref="F355:G355" si="355">B355+F356</f>
        <v>494</v>
      </c>
      <c r="G355">
        <f t="shared" si="355"/>
        <v>518</v>
      </c>
      <c r="I355" s="8">
        <f>IFERROR(__xludf.DUMMYFUNCTION("""COMPUTED_VALUE"""),43951.0)</f>
        <v>43951</v>
      </c>
      <c r="J355">
        <f t="shared" si="3"/>
        <v>-24</v>
      </c>
    </row>
    <row r="356">
      <c r="A356" s="8">
        <f>IFERROR(__xludf.DUMMYFUNCTION("""COMPUTED_VALUE"""),43949.0)</f>
        <v>43949</v>
      </c>
      <c r="B356">
        <f>IFERROR(__xludf.DUMMYFUNCTION("""COMPUTED_VALUE"""),2.0)</f>
        <v>2</v>
      </c>
      <c r="C356">
        <f>IFERROR(__xludf.DUMMYFUNCTION("""COMPUTED_VALUE"""),3.0)</f>
        <v>3</v>
      </c>
      <c r="E356" s="8">
        <f>IFERROR(__xludf.DUMMYFUNCTION("""COMPUTED_VALUE"""),43949.0)</f>
        <v>43949</v>
      </c>
      <c r="F356">
        <f t="shared" ref="F356:G356" si="356">B356+F357</f>
        <v>493</v>
      </c>
      <c r="G356">
        <f t="shared" si="356"/>
        <v>515</v>
      </c>
      <c r="I356" s="8">
        <f>IFERROR(__xludf.DUMMYFUNCTION("""COMPUTED_VALUE"""),43949.0)</f>
        <v>43949</v>
      </c>
      <c r="J356">
        <f t="shared" si="3"/>
        <v>-22</v>
      </c>
    </row>
    <row r="357">
      <c r="A357" s="8">
        <f>IFERROR(__xludf.DUMMYFUNCTION("""COMPUTED_VALUE"""),43947.0)</f>
        <v>43947</v>
      </c>
      <c r="B357">
        <f>IFERROR(__xludf.DUMMYFUNCTION("""COMPUTED_VALUE"""),3.0)</f>
        <v>3</v>
      </c>
      <c r="C357">
        <f>IFERROR(__xludf.DUMMYFUNCTION("""COMPUTED_VALUE"""),2.0)</f>
        <v>2</v>
      </c>
      <c r="E357" s="8">
        <f>IFERROR(__xludf.DUMMYFUNCTION("""COMPUTED_VALUE"""),43947.0)</f>
        <v>43947</v>
      </c>
      <c r="F357">
        <f t="shared" ref="F357:G357" si="357">B357+F358</f>
        <v>491</v>
      </c>
      <c r="G357">
        <f t="shared" si="357"/>
        <v>512</v>
      </c>
      <c r="I357" s="8">
        <f>IFERROR(__xludf.DUMMYFUNCTION("""COMPUTED_VALUE"""),43947.0)</f>
        <v>43947</v>
      </c>
      <c r="J357">
        <f t="shared" si="3"/>
        <v>-21</v>
      </c>
    </row>
    <row r="358">
      <c r="A358" s="8">
        <f>IFERROR(__xludf.DUMMYFUNCTION("""COMPUTED_VALUE"""),43947.0)</f>
        <v>43947</v>
      </c>
      <c r="B358">
        <f>IFERROR(__xludf.DUMMYFUNCTION("""COMPUTED_VALUE"""),2.0)</f>
        <v>2</v>
      </c>
      <c r="C358">
        <f>IFERROR(__xludf.DUMMYFUNCTION("""COMPUTED_VALUE"""),3.0)</f>
        <v>3</v>
      </c>
      <c r="E358" s="8">
        <f>IFERROR(__xludf.DUMMYFUNCTION("""COMPUTED_VALUE"""),43947.0)</f>
        <v>43947</v>
      </c>
      <c r="F358">
        <f t="shared" ref="F358:G358" si="358">B358+F359</f>
        <v>488</v>
      </c>
      <c r="G358">
        <f t="shared" si="358"/>
        <v>510</v>
      </c>
      <c r="I358" s="8">
        <f>IFERROR(__xludf.DUMMYFUNCTION("""COMPUTED_VALUE"""),43947.0)</f>
        <v>43947</v>
      </c>
      <c r="J358">
        <f t="shared" si="3"/>
        <v>-22</v>
      </c>
    </row>
    <row r="359">
      <c r="A359" s="8">
        <f>IFERROR(__xludf.DUMMYFUNCTION("""COMPUTED_VALUE"""),43944.0)</f>
        <v>43944</v>
      </c>
      <c r="B359">
        <f>IFERROR(__xludf.DUMMYFUNCTION("""COMPUTED_VALUE"""),3.0)</f>
        <v>3</v>
      </c>
      <c r="C359">
        <f>IFERROR(__xludf.DUMMYFUNCTION("""COMPUTED_VALUE"""),2.0)</f>
        <v>2</v>
      </c>
      <c r="E359" s="8">
        <f>IFERROR(__xludf.DUMMYFUNCTION("""COMPUTED_VALUE"""),43944.0)</f>
        <v>43944</v>
      </c>
      <c r="F359">
        <f t="shared" ref="F359:G359" si="359">B359+F360</f>
        <v>486</v>
      </c>
      <c r="G359">
        <f t="shared" si="359"/>
        <v>507</v>
      </c>
      <c r="I359" s="8">
        <f>IFERROR(__xludf.DUMMYFUNCTION("""COMPUTED_VALUE"""),43944.0)</f>
        <v>43944</v>
      </c>
      <c r="J359">
        <f t="shared" si="3"/>
        <v>-21</v>
      </c>
    </row>
    <row r="360">
      <c r="A360" s="8">
        <f>IFERROR(__xludf.DUMMYFUNCTION("""COMPUTED_VALUE"""),43942.0)</f>
        <v>43942</v>
      </c>
      <c r="B360">
        <f>IFERROR(__xludf.DUMMYFUNCTION("""COMPUTED_VALUE"""),3.0)</f>
        <v>3</v>
      </c>
      <c r="C360">
        <f>IFERROR(__xludf.DUMMYFUNCTION("""COMPUTED_VALUE"""),1.0)</f>
        <v>1</v>
      </c>
      <c r="E360" s="8">
        <f>IFERROR(__xludf.DUMMYFUNCTION("""COMPUTED_VALUE"""),43942.0)</f>
        <v>43942</v>
      </c>
      <c r="F360">
        <f t="shared" ref="F360:G360" si="360">B360+F361</f>
        <v>483</v>
      </c>
      <c r="G360">
        <f t="shared" si="360"/>
        <v>505</v>
      </c>
      <c r="I360" s="8">
        <f>IFERROR(__xludf.DUMMYFUNCTION("""COMPUTED_VALUE"""),43942.0)</f>
        <v>43942</v>
      </c>
      <c r="J360">
        <f t="shared" si="3"/>
        <v>-22</v>
      </c>
    </row>
    <row r="361">
      <c r="A361" s="8">
        <f>IFERROR(__xludf.DUMMYFUNCTION("""COMPUTED_VALUE"""),43942.0)</f>
        <v>43942</v>
      </c>
      <c r="B361">
        <f>IFERROR(__xludf.DUMMYFUNCTION("""COMPUTED_VALUE"""),2.0)</f>
        <v>2</v>
      </c>
      <c r="C361">
        <f>IFERROR(__xludf.DUMMYFUNCTION("""COMPUTED_VALUE"""),1.0)</f>
        <v>1</v>
      </c>
      <c r="E361" s="8">
        <f>IFERROR(__xludf.DUMMYFUNCTION("""COMPUTED_VALUE"""),43942.0)</f>
        <v>43942</v>
      </c>
      <c r="F361">
        <f t="shared" ref="F361:G361" si="361">B361+F362</f>
        <v>480</v>
      </c>
      <c r="G361">
        <f t="shared" si="361"/>
        <v>504</v>
      </c>
      <c r="I361" s="8">
        <f>IFERROR(__xludf.DUMMYFUNCTION("""COMPUTED_VALUE"""),43942.0)</f>
        <v>43942</v>
      </c>
      <c r="J361">
        <f t="shared" si="3"/>
        <v>-24</v>
      </c>
    </row>
    <row r="362">
      <c r="A362" s="8">
        <f>IFERROR(__xludf.DUMMYFUNCTION("""COMPUTED_VALUE"""),43940.0)</f>
        <v>43940</v>
      </c>
      <c r="B362">
        <f>IFERROR(__xludf.DUMMYFUNCTION("""COMPUTED_VALUE"""),2.0)</f>
        <v>2</v>
      </c>
      <c r="C362">
        <f>IFERROR(__xludf.DUMMYFUNCTION("""COMPUTED_VALUE"""),3.0)</f>
        <v>3</v>
      </c>
      <c r="E362" s="8">
        <f>IFERROR(__xludf.DUMMYFUNCTION("""COMPUTED_VALUE"""),43940.0)</f>
        <v>43940</v>
      </c>
      <c r="F362">
        <f t="shared" ref="F362:G362" si="362">B362+F363</f>
        <v>478</v>
      </c>
      <c r="G362">
        <f t="shared" si="362"/>
        <v>503</v>
      </c>
      <c r="I362" s="8">
        <f>IFERROR(__xludf.DUMMYFUNCTION("""COMPUTED_VALUE"""),43940.0)</f>
        <v>43940</v>
      </c>
      <c r="J362">
        <f t="shared" si="3"/>
        <v>-25</v>
      </c>
    </row>
    <row r="363">
      <c r="A363" s="8">
        <f>IFERROR(__xludf.DUMMYFUNCTION("""COMPUTED_VALUE"""),43940.0)</f>
        <v>43940</v>
      </c>
      <c r="B363">
        <f>IFERROR(__xludf.DUMMYFUNCTION("""COMPUTED_VALUE"""),3.0)</f>
        <v>3</v>
      </c>
      <c r="C363">
        <f>IFERROR(__xludf.DUMMYFUNCTION("""COMPUTED_VALUE"""),1.0)</f>
        <v>1</v>
      </c>
      <c r="E363" s="8">
        <f>IFERROR(__xludf.DUMMYFUNCTION("""COMPUTED_VALUE"""),43940.0)</f>
        <v>43940</v>
      </c>
      <c r="F363">
        <f t="shared" ref="F363:G363" si="363">B363+F364</f>
        <v>476</v>
      </c>
      <c r="G363">
        <f t="shared" si="363"/>
        <v>500</v>
      </c>
      <c r="I363" s="8">
        <f>IFERROR(__xludf.DUMMYFUNCTION("""COMPUTED_VALUE"""),43940.0)</f>
        <v>43940</v>
      </c>
      <c r="J363">
        <f t="shared" si="3"/>
        <v>-24</v>
      </c>
    </row>
    <row r="364">
      <c r="A364" s="8">
        <f>IFERROR(__xludf.DUMMYFUNCTION("""COMPUTED_VALUE"""),43940.0)</f>
        <v>43940</v>
      </c>
      <c r="B364">
        <f>IFERROR(__xludf.DUMMYFUNCTION("""COMPUTED_VALUE"""),1.0)</f>
        <v>1</v>
      </c>
      <c r="C364">
        <f>IFERROR(__xludf.DUMMYFUNCTION("""COMPUTED_VALUE"""),2.0)</f>
        <v>2</v>
      </c>
      <c r="E364" s="8">
        <f>IFERROR(__xludf.DUMMYFUNCTION("""COMPUTED_VALUE"""),43940.0)</f>
        <v>43940</v>
      </c>
      <c r="F364">
        <f t="shared" ref="F364:G364" si="364">B364+F365</f>
        <v>473</v>
      </c>
      <c r="G364">
        <f t="shared" si="364"/>
        <v>499</v>
      </c>
      <c r="I364" s="8">
        <f>IFERROR(__xludf.DUMMYFUNCTION("""COMPUTED_VALUE"""),43940.0)</f>
        <v>43940</v>
      </c>
      <c r="J364">
        <f t="shared" si="3"/>
        <v>-26</v>
      </c>
    </row>
    <row r="365">
      <c r="A365" s="8">
        <f>IFERROR(__xludf.DUMMYFUNCTION("""COMPUTED_VALUE"""),43940.0)</f>
        <v>43940</v>
      </c>
      <c r="B365">
        <f>IFERROR(__xludf.DUMMYFUNCTION("""COMPUTED_VALUE"""),2.0)</f>
        <v>2</v>
      </c>
      <c r="C365">
        <f>IFERROR(__xludf.DUMMYFUNCTION("""COMPUTED_VALUE"""),4.0)</f>
        <v>4</v>
      </c>
      <c r="E365" s="8">
        <f>IFERROR(__xludf.DUMMYFUNCTION("""COMPUTED_VALUE"""),43940.0)</f>
        <v>43940</v>
      </c>
      <c r="F365">
        <f t="shared" ref="F365:G365" si="365">B365+F366</f>
        <v>472</v>
      </c>
      <c r="G365">
        <f t="shared" si="365"/>
        <v>497</v>
      </c>
      <c r="I365" s="8">
        <f>IFERROR(__xludf.DUMMYFUNCTION("""COMPUTED_VALUE"""),43940.0)</f>
        <v>43940</v>
      </c>
      <c r="J365">
        <f t="shared" si="3"/>
        <v>-25</v>
      </c>
    </row>
    <row r="366">
      <c r="A366" s="8">
        <f>IFERROR(__xludf.DUMMYFUNCTION("""COMPUTED_VALUE"""),43939.0)</f>
        <v>43939</v>
      </c>
      <c r="B366">
        <f>IFERROR(__xludf.DUMMYFUNCTION("""COMPUTED_VALUE"""),2.0)</f>
        <v>2</v>
      </c>
      <c r="C366">
        <f>IFERROR(__xludf.DUMMYFUNCTION("""COMPUTED_VALUE"""),2.0)</f>
        <v>2</v>
      </c>
      <c r="E366" s="8">
        <f>IFERROR(__xludf.DUMMYFUNCTION("""COMPUTED_VALUE"""),43939.0)</f>
        <v>43939</v>
      </c>
      <c r="F366">
        <f t="shared" ref="F366:G366" si="366">B366+F367</f>
        <v>470</v>
      </c>
      <c r="G366">
        <f t="shared" si="366"/>
        <v>493</v>
      </c>
      <c r="I366" s="8">
        <f>IFERROR(__xludf.DUMMYFUNCTION("""COMPUTED_VALUE"""),43939.0)</f>
        <v>43939</v>
      </c>
      <c r="J366">
        <f t="shared" si="3"/>
        <v>-23</v>
      </c>
    </row>
    <row r="367">
      <c r="A367" s="8">
        <f>IFERROR(__xludf.DUMMYFUNCTION("""COMPUTED_VALUE"""),43937.0)</f>
        <v>43937</v>
      </c>
      <c r="B367">
        <f>IFERROR(__xludf.DUMMYFUNCTION("""COMPUTED_VALUE"""),1.0)</f>
        <v>1</v>
      </c>
      <c r="C367">
        <f>IFERROR(__xludf.DUMMYFUNCTION("""COMPUTED_VALUE"""),3.0)</f>
        <v>3</v>
      </c>
      <c r="E367" s="8">
        <f>IFERROR(__xludf.DUMMYFUNCTION("""COMPUTED_VALUE"""),43937.0)</f>
        <v>43937</v>
      </c>
      <c r="F367">
        <f t="shared" ref="F367:G367" si="367">B367+F368</f>
        <v>468</v>
      </c>
      <c r="G367">
        <f t="shared" si="367"/>
        <v>491</v>
      </c>
      <c r="I367" s="8">
        <f>IFERROR(__xludf.DUMMYFUNCTION("""COMPUTED_VALUE"""),43937.0)</f>
        <v>43937</v>
      </c>
      <c r="J367">
        <f t="shared" si="3"/>
        <v>-23</v>
      </c>
    </row>
    <row r="368">
      <c r="A368" s="8">
        <f>IFERROR(__xludf.DUMMYFUNCTION("""COMPUTED_VALUE"""),43935.0)</f>
        <v>43935</v>
      </c>
      <c r="B368">
        <f>IFERROR(__xludf.DUMMYFUNCTION("""COMPUTED_VALUE"""),3.0)</f>
        <v>3</v>
      </c>
      <c r="C368">
        <f>IFERROR(__xludf.DUMMYFUNCTION("""COMPUTED_VALUE"""),2.0)</f>
        <v>2</v>
      </c>
      <c r="E368" s="8">
        <f>IFERROR(__xludf.DUMMYFUNCTION("""COMPUTED_VALUE"""),43935.0)</f>
        <v>43935</v>
      </c>
      <c r="F368">
        <f t="shared" ref="F368:G368" si="368">B368+F369</f>
        <v>467</v>
      </c>
      <c r="G368">
        <f t="shared" si="368"/>
        <v>488</v>
      </c>
      <c r="I368" s="8">
        <f>IFERROR(__xludf.DUMMYFUNCTION("""COMPUTED_VALUE"""),43935.0)</f>
        <v>43935</v>
      </c>
      <c r="J368">
        <f t="shared" si="3"/>
        <v>-21</v>
      </c>
    </row>
    <row r="369">
      <c r="A369" s="8">
        <f>IFERROR(__xludf.DUMMYFUNCTION("""COMPUTED_VALUE"""),43933.0)</f>
        <v>43933</v>
      </c>
      <c r="B369">
        <f>IFERROR(__xludf.DUMMYFUNCTION("""COMPUTED_VALUE"""),2.0)</f>
        <v>2</v>
      </c>
      <c r="C369">
        <f>IFERROR(__xludf.DUMMYFUNCTION("""COMPUTED_VALUE"""),3.0)</f>
        <v>3</v>
      </c>
      <c r="E369" s="8">
        <f>IFERROR(__xludf.DUMMYFUNCTION("""COMPUTED_VALUE"""),43933.0)</f>
        <v>43933</v>
      </c>
      <c r="F369">
        <f t="shared" ref="F369:G369" si="369">B369+F370</f>
        <v>464</v>
      </c>
      <c r="G369">
        <f t="shared" si="369"/>
        <v>486</v>
      </c>
      <c r="I369" s="8">
        <f>IFERROR(__xludf.DUMMYFUNCTION("""COMPUTED_VALUE"""),43933.0)</f>
        <v>43933</v>
      </c>
      <c r="J369">
        <f t="shared" si="3"/>
        <v>-22</v>
      </c>
    </row>
    <row r="370">
      <c r="A370" s="8">
        <f>IFERROR(__xludf.DUMMYFUNCTION("""COMPUTED_VALUE"""),43932.0)</f>
        <v>43932</v>
      </c>
      <c r="B370">
        <f>IFERROR(__xludf.DUMMYFUNCTION("""COMPUTED_VALUE"""),4.0)</f>
        <v>4</v>
      </c>
      <c r="C370">
        <f>IFERROR(__xludf.DUMMYFUNCTION("""COMPUTED_VALUE"""),2.0)</f>
        <v>2</v>
      </c>
      <c r="E370" s="8">
        <f>IFERROR(__xludf.DUMMYFUNCTION("""COMPUTED_VALUE"""),43932.0)</f>
        <v>43932</v>
      </c>
      <c r="F370">
        <f t="shared" ref="F370:G370" si="370">B370+F371</f>
        <v>462</v>
      </c>
      <c r="G370">
        <f t="shared" si="370"/>
        <v>483</v>
      </c>
      <c r="I370" s="8">
        <f>IFERROR(__xludf.DUMMYFUNCTION("""COMPUTED_VALUE"""),43932.0)</f>
        <v>43932</v>
      </c>
      <c r="J370">
        <f t="shared" si="3"/>
        <v>-21</v>
      </c>
    </row>
    <row r="371">
      <c r="A371" s="8">
        <f>IFERROR(__xludf.DUMMYFUNCTION("""COMPUTED_VALUE"""),43930.0)</f>
        <v>43930</v>
      </c>
      <c r="B371">
        <f>IFERROR(__xludf.DUMMYFUNCTION("""COMPUTED_VALUE"""),1.0)</f>
        <v>1</v>
      </c>
      <c r="C371">
        <f>IFERROR(__xludf.DUMMYFUNCTION("""COMPUTED_VALUE"""),2.0)</f>
        <v>2</v>
      </c>
      <c r="E371" s="8">
        <f>IFERROR(__xludf.DUMMYFUNCTION("""COMPUTED_VALUE"""),43930.0)</f>
        <v>43930</v>
      </c>
      <c r="F371">
        <f t="shared" ref="F371:G371" si="371">B371+F372</f>
        <v>458</v>
      </c>
      <c r="G371">
        <f t="shared" si="371"/>
        <v>481</v>
      </c>
      <c r="I371" s="8">
        <f>IFERROR(__xludf.DUMMYFUNCTION("""COMPUTED_VALUE"""),43930.0)</f>
        <v>43930</v>
      </c>
      <c r="J371">
        <f t="shared" si="3"/>
        <v>-23</v>
      </c>
    </row>
    <row r="372">
      <c r="A372" s="8">
        <f>IFERROR(__xludf.DUMMYFUNCTION("""COMPUTED_VALUE"""),43928.0)</f>
        <v>43928</v>
      </c>
      <c r="B372">
        <f>IFERROR(__xludf.DUMMYFUNCTION("""COMPUTED_VALUE"""),2.0)</f>
        <v>2</v>
      </c>
      <c r="C372">
        <f>IFERROR(__xludf.DUMMYFUNCTION("""COMPUTED_VALUE"""),3.0)</f>
        <v>3</v>
      </c>
      <c r="E372" s="8">
        <f>IFERROR(__xludf.DUMMYFUNCTION("""COMPUTED_VALUE"""),43928.0)</f>
        <v>43928</v>
      </c>
      <c r="F372">
        <f t="shared" ref="F372:G372" si="372">B372+F373</f>
        <v>457</v>
      </c>
      <c r="G372">
        <f t="shared" si="372"/>
        <v>479</v>
      </c>
      <c r="I372" s="8">
        <f>IFERROR(__xludf.DUMMYFUNCTION("""COMPUTED_VALUE"""),43928.0)</f>
        <v>43928</v>
      </c>
      <c r="J372">
        <f t="shared" si="3"/>
        <v>-22</v>
      </c>
    </row>
    <row r="373">
      <c r="A373" s="8">
        <f>IFERROR(__xludf.DUMMYFUNCTION("""COMPUTED_VALUE"""),43922.0)</f>
        <v>43922</v>
      </c>
      <c r="B373">
        <f>IFERROR(__xludf.DUMMYFUNCTION("""COMPUTED_VALUE"""),1.0)</f>
        <v>1</v>
      </c>
      <c r="C373">
        <f>IFERROR(__xludf.DUMMYFUNCTION("""COMPUTED_VALUE"""),2.0)</f>
        <v>2</v>
      </c>
      <c r="E373" s="8">
        <f>IFERROR(__xludf.DUMMYFUNCTION("""COMPUTED_VALUE"""),43922.0)</f>
        <v>43922</v>
      </c>
      <c r="F373">
        <f t="shared" ref="F373:G373" si="373">B373+F374</f>
        <v>455</v>
      </c>
      <c r="G373">
        <f t="shared" si="373"/>
        <v>476</v>
      </c>
      <c r="I373" s="8">
        <f>IFERROR(__xludf.DUMMYFUNCTION("""COMPUTED_VALUE"""),43922.0)</f>
        <v>43922</v>
      </c>
      <c r="J373">
        <f t="shared" si="3"/>
        <v>-21</v>
      </c>
    </row>
    <row r="374">
      <c r="A374" s="8">
        <f>IFERROR(__xludf.DUMMYFUNCTION("""COMPUTED_VALUE"""),43919.0)</f>
        <v>43919</v>
      </c>
      <c r="B374">
        <f>IFERROR(__xludf.DUMMYFUNCTION("""COMPUTED_VALUE"""),1.0)</f>
        <v>1</v>
      </c>
      <c r="C374">
        <f>IFERROR(__xludf.DUMMYFUNCTION("""COMPUTED_VALUE"""),2.0)</f>
        <v>2</v>
      </c>
      <c r="E374" s="8">
        <f>IFERROR(__xludf.DUMMYFUNCTION("""COMPUTED_VALUE"""),43919.0)</f>
        <v>43919</v>
      </c>
      <c r="F374">
        <f t="shared" ref="F374:G374" si="374">B374+F375</f>
        <v>454</v>
      </c>
      <c r="G374">
        <f t="shared" si="374"/>
        <v>474</v>
      </c>
      <c r="I374" s="8">
        <f>IFERROR(__xludf.DUMMYFUNCTION("""COMPUTED_VALUE"""),43919.0)</f>
        <v>43919</v>
      </c>
      <c r="J374">
        <f t="shared" si="3"/>
        <v>-20</v>
      </c>
    </row>
    <row r="375">
      <c r="A375" s="8">
        <f>IFERROR(__xludf.DUMMYFUNCTION("""COMPUTED_VALUE"""),43918.0)</f>
        <v>43918</v>
      </c>
      <c r="B375">
        <f>IFERROR(__xludf.DUMMYFUNCTION("""COMPUTED_VALUE"""),2.0)</f>
        <v>2</v>
      </c>
      <c r="C375">
        <f>IFERROR(__xludf.DUMMYFUNCTION("""COMPUTED_VALUE"""),1.0)</f>
        <v>1</v>
      </c>
      <c r="E375" s="8">
        <f>IFERROR(__xludf.DUMMYFUNCTION("""COMPUTED_VALUE"""),43918.0)</f>
        <v>43918</v>
      </c>
      <c r="F375">
        <f t="shared" ref="F375:G375" si="375">B375+F376</f>
        <v>453</v>
      </c>
      <c r="G375">
        <f t="shared" si="375"/>
        <v>472</v>
      </c>
      <c r="I375" s="8">
        <f>IFERROR(__xludf.DUMMYFUNCTION("""COMPUTED_VALUE"""),43918.0)</f>
        <v>43918</v>
      </c>
      <c r="J375">
        <f t="shared" si="3"/>
        <v>-19</v>
      </c>
    </row>
    <row r="376">
      <c r="A376" s="8">
        <f>IFERROR(__xludf.DUMMYFUNCTION("""COMPUTED_VALUE"""),43914.0)</f>
        <v>43914</v>
      </c>
      <c r="B376">
        <f>IFERROR(__xludf.DUMMYFUNCTION("""COMPUTED_VALUE"""),2.0)</f>
        <v>2</v>
      </c>
      <c r="C376">
        <f>IFERROR(__xludf.DUMMYFUNCTION("""COMPUTED_VALUE"""),1.0)</f>
        <v>1</v>
      </c>
      <c r="E376" s="8">
        <f>IFERROR(__xludf.DUMMYFUNCTION("""COMPUTED_VALUE"""),43914.0)</f>
        <v>43914</v>
      </c>
      <c r="F376">
        <f t="shared" ref="F376:G376" si="376">B376+F377</f>
        <v>451</v>
      </c>
      <c r="G376">
        <f t="shared" si="376"/>
        <v>471</v>
      </c>
      <c r="I376" s="8">
        <f>IFERROR(__xludf.DUMMYFUNCTION("""COMPUTED_VALUE"""),43914.0)</f>
        <v>43914</v>
      </c>
      <c r="J376">
        <f t="shared" si="3"/>
        <v>-20</v>
      </c>
    </row>
    <row r="377">
      <c r="A377" s="8">
        <f>IFERROR(__xludf.DUMMYFUNCTION("""COMPUTED_VALUE"""),43905.0)</f>
        <v>43905</v>
      </c>
      <c r="B377">
        <f>IFERROR(__xludf.DUMMYFUNCTION("""COMPUTED_VALUE"""),1.0)</f>
        <v>1</v>
      </c>
      <c r="C377">
        <f>IFERROR(__xludf.DUMMYFUNCTION("""COMPUTED_VALUE"""),2.0)</f>
        <v>2</v>
      </c>
      <c r="E377" s="8">
        <f>IFERROR(__xludf.DUMMYFUNCTION("""COMPUTED_VALUE"""),43905.0)</f>
        <v>43905</v>
      </c>
      <c r="F377">
        <f t="shared" ref="F377:G377" si="377">B377+F378</f>
        <v>449</v>
      </c>
      <c r="G377">
        <f t="shared" si="377"/>
        <v>470</v>
      </c>
      <c r="I377" s="8">
        <f>IFERROR(__xludf.DUMMYFUNCTION("""COMPUTED_VALUE"""),43905.0)</f>
        <v>43905</v>
      </c>
      <c r="J377">
        <f t="shared" si="3"/>
        <v>-21</v>
      </c>
    </row>
    <row r="378">
      <c r="A378" s="8">
        <f>IFERROR(__xludf.DUMMYFUNCTION("""COMPUTED_VALUE"""),43904.0)</f>
        <v>43904</v>
      </c>
      <c r="B378">
        <f>IFERROR(__xludf.DUMMYFUNCTION("""COMPUTED_VALUE"""),2.0)</f>
        <v>2</v>
      </c>
      <c r="C378">
        <f>IFERROR(__xludf.DUMMYFUNCTION("""COMPUTED_VALUE"""),1.0)</f>
        <v>1</v>
      </c>
      <c r="E378" s="8">
        <f>IFERROR(__xludf.DUMMYFUNCTION("""COMPUTED_VALUE"""),43904.0)</f>
        <v>43904</v>
      </c>
      <c r="F378">
        <f t="shared" ref="F378:G378" si="378">B378+F379</f>
        <v>448</v>
      </c>
      <c r="G378">
        <f t="shared" si="378"/>
        <v>468</v>
      </c>
      <c r="I378" s="8">
        <f>IFERROR(__xludf.DUMMYFUNCTION("""COMPUTED_VALUE"""),43904.0)</f>
        <v>43904</v>
      </c>
      <c r="J378">
        <f t="shared" si="3"/>
        <v>-20</v>
      </c>
    </row>
    <row r="379">
      <c r="A379" s="8">
        <f>IFERROR(__xludf.DUMMYFUNCTION("""COMPUTED_VALUE"""),43898.0)</f>
        <v>43898</v>
      </c>
      <c r="B379">
        <f>IFERROR(__xludf.DUMMYFUNCTION("""COMPUTED_VALUE"""),1.0)</f>
        <v>1</v>
      </c>
      <c r="C379">
        <f>IFERROR(__xludf.DUMMYFUNCTION("""COMPUTED_VALUE"""),3.0)</f>
        <v>3</v>
      </c>
      <c r="E379" s="8">
        <f>IFERROR(__xludf.DUMMYFUNCTION("""COMPUTED_VALUE"""),43898.0)</f>
        <v>43898</v>
      </c>
      <c r="F379">
        <f t="shared" ref="F379:G379" si="379">B379+F380</f>
        <v>446</v>
      </c>
      <c r="G379">
        <f t="shared" si="379"/>
        <v>467</v>
      </c>
      <c r="I379" s="8">
        <f>IFERROR(__xludf.DUMMYFUNCTION("""COMPUTED_VALUE"""),43898.0)</f>
        <v>43898</v>
      </c>
      <c r="J379">
        <f t="shared" si="3"/>
        <v>-21</v>
      </c>
    </row>
    <row r="380">
      <c r="A380" s="8">
        <f>IFERROR(__xludf.DUMMYFUNCTION("""COMPUTED_VALUE"""),43891.0)</f>
        <v>43891</v>
      </c>
      <c r="B380">
        <f>IFERROR(__xludf.DUMMYFUNCTION("""COMPUTED_VALUE"""),3.0)</f>
        <v>3</v>
      </c>
      <c r="C380">
        <f>IFERROR(__xludf.DUMMYFUNCTION("""COMPUTED_VALUE"""),1.0)</f>
        <v>1</v>
      </c>
      <c r="E380" s="8">
        <f>IFERROR(__xludf.DUMMYFUNCTION("""COMPUTED_VALUE"""),43891.0)</f>
        <v>43891</v>
      </c>
      <c r="F380">
        <f t="shared" ref="F380:G380" si="380">B380+F381</f>
        <v>445</v>
      </c>
      <c r="G380">
        <f t="shared" si="380"/>
        <v>464</v>
      </c>
      <c r="I380" s="8">
        <f>IFERROR(__xludf.DUMMYFUNCTION("""COMPUTED_VALUE"""),43891.0)</f>
        <v>43891</v>
      </c>
      <c r="J380">
        <f t="shared" si="3"/>
        <v>-19</v>
      </c>
    </row>
    <row r="381">
      <c r="A381" s="8">
        <f>IFERROR(__xludf.DUMMYFUNCTION("""COMPUTED_VALUE"""),43884.0)</f>
        <v>43884</v>
      </c>
      <c r="B381">
        <f>IFERROR(__xludf.DUMMYFUNCTION("""COMPUTED_VALUE"""),2.0)</f>
        <v>2</v>
      </c>
      <c r="C381">
        <f>IFERROR(__xludf.DUMMYFUNCTION("""COMPUTED_VALUE"""),3.0)</f>
        <v>3</v>
      </c>
      <c r="E381" s="8">
        <f>IFERROR(__xludf.DUMMYFUNCTION("""COMPUTED_VALUE"""),43884.0)</f>
        <v>43884</v>
      </c>
      <c r="F381">
        <f t="shared" ref="F381:G381" si="381">B381+F382</f>
        <v>442</v>
      </c>
      <c r="G381">
        <f t="shared" si="381"/>
        <v>463</v>
      </c>
      <c r="I381" s="8">
        <f>IFERROR(__xludf.DUMMYFUNCTION("""COMPUTED_VALUE"""),43884.0)</f>
        <v>43884</v>
      </c>
      <c r="J381">
        <f t="shared" si="3"/>
        <v>-21</v>
      </c>
    </row>
    <row r="382">
      <c r="A382" s="8">
        <f>IFERROR(__xludf.DUMMYFUNCTION("""COMPUTED_VALUE"""),43883.0)</f>
        <v>43883</v>
      </c>
      <c r="B382">
        <f>IFERROR(__xludf.DUMMYFUNCTION("""COMPUTED_VALUE"""),3.0)</f>
        <v>3</v>
      </c>
      <c r="C382">
        <f>IFERROR(__xludf.DUMMYFUNCTION("""COMPUTED_VALUE"""),1.0)</f>
        <v>1</v>
      </c>
      <c r="E382" s="8">
        <f>IFERROR(__xludf.DUMMYFUNCTION("""COMPUTED_VALUE"""),43883.0)</f>
        <v>43883</v>
      </c>
      <c r="F382">
        <f t="shared" ref="F382:G382" si="382">B382+F383</f>
        <v>440</v>
      </c>
      <c r="G382">
        <f t="shared" si="382"/>
        <v>460</v>
      </c>
      <c r="I382" s="8">
        <f>IFERROR(__xludf.DUMMYFUNCTION("""COMPUTED_VALUE"""),43883.0)</f>
        <v>43883</v>
      </c>
      <c r="J382">
        <f t="shared" si="3"/>
        <v>-20</v>
      </c>
    </row>
    <row r="383">
      <c r="A383" s="8">
        <f>IFERROR(__xludf.DUMMYFUNCTION("""COMPUTED_VALUE"""),43877.0)</f>
        <v>43877</v>
      </c>
      <c r="B383">
        <f>IFERROR(__xludf.DUMMYFUNCTION("""COMPUTED_VALUE"""),2.0)</f>
        <v>2</v>
      </c>
      <c r="C383">
        <f>IFERROR(__xludf.DUMMYFUNCTION("""COMPUTED_VALUE"""),3.0)</f>
        <v>3</v>
      </c>
      <c r="E383" s="8">
        <f>IFERROR(__xludf.DUMMYFUNCTION("""COMPUTED_VALUE"""),43877.0)</f>
        <v>43877</v>
      </c>
      <c r="F383">
        <f t="shared" ref="F383:G383" si="383">B383+F384</f>
        <v>437</v>
      </c>
      <c r="G383">
        <f t="shared" si="383"/>
        <v>459</v>
      </c>
      <c r="I383" s="8">
        <f>IFERROR(__xludf.DUMMYFUNCTION("""COMPUTED_VALUE"""),43877.0)</f>
        <v>43877</v>
      </c>
      <c r="J383">
        <f t="shared" si="3"/>
        <v>-22</v>
      </c>
    </row>
    <row r="384">
      <c r="A384" s="8">
        <f>IFERROR(__xludf.DUMMYFUNCTION("""COMPUTED_VALUE"""),43861.0)</f>
        <v>43861</v>
      </c>
      <c r="B384">
        <f>IFERROR(__xludf.DUMMYFUNCTION("""COMPUTED_VALUE"""),1.0)</f>
        <v>1</v>
      </c>
      <c r="C384">
        <f>IFERROR(__xludf.DUMMYFUNCTION("""COMPUTED_VALUE"""),2.0)</f>
        <v>2</v>
      </c>
      <c r="E384" s="8">
        <f>IFERROR(__xludf.DUMMYFUNCTION("""COMPUTED_VALUE"""),43861.0)</f>
        <v>43861</v>
      </c>
      <c r="F384">
        <f t="shared" ref="F384:G384" si="384">B384+F385</f>
        <v>435</v>
      </c>
      <c r="G384">
        <f t="shared" si="384"/>
        <v>456</v>
      </c>
      <c r="I384" s="8">
        <f>IFERROR(__xludf.DUMMYFUNCTION("""COMPUTED_VALUE"""),43861.0)</f>
        <v>43861</v>
      </c>
      <c r="J384">
        <f t="shared" si="3"/>
        <v>-21</v>
      </c>
    </row>
    <row r="385">
      <c r="A385" s="8">
        <f>IFERROR(__xludf.DUMMYFUNCTION("""COMPUTED_VALUE"""),43856.0)</f>
        <v>43856</v>
      </c>
      <c r="B385">
        <f>IFERROR(__xludf.DUMMYFUNCTION("""COMPUTED_VALUE"""),2.0)</f>
        <v>2</v>
      </c>
      <c r="C385">
        <f>IFERROR(__xludf.DUMMYFUNCTION("""COMPUTED_VALUE"""),1.0)</f>
        <v>1</v>
      </c>
      <c r="E385" s="8">
        <f>IFERROR(__xludf.DUMMYFUNCTION("""COMPUTED_VALUE"""),43856.0)</f>
        <v>43856</v>
      </c>
      <c r="F385">
        <f t="shared" ref="F385:G385" si="385">B385+F386</f>
        <v>434</v>
      </c>
      <c r="G385">
        <f t="shared" si="385"/>
        <v>454</v>
      </c>
      <c r="I385" s="8">
        <f>IFERROR(__xludf.DUMMYFUNCTION("""COMPUTED_VALUE"""),43856.0)</f>
        <v>43856</v>
      </c>
      <c r="J385">
        <f t="shared" si="3"/>
        <v>-20</v>
      </c>
    </row>
    <row r="386">
      <c r="A386" s="8">
        <f>IFERROR(__xludf.DUMMYFUNCTION("""COMPUTED_VALUE"""),43855.0)</f>
        <v>43855</v>
      </c>
      <c r="B386">
        <f>IFERROR(__xludf.DUMMYFUNCTION("""COMPUTED_VALUE"""),1.0)</f>
        <v>1</v>
      </c>
      <c r="C386">
        <f>IFERROR(__xludf.DUMMYFUNCTION("""COMPUTED_VALUE"""),2.0)</f>
        <v>2</v>
      </c>
      <c r="E386" s="8">
        <f>IFERROR(__xludf.DUMMYFUNCTION("""COMPUTED_VALUE"""),43855.0)</f>
        <v>43855</v>
      </c>
      <c r="F386">
        <f t="shared" ref="F386:G386" si="386">B386+F387</f>
        <v>432</v>
      </c>
      <c r="G386">
        <f t="shared" si="386"/>
        <v>453</v>
      </c>
      <c r="I386" s="8">
        <f>IFERROR(__xludf.DUMMYFUNCTION("""COMPUTED_VALUE"""),43855.0)</f>
        <v>43855</v>
      </c>
      <c r="J386">
        <f t="shared" si="3"/>
        <v>-21</v>
      </c>
    </row>
    <row r="387">
      <c r="A387" s="8">
        <f>IFERROR(__xludf.DUMMYFUNCTION("""COMPUTED_VALUE"""),43849.0)</f>
        <v>43849</v>
      </c>
      <c r="B387">
        <f>IFERROR(__xludf.DUMMYFUNCTION("""COMPUTED_VALUE"""),2.0)</f>
        <v>2</v>
      </c>
      <c r="C387">
        <f>IFERROR(__xludf.DUMMYFUNCTION("""COMPUTED_VALUE"""),3.0)</f>
        <v>3</v>
      </c>
      <c r="E387" s="8">
        <f>IFERROR(__xludf.DUMMYFUNCTION("""COMPUTED_VALUE"""),43849.0)</f>
        <v>43849</v>
      </c>
      <c r="F387">
        <f t="shared" ref="F387:G387" si="387">B387+F388</f>
        <v>431</v>
      </c>
      <c r="G387">
        <f t="shared" si="387"/>
        <v>451</v>
      </c>
      <c r="I387" s="8">
        <f>IFERROR(__xludf.DUMMYFUNCTION("""COMPUTED_VALUE"""),43849.0)</f>
        <v>43849</v>
      </c>
      <c r="J387">
        <f t="shared" si="3"/>
        <v>-20</v>
      </c>
    </row>
    <row r="388">
      <c r="A388" s="8">
        <f>IFERROR(__xludf.DUMMYFUNCTION("""COMPUTED_VALUE"""),43842.0)</f>
        <v>43842</v>
      </c>
      <c r="B388">
        <f>IFERROR(__xludf.DUMMYFUNCTION("""COMPUTED_VALUE"""),2.0)</f>
        <v>2</v>
      </c>
      <c r="C388">
        <f>IFERROR(__xludf.DUMMYFUNCTION("""COMPUTED_VALUE"""),1.0)</f>
        <v>1</v>
      </c>
      <c r="E388" s="8">
        <f>IFERROR(__xludf.DUMMYFUNCTION("""COMPUTED_VALUE"""),43842.0)</f>
        <v>43842</v>
      </c>
      <c r="F388">
        <f t="shared" ref="F388:G388" si="388">B388+F389</f>
        <v>429</v>
      </c>
      <c r="G388">
        <f t="shared" si="388"/>
        <v>448</v>
      </c>
      <c r="I388" s="8">
        <f>IFERROR(__xludf.DUMMYFUNCTION("""COMPUTED_VALUE"""),43842.0)</f>
        <v>43842</v>
      </c>
      <c r="J388">
        <f t="shared" si="3"/>
        <v>-19</v>
      </c>
    </row>
    <row r="389">
      <c r="A389" s="8">
        <f>IFERROR(__xludf.DUMMYFUNCTION("""COMPUTED_VALUE"""),43834.0)</f>
        <v>43834</v>
      </c>
      <c r="B389">
        <f>IFERROR(__xludf.DUMMYFUNCTION("""COMPUTED_VALUE"""),2.0)</f>
        <v>2</v>
      </c>
      <c r="C389">
        <f>IFERROR(__xludf.DUMMYFUNCTION("""COMPUTED_VALUE"""),4.0)</f>
        <v>4</v>
      </c>
      <c r="E389" s="8">
        <f>IFERROR(__xludf.DUMMYFUNCTION("""COMPUTED_VALUE"""),43834.0)</f>
        <v>43834</v>
      </c>
      <c r="F389">
        <f t="shared" ref="F389:G389" si="389">B389+F390</f>
        <v>427</v>
      </c>
      <c r="G389">
        <f t="shared" si="389"/>
        <v>447</v>
      </c>
      <c r="I389" s="8">
        <f>IFERROR(__xludf.DUMMYFUNCTION("""COMPUTED_VALUE"""),43834.0)</f>
        <v>43834</v>
      </c>
      <c r="J389">
        <f t="shared" si="3"/>
        <v>-20</v>
      </c>
    </row>
    <row r="390">
      <c r="A390" s="8">
        <f>IFERROR(__xludf.DUMMYFUNCTION("""COMPUTED_VALUE"""),43831.0)</f>
        <v>43831</v>
      </c>
      <c r="B390">
        <f>IFERROR(__xludf.DUMMYFUNCTION("""COMPUTED_VALUE"""),2.0)</f>
        <v>2</v>
      </c>
      <c r="C390">
        <f>IFERROR(__xludf.DUMMYFUNCTION("""COMPUTED_VALUE"""),1.0)</f>
        <v>1</v>
      </c>
      <c r="E390" s="8">
        <f>IFERROR(__xludf.DUMMYFUNCTION("""COMPUTED_VALUE"""),43831.0)</f>
        <v>43831</v>
      </c>
      <c r="F390">
        <f t="shared" ref="F390:G390" si="390">B390+F391</f>
        <v>425</v>
      </c>
      <c r="G390">
        <f t="shared" si="390"/>
        <v>443</v>
      </c>
      <c r="I390" s="8">
        <f>IFERROR(__xludf.DUMMYFUNCTION("""COMPUTED_VALUE"""),43831.0)</f>
        <v>43831</v>
      </c>
      <c r="J390">
        <f t="shared" si="3"/>
        <v>-18</v>
      </c>
    </row>
    <row r="391">
      <c r="A391" s="8">
        <f>IFERROR(__xludf.DUMMYFUNCTION("""COMPUTED_VALUE"""),43831.0)</f>
        <v>43831</v>
      </c>
      <c r="B391">
        <f>IFERROR(__xludf.DUMMYFUNCTION("""COMPUTED_VALUE"""),2.0)</f>
        <v>2</v>
      </c>
      <c r="C391">
        <f>IFERROR(__xludf.DUMMYFUNCTION("""COMPUTED_VALUE"""),3.0)</f>
        <v>3</v>
      </c>
      <c r="E391" s="8">
        <f>IFERROR(__xludf.DUMMYFUNCTION("""COMPUTED_VALUE"""),43831.0)</f>
        <v>43831</v>
      </c>
      <c r="F391">
        <f t="shared" ref="F391:G391" si="391">B391+F392</f>
        <v>423</v>
      </c>
      <c r="G391">
        <f t="shared" si="391"/>
        <v>442</v>
      </c>
      <c r="I391" s="8">
        <f>IFERROR(__xludf.DUMMYFUNCTION("""COMPUTED_VALUE"""),43831.0)</f>
        <v>43831</v>
      </c>
      <c r="J391">
        <f t="shared" si="3"/>
        <v>-19</v>
      </c>
    </row>
    <row r="392">
      <c r="A392" s="8">
        <f>IFERROR(__xludf.DUMMYFUNCTION("""COMPUTED_VALUE"""),43830.0)</f>
        <v>43830</v>
      </c>
      <c r="B392">
        <f>IFERROR(__xludf.DUMMYFUNCTION("""COMPUTED_VALUE"""),2.0)</f>
        <v>2</v>
      </c>
      <c r="C392">
        <f>IFERROR(__xludf.DUMMYFUNCTION("""COMPUTED_VALUE"""),3.0)</f>
        <v>3</v>
      </c>
      <c r="E392" s="8">
        <f>IFERROR(__xludf.DUMMYFUNCTION("""COMPUTED_VALUE"""),43830.0)</f>
        <v>43830</v>
      </c>
      <c r="F392">
        <f t="shared" ref="F392:G392" si="392">B392+F393</f>
        <v>421</v>
      </c>
      <c r="G392">
        <f t="shared" si="392"/>
        <v>439</v>
      </c>
      <c r="I392" s="8">
        <f>IFERROR(__xludf.DUMMYFUNCTION("""COMPUTED_VALUE"""),43830.0)</f>
        <v>43830</v>
      </c>
      <c r="J392">
        <f t="shared" si="3"/>
        <v>-18</v>
      </c>
    </row>
    <row r="393">
      <c r="A393" s="8">
        <f>IFERROR(__xludf.DUMMYFUNCTION("""COMPUTED_VALUE"""),43828.0)</f>
        <v>43828</v>
      </c>
      <c r="B393">
        <f>IFERROR(__xludf.DUMMYFUNCTION("""COMPUTED_VALUE"""),2.0)</f>
        <v>2</v>
      </c>
      <c r="C393">
        <f>IFERROR(__xludf.DUMMYFUNCTION("""COMPUTED_VALUE"""),3.0)</f>
        <v>3</v>
      </c>
      <c r="E393" s="8">
        <f>IFERROR(__xludf.DUMMYFUNCTION("""COMPUTED_VALUE"""),43828.0)</f>
        <v>43828</v>
      </c>
      <c r="F393">
        <f t="shared" ref="F393:G393" si="393">B393+F394</f>
        <v>419</v>
      </c>
      <c r="G393">
        <f t="shared" si="393"/>
        <v>436</v>
      </c>
      <c r="I393" s="8">
        <f>IFERROR(__xludf.DUMMYFUNCTION("""COMPUTED_VALUE"""),43828.0)</f>
        <v>43828</v>
      </c>
      <c r="J393">
        <f t="shared" si="3"/>
        <v>-17</v>
      </c>
    </row>
    <row r="394">
      <c r="A394" s="8">
        <f>IFERROR(__xludf.DUMMYFUNCTION("""COMPUTED_VALUE"""),43821.0)</f>
        <v>43821</v>
      </c>
      <c r="B394">
        <f>IFERROR(__xludf.DUMMYFUNCTION("""COMPUTED_VALUE"""),2.0)</f>
        <v>2</v>
      </c>
      <c r="C394">
        <f>IFERROR(__xludf.DUMMYFUNCTION("""COMPUTED_VALUE"""),1.0)</f>
        <v>1</v>
      </c>
      <c r="E394" s="8">
        <f>IFERROR(__xludf.DUMMYFUNCTION("""COMPUTED_VALUE"""),43821.0)</f>
        <v>43821</v>
      </c>
      <c r="F394">
        <f t="shared" ref="F394:G394" si="394">B394+F395</f>
        <v>417</v>
      </c>
      <c r="G394">
        <f t="shared" si="394"/>
        <v>433</v>
      </c>
      <c r="I394" s="8">
        <f>IFERROR(__xludf.DUMMYFUNCTION("""COMPUTED_VALUE"""),43821.0)</f>
        <v>43821</v>
      </c>
      <c r="J394">
        <f t="shared" si="3"/>
        <v>-16</v>
      </c>
    </row>
    <row r="395">
      <c r="A395" s="8">
        <f>IFERROR(__xludf.DUMMYFUNCTION("""COMPUTED_VALUE"""),43820.0)</f>
        <v>43820</v>
      </c>
      <c r="B395">
        <f>IFERROR(__xludf.DUMMYFUNCTION("""COMPUTED_VALUE"""),1.0)</f>
        <v>1</v>
      </c>
      <c r="C395">
        <f>IFERROR(__xludf.DUMMYFUNCTION("""COMPUTED_VALUE"""),2.0)</f>
        <v>2</v>
      </c>
      <c r="E395" s="8">
        <f>IFERROR(__xludf.DUMMYFUNCTION("""COMPUTED_VALUE"""),43820.0)</f>
        <v>43820</v>
      </c>
      <c r="F395">
        <f t="shared" ref="F395:G395" si="395">B395+F396</f>
        <v>415</v>
      </c>
      <c r="G395">
        <f t="shared" si="395"/>
        <v>432</v>
      </c>
      <c r="I395" s="8">
        <f>IFERROR(__xludf.DUMMYFUNCTION("""COMPUTED_VALUE"""),43820.0)</f>
        <v>43820</v>
      </c>
      <c r="J395">
        <f t="shared" si="3"/>
        <v>-17</v>
      </c>
    </row>
    <row r="396">
      <c r="A396" s="8">
        <f>IFERROR(__xludf.DUMMYFUNCTION("""COMPUTED_VALUE"""),43814.0)</f>
        <v>43814</v>
      </c>
      <c r="B396">
        <f>IFERROR(__xludf.DUMMYFUNCTION("""COMPUTED_VALUE"""),2.0)</f>
        <v>2</v>
      </c>
      <c r="C396">
        <f>IFERROR(__xludf.DUMMYFUNCTION("""COMPUTED_VALUE"""),1.0)</f>
        <v>1</v>
      </c>
      <c r="E396" s="8">
        <f>IFERROR(__xludf.DUMMYFUNCTION("""COMPUTED_VALUE"""),43814.0)</f>
        <v>43814</v>
      </c>
      <c r="F396">
        <f t="shared" ref="F396:G396" si="396">B396+F397</f>
        <v>414</v>
      </c>
      <c r="G396">
        <f t="shared" si="396"/>
        <v>430</v>
      </c>
      <c r="I396" s="8">
        <f>IFERROR(__xludf.DUMMYFUNCTION("""COMPUTED_VALUE"""),43814.0)</f>
        <v>43814</v>
      </c>
      <c r="J396">
        <f t="shared" si="3"/>
        <v>-16</v>
      </c>
    </row>
    <row r="397">
      <c r="A397" s="8">
        <f>IFERROR(__xludf.DUMMYFUNCTION("""COMPUTED_VALUE"""),43814.0)</f>
        <v>43814</v>
      </c>
      <c r="B397">
        <f>IFERROR(__xludf.DUMMYFUNCTION("""COMPUTED_VALUE"""),2.0)</f>
        <v>2</v>
      </c>
      <c r="C397">
        <f>IFERROR(__xludf.DUMMYFUNCTION("""COMPUTED_VALUE"""),1.0)</f>
        <v>1</v>
      </c>
      <c r="E397" s="8">
        <f>IFERROR(__xludf.DUMMYFUNCTION("""COMPUTED_VALUE"""),43814.0)</f>
        <v>43814</v>
      </c>
      <c r="F397">
        <f t="shared" ref="F397:G397" si="397">B397+F398</f>
        <v>412</v>
      </c>
      <c r="G397">
        <f t="shared" si="397"/>
        <v>429</v>
      </c>
      <c r="I397" s="8">
        <f>IFERROR(__xludf.DUMMYFUNCTION("""COMPUTED_VALUE"""),43814.0)</f>
        <v>43814</v>
      </c>
      <c r="J397">
        <f t="shared" si="3"/>
        <v>-17</v>
      </c>
    </row>
    <row r="398">
      <c r="A398" s="8">
        <f>IFERROR(__xludf.DUMMYFUNCTION("""COMPUTED_VALUE"""),43813.0)</f>
        <v>43813</v>
      </c>
      <c r="B398">
        <f>IFERROR(__xludf.DUMMYFUNCTION("""COMPUTED_VALUE"""),2.0)</f>
        <v>2</v>
      </c>
      <c r="C398">
        <f>IFERROR(__xludf.DUMMYFUNCTION("""COMPUTED_VALUE"""),1.0)</f>
        <v>1</v>
      </c>
      <c r="E398" s="8">
        <f>IFERROR(__xludf.DUMMYFUNCTION("""COMPUTED_VALUE"""),43813.0)</f>
        <v>43813</v>
      </c>
      <c r="F398">
        <f t="shared" ref="F398:G398" si="398">B398+F399</f>
        <v>410</v>
      </c>
      <c r="G398">
        <f t="shared" si="398"/>
        <v>428</v>
      </c>
      <c r="I398" s="8">
        <f>IFERROR(__xludf.DUMMYFUNCTION("""COMPUTED_VALUE"""),43813.0)</f>
        <v>43813</v>
      </c>
      <c r="J398">
        <f t="shared" si="3"/>
        <v>-18</v>
      </c>
    </row>
    <row r="399">
      <c r="A399" s="8">
        <f>IFERROR(__xludf.DUMMYFUNCTION("""COMPUTED_VALUE"""),43813.0)</f>
        <v>43813</v>
      </c>
      <c r="B399">
        <f>IFERROR(__xludf.DUMMYFUNCTION("""COMPUTED_VALUE"""),2.0)</f>
        <v>2</v>
      </c>
      <c r="C399">
        <f>IFERROR(__xludf.DUMMYFUNCTION("""COMPUTED_VALUE"""),3.0)</f>
        <v>3</v>
      </c>
      <c r="E399" s="8">
        <f>IFERROR(__xludf.DUMMYFUNCTION("""COMPUTED_VALUE"""),43813.0)</f>
        <v>43813</v>
      </c>
      <c r="F399">
        <f t="shared" ref="F399:G399" si="399">B399+F400</f>
        <v>408</v>
      </c>
      <c r="G399">
        <f t="shared" si="399"/>
        <v>427</v>
      </c>
      <c r="I399" s="8">
        <f>IFERROR(__xludf.DUMMYFUNCTION("""COMPUTED_VALUE"""),43813.0)</f>
        <v>43813</v>
      </c>
      <c r="J399">
        <f t="shared" si="3"/>
        <v>-19</v>
      </c>
    </row>
    <row r="400">
      <c r="A400" s="8">
        <f>IFERROR(__xludf.DUMMYFUNCTION("""COMPUTED_VALUE"""),43810.0)</f>
        <v>43810</v>
      </c>
      <c r="B400">
        <f>IFERROR(__xludf.DUMMYFUNCTION("""COMPUTED_VALUE"""),2.0)</f>
        <v>2</v>
      </c>
      <c r="C400">
        <f>IFERROR(__xludf.DUMMYFUNCTION("""COMPUTED_VALUE"""),1.0)</f>
        <v>1</v>
      </c>
      <c r="E400" s="8">
        <f>IFERROR(__xludf.DUMMYFUNCTION("""COMPUTED_VALUE"""),43810.0)</f>
        <v>43810</v>
      </c>
      <c r="F400">
        <f t="shared" ref="F400:G400" si="400">B400+F401</f>
        <v>406</v>
      </c>
      <c r="G400">
        <f t="shared" si="400"/>
        <v>424</v>
      </c>
      <c r="I400" s="8">
        <f>IFERROR(__xludf.DUMMYFUNCTION("""COMPUTED_VALUE"""),43810.0)</f>
        <v>43810</v>
      </c>
      <c r="J400">
        <f t="shared" si="3"/>
        <v>-18</v>
      </c>
    </row>
    <row r="401">
      <c r="A401" s="8">
        <f>IFERROR(__xludf.DUMMYFUNCTION("""COMPUTED_VALUE"""),43810.0)</f>
        <v>43810</v>
      </c>
      <c r="B401">
        <f>IFERROR(__xludf.DUMMYFUNCTION("""COMPUTED_VALUE"""),2.0)</f>
        <v>2</v>
      </c>
      <c r="C401">
        <f>IFERROR(__xludf.DUMMYFUNCTION("""COMPUTED_VALUE"""),1.0)</f>
        <v>1</v>
      </c>
      <c r="E401" s="8">
        <f>IFERROR(__xludf.DUMMYFUNCTION("""COMPUTED_VALUE"""),43810.0)</f>
        <v>43810</v>
      </c>
      <c r="F401">
        <f t="shared" ref="F401:G401" si="401">B401+F402</f>
        <v>404</v>
      </c>
      <c r="G401">
        <f t="shared" si="401"/>
        <v>423</v>
      </c>
      <c r="I401" s="8">
        <f>IFERROR(__xludf.DUMMYFUNCTION("""COMPUTED_VALUE"""),43810.0)</f>
        <v>43810</v>
      </c>
      <c r="J401">
        <f t="shared" si="3"/>
        <v>-19</v>
      </c>
    </row>
    <row r="402">
      <c r="A402" s="8">
        <f>IFERROR(__xludf.DUMMYFUNCTION("""COMPUTED_VALUE"""),43800.0)</f>
        <v>43800</v>
      </c>
      <c r="B402">
        <f>IFERROR(__xludf.DUMMYFUNCTION("""COMPUTED_VALUE"""),4.0)</f>
        <v>4</v>
      </c>
      <c r="C402">
        <f>IFERROR(__xludf.DUMMYFUNCTION("""COMPUTED_VALUE"""),1.0)</f>
        <v>1</v>
      </c>
      <c r="E402" s="8">
        <f>IFERROR(__xludf.DUMMYFUNCTION("""COMPUTED_VALUE"""),43800.0)</f>
        <v>43800</v>
      </c>
      <c r="F402">
        <f t="shared" ref="F402:G402" si="402">B402+F403</f>
        <v>402</v>
      </c>
      <c r="G402">
        <f t="shared" si="402"/>
        <v>422</v>
      </c>
      <c r="I402" s="8">
        <f>IFERROR(__xludf.DUMMYFUNCTION("""COMPUTED_VALUE"""),43800.0)</f>
        <v>43800</v>
      </c>
      <c r="J402">
        <f t="shared" si="3"/>
        <v>-20</v>
      </c>
    </row>
    <row r="403">
      <c r="A403" s="8">
        <f>IFERROR(__xludf.DUMMYFUNCTION("""COMPUTED_VALUE"""),43800.0)</f>
        <v>43800</v>
      </c>
      <c r="B403">
        <f>IFERROR(__xludf.DUMMYFUNCTION("""COMPUTED_VALUE"""),3.0)</f>
        <v>3</v>
      </c>
      <c r="C403">
        <f>IFERROR(__xludf.DUMMYFUNCTION("""COMPUTED_VALUE"""),2.0)</f>
        <v>2</v>
      </c>
      <c r="E403" s="8">
        <f>IFERROR(__xludf.DUMMYFUNCTION("""COMPUTED_VALUE"""),43800.0)</f>
        <v>43800</v>
      </c>
      <c r="F403">
        <f t="shared" ref="F403:G403" si="403">B403+F404</f>
        <v>398</v>
      </c>
      <c r="G403">
        <f t="shared" si="403"/>
        <v>421</v>
      </c>
      <c r="I403" s="8">
        <f>IFERROR(__xludf.DUMMYFUNCTION("""COMPUTED_VALUE"""),43800.0)</f>
        <v>43800</v>
      </c>
      <c r="J403">
        <f t="shared" si="3"/>
        <v>-23</v>
      </c>
    </row>
    <row r="404">
      <c r="A404" s="8">
        <f>IFERROR(__xludf.DUMMYFUNCTION("""COMPUTED_VALUE"""),43799.0)</f>
        <v>43799</v>
      </c>
      <c r="B404">
        <f>IFERROR(__xludf.DUMMYFUNCTION("""COMPUTED_VALUE"""),3.0)</f>
        <v>3</v>
      </c>
      <c r="C404">
        <f>IFERROR(__xludf.DUMMYFUNCTION("""COMPUTED_VALUE"""),2.0)</f>
        <v>2</v>
      </c>
      <c r="E404" s="8">
        <f>IFERROR(__xludf.DUMMYFUNCTION("""COMPUTED_VALUE"""),43799.0)</f>
        <v>43799</v>
      </c>
      <c r="F404">
        <f t="shared" ref="F404:G404" si="404">B404+F405</f>
        <v>395</v>
      </c>
      <c r="G404">
        <f t="shared" si="404"/>
        <v>419</v>
      </c>
      <c r="I404" s="8">
        <f>IFERROR(__xludf.DUMMYFUNCTION("""COMPUTED_VALUE"""),43799.0)</f>
        <v>43799</v>
      </c>
      <c r="J404">
        <f t="shared" si="3"/>
        <v>-24</v>
      </c>
    </row>
    <row r="405">
      <c r="A405" s="8">
        <f>IFERROR(__xludf.DUMMYFUNCTION("""COMPUTED_VALUE"""),43799.0)</f>
        <v>43799</v>
      </c>
      <c r="B405">
        <f>IFERROR(__xludf.DUMMYFUNCTION("""COMPUTED_VALUE"""),1.0)</f>
        <v>1</v>
      </c>
      <c r="C405">
        <f>IFERROR(__xludf.DUMMYFUNCTION("""COMPUTED_VALUE"""),2.0)</f>
        <v>2</v>
      </c>
      <c r="E405" s="8">
        <f>IFERROR(__xludf.DUMMYFUNCTION("""COMPUTED_VALUE"""),43799.0)</f>
        <v>43799</v>
      </c>
      <c r="F405">
        <f t="shared" ref="F405:G405" si="405">B405+F406</f>
        <v>392</v>
      </c>
      <c r="G405">
        <f t="shared" si="405"/>
        <v>417</v>
      </c>
      <c r="I405" s="8">
        <f>IFERROR(__xludf.DUMMYFUNCTION("""COMPUTED_VALUE"""),43799.0)</f>
        <v>43799</v>
      </c>
      <c r="J405">
        <f t="shared" si="3"/>
        <v>-25</v>
      </c>
    </row>
    <row r="406">
      <c r="A406" s="8">
        <f>IFERROR(__xludf.DUMMYFUNCTION("""COMPUTED_VALUE"""),43799.0)</f>
        <v>43799</v>
      </c>
      <c r="B406">
        <f>IFERROR(__xludf.DUMMYFUNCTION("""COMPUTED_VALUE"""),2.0)</f>
        <v>2</v>
      </c>
      <c r="C406">
        <f>IFERROR(__xludf.DUMMYFUNCTION("""COMPUTED_VALUE"""),1.0)</f>
        <v>1</v>
      </c>
      <c r="E406" s="8">
        <f>IFERROR(__xludf.DUMMYFUNCTION("""COMPUTED_VALUE"""),43799.0)</f>
        <v>43799</v>
      </c>
      <c r="F406">
        <f t="shared" ref="F406:G406" si="406">B406+F407</f>
        <v>391</v>
      </c>
      <c r="G406">
        <f t="shared" si="406"/>
        <v>415</v>
      </c>
      <c r="I406" s="8">
        <f>IFERROR(__xludf.DUMMYFUNCTION("""COMPUTED_VALUE"""),43799.0)</f>
        <v>43799</v>
      </c>
      <c r="J406">
        <f t="shared" si="3"/>
        <v>-24</v>
      </c>
    </row>
    <row r="407">
      <c r="A407" s="8">
        <f>IFERROR(__xludf.DUMMYFUNCTION("""COMPUTED_VALUE"""),43798.0)</f>
        <v>43798</v>
      </c>
      <c r="B407">
        <f>IFERROR(__xludf.DUMMYFUNCTION("""COMPUTED_VALUE"""),1.0)</f>
        <v>1</v>
      </c>
      <c r="C407">
        <f>IFERROR(__xludf.DUMMYFUNCTION("""COMPUTED_VALUE"""),2.0)</f>
        <v>2</v>
      </c>
      <c r="E407" s="8">
        <f>IFERROR(__xludf.DUMMYFUNCTION("""COMPUTED_VALUE"""),43798.0)</f>
        <v>43798</v>
      </c>
      <c r="F407">
        <f t="shared" ref="F407:G407" si="407">B407+F408</f>
        <v>389</v>
      </c>
      <c r="G407">
        <f t="shared" si="407"/>
        <v>414</v>
      </c>
      <c r="I407" s="8">
        <f>IFERROR(__xludf.DUMMYFUNCTION("""COMPUTED_VALUE"""),43798.0)</f>
        <v>43798</v>
      </c>
      <c r="J407">
        <f t="shared" si="3"/>
        <v>-25</v>
      </c>
    </row>
    <row r="408">
      <c r="A408" s="8">
        <f>IFERROR(__xludf.DUMMYFUNCTION("""COMPUTED_VALUE"""),43793.0)</f>
        <v>43793</v>
      </c>
      <c r="B408">
        <f>IFERROR(__xludf.DUMMYFUNCTION("""COMPUTED_VALUE"""),2.0)</f>
        <v>2</v>
      </c>
      <c r="C408">
        <f>IFERROR(__xludf.DUMMYFUNCTION("""COMPUTED_VALUE"""),3.0)</f>
        <v>3</v>
      </c>
      <c r="E408" s="8">
        <f>IFERROR(__xludf.DUMMYFUNCTION("""COMPUTED_VALUE"""),43793.0)</f>
        <v>43793</v>
      </c>
      <c r="F408">
        <f t="shared" ref="F408:G408" si="408">B408+F409</f>
        <v>388</v>
      </c>
      <c r="G408">
        <f t="shared" si="408"/>
        <v>412</v>
      </c>
      <c r="I408" s="8">
        <f>IFERROR(__xludf.DUMMYFUNCTION("""COMPUTED_VALUE"""),43793.0)</f>
        <v>43793</v>
      </c>
      <c r="J408">
        <f t="shared" si="3"/>
        <v>-24</v>
      </c>
    </row>
    <row r="409">
      <c r="A409" s="8">
        <f>IFERROR(__xludf.DUMMYFUNCTION("""COMPUTED_VALUE"""),43792.0)</f>
        <v>43792</v>
      </c>
      <c r="B409">
        <f>IFERROR(__xludf.DUMMYFUNCTION("""COMPUTED_VALUE"""),3.0)</f>
        <v>3</v>
      </c>
      <c r="C409">
        <f>IFERROR(__xludf.DUMMYFUNCTION("""COMPUTED_VALUE"""),1.0)</f>
        <v>1</v>
      </c>
      <c r="E409" s="8">
        <f>IFERROR(__xludf.DUMMYFUNCTION("""COMPUTED_VALUE"""),43792.0)</f>
        <v>43792</v>
      </c>
      <c r="F409">
        <f t="shared" ref="F409:G409" si="409">B409+F410</f>
        <v>386</v>
      </c>
      <c r="G409">
        <f t="shared" si="409"/>
        <v>409</v>
      </c>
      <c r="I409" s="8">
        <f>IFERROR(__xludf.DUMMYFUNCTION("""COMPUTED_VALUE"""),43792.0)</f>
        <v>43792</v>
      </c>
      <c r="J409">
        <f t="shared" si="3"/>
        <v>-23</v>
      </c>
    </row>
    <row r="410">
      <c r="A410" s="8">
        <f>IFERROR(__xludf.DUMMYFUNCTION("""COMPUTED_VALUE"""),43772.0)</f>
        <v>43772</v>
      </c>
      <c r="B410">
        <f>IFERROR(__xludf.DUMMYFUNCTION("""COMPUTED_VALUE"""),1.0)</f>
        <v>1</v>
      </c>
      <c r="C410">
        <f>IFERROR(__xludf.DUMMYFUNCTION("""COMPUTED_VALUE"""),3.0)</f>
        <v>3</v>
      </c>
      <c r="E410" s="8">
        <f>IFERROR(__xludf.DUMMYFUNCTION("""COMPUTED_VALUE"""),43772.0)</f>
        <v>43772</v>
      </c>
      <c r="F410">
        <f t="shared" ref="F410:G410" si="410">B410+F411</f>
        <v>383</v>
      </c>
      <c r="G410">
        <f t="shared" si="410"/>
        <v>408</v>
      </c>
      <c r="I410" s="8">
        <f>IFERROR(__xludf.DUMMYFUNCTION("""COMPUTED_VALUE"""),43772.0)</f>
        <v>43772</v>
      </c>
      <c r="J410">
        <f t="shared" si="3"/>
        <v>-25</v>
      </c>
    </row>
    <row r="411">
      <c r="A411" s="8">
        <f>IFERROR(__xludf.DUMMYFUNCTION("""COMPUTED_VALUE"""),43771.0)</f>
        <v>43771</v>
      </c>
      <c r="B411">
        <f>IFERROR(__xludf.DUMMYFUNCTION("""COMPUTED_VALUE"""),2.0)</f>
        <v>2</v>
      </c>
      <c r="C411">
        <f>IFERROR(__xludf.DUMMYFUNCTION("""COMPUTED_VALUE"""),3.0)</f>
        <v>3</v>
      </c>
      <c r="E411" s="8">
        <f>IFERROR(__xludf.DUMMYFUNCTION("""COMPUTED_VALUE"""),43771.0)</f>
        <v>43771</v>
      </c>
      <c r="F411">
        <f t="shared" ref="F411:G411" si="411">B411+F412</f>
        <v>382</v>
      </c>
      <c r="G411">
        <f t="shared" si="411"/>
        <v>405</v>
      </c>
      <c r="I411" s="8">
        <f>IFERROR(__xludf.DUMMYFUNCTION("""COMPUTED_VALUE"""),43771.0)</f>
        <v>43771</v>
      </c>
      <c r="J411">
        <f t="shared" si="3"/>
        <v>-23</v>
      </c>
    </row>
    <row r="412">
      <c r="A412" s="8">
        <f>IFERROR(__xludf.DUMMYFUNCTION("""COMPUTED_VALUE"""),43765.0)</f>
        <v>43765</v>
      </c>
      <c r="B412">
        <f>IFERROR(__xludf.DUMMYFUNCTION("""COMPUTED_VALUE"""),2.0)</f>
        <v>2</v>
      </c>
      <c r="C412">
        <f>IFERROR(__xludf.DUMMYFUNCTION("""COMPUTED_VALUE"""),1.0)</f>
        <v>1</v>
      </c>
      <c r="E412" s="8">
        <f>IFERROR(__xludf.DUMMYFUNCTION("""COMPUTED_VALUE"""),43765.0)</f>
        <v>43765</v>
      </c>
      <c r="F412">
        <f t="shared" ref="F412:G412" si="412">B412+F413</f>
        <v>380</v>
      </c>
      <c r="G412">
        <f t="shared" si="412"/>
        <v>402</v>
      </c>
      <c r="I412" s="8">
        <f>IFERROR(__xludf.DUMMYFUNCTION("""COMPUTED_VALUE"""),43765.0)</f>
        <v>43765</v>
      </c>
      <c r="J412">
        <f t="shared" si="3"/>
        <v>-22</v>
      </c>
    </row>
    <row r="413">
      <c r="A413" s="8">
        <f>IFERROR(__xludf.DUMMYFUNCTION("""COMPUTED_VALUE"""),43744.0)</f>
        <v>43744</v>
      </c>
      <c r="B413">
        <f>IFERROR(__xludf.DUMMYFUNCTION("""COMPUTED_VALUE"""),1.0)</f>
        <v>1</v>
      </c>
      <c r="C413">
        <f>IFERROR(__xludf.DUMMYFUNCTION("""COMPUTED_VALUE"""),2.0)</f>
        <v>2</v>
      </c>
      <c r="E413" s="8">
        <f>IFERROR(__xludf.DUMMYFUNCTION("""COMPUTED_VALUE"""),43744.0)</f>
        <v>43744</v>
      </c>
      <c r="F413">
        <f t="shared" ref="F413:G413" si="413">B413+F414</f>
        <v>378</v>
      </c>
      <c r="G413">
        <f t="shared" si="413"/>
        <v>401</v>
      </c>
      <c r="I413" s="8">
        <f>IFERROR(__xludf.DUMMYFUNCTION("""COMPUTED_VALUE"""),43744.0)</f>
        <v>43744</v>
      </c>
      <c r="J413">
        <f t="shared" si="3"/>
        <v>-23</v>
      </c>
    </row>
    <row r="414">
      <c r="A414" s="8">
        <f>IFERROR(__xludf.DUMMYFUNCTION("""COMPUTED_VALUE"""),43736.0)</f>
        <v>43736</v>
      </c>
      <c r="B414">
        <f>IFERROR(__xludf.DUMMYFUNCTION("""COMPUTED_VALUE"""),1.0)</f>
        <v>1</v>
      </c>
      <c r="C414">
        <f>IFERROR(__xludf.DUMMYFUNCTION("""COMPUTED_VALUE"""),2.0)</f>
        <v>2</v>
      </c>
      <c r="E414" s="8">
        <f>IFERROR(__xludf.DUMMYFUNCTION("""COMPUTED_VALUE"""),43736.0)</f>
        <v>43736</v>
      </c>
      <c r="F414">
        <f t="shared" ref="F414:G414" si="414">B414+F415</f>
        <v>377</v>
      </c>
      <c r="G414">
        <f t="shared" si="414"/>
        <v>399</v>
      </c>
      <c r="I414" s="8">
        <f>IFERROR(__xludf.DUMMYFUNCTION("""COMPUTED_VALUE"""),43736.0)</f>
        <v>43736</v>
      </c>
      <c r="J414">
        <f t="shared" si="3"/>
        <v>-22</v>
      </c>
    </row>
    <row r="415">
      <c r="A415" s="8">
        <f>IFERROR(__xludf.DUMMYFUNCTION("""COMPUTED_VALUE"""),43722.0)</f>
        <v>43722</v>
      </c>
      <c r="B415">
        <f>IFERROR(__xludf.DUMMYFUNCTION("""COMPUTED_VALUE"""),2.0)</f>
        <v>2</v>
      </c>
      <c r="C415">
        <f>IFERROR(__xludf.DUMMYFUNCTION("""COMPUTED_VALUE"""),3.0)</f>
        <v>3</v>
      </c>
      <c r="E415" s="8">
        <f>IFERROR(__xludf.DUMMYFUNCTION("""COMPUTED_VALUE"""),43722.0)</f>
        <v>43722</v>
      </c>
      <c r="F415">
        <f t="shared" ref="F415:G415" si="415">B415+F416</f>
        <v>376</v>
      </c>
      <c r="G415">
        <f t="shared" si="415"/>
        <v>397</v>
      </c>
      <c r="I415" s="8">
        <f>IFERROR(__xludf.DUMMYFUNCTION("""COMPUTED_VALUE"""),43722.0)</f>
        <v>43722</v>
      </c>
      <c r="J415">
        <f t="shared" si="3"/>
        <v>-21</v>
      </c>
    </row>
    <row r="416">
      <c r="A416" s="8">
        <f>IFERROR(__xludf.DUMMYFUNCTION("""COMPUTED_VALUE"""),43716.0)</f>
        <v>43716</v>
      </c>
      <c r="B416">
        <f>IFERROR(__xludf.DUMMYFUNCTION("""COMPUTED_VALUE"""),3.0)</f>
        <v>3</v>
      </c>
      <c r="C416">
        <f>IFERROR(__xludf.DUMMYFUNCTION("""COMPUTED_VALUE"""),1.0)</f>
        <v>1</v>
      </c>
      <c r="E416" s="8">
        <f>IFERROR(__xludf.DUMMYFUNCTION("""COMPUTED_VALUE"""),43716.0)</f>
        <v>43716</v>
      </c>
      <c r="F416">
        <f t="shared" ref="F416:G416" si="416">B416+F417</f>
        <v>374</v>
      </c>
      <c r="G416">
        <f t="shared" si="416"/>
        <v>394</v>
      </c>
      <c r="I416" s="8">
        <f>IFERROR(__xludf.DUMMYFUNCTION("""COMPUTED_VALUE"""),43716.0)</f>
        <v>43716</v>
      </c>
      <c r="J416">
        <f t="shared" si="3"/>
        <v>-20</v>
      </c>
    </row>
    <row r="417">
      <c r="A417" s="8">
        <f>IFERROR(__xludf.DUMMYFUNCTION("""COMPUTED_VALUE"""),43715.0)</f>
        <v>43715</v>
      </c>
      <c r="B417">
        <f>IFERROR(__xludf.DUMMYFUNCTION("""COMPUTED_VALUE"""),1.0)</f>
        <v>1</v>
      </c>
      <c r="C417">
        <f>IFERROR(__xludf.DUMMYFUNCTION("""COMPUTED_VALUE"""),3.0)</f>
        <v>3</v>
      </c>
      <c r="E417" s="8">
        <f>IFERROR(__xludf.DUMMYFUNCTION("""COMPUTED_VALUE"""),43715.0)</f>
        <v>43715</v>
      </c>
      <c r="F417">
        <f t="shared" ref="F417:G417" si="417">B417+F418</f>
        <v>371</v>
      </c>
      <c r="G417">
        <f t="shared" si="417"/>
        <v>393</v>
      </c>
      <c r="I417" s="8">
        <f>IFERROR(__xludf.DUMMYFUNCTION("""COMPUTED_VALUE"""),43715.0)</f>
        <v>43715</v>
      </c>
      <c r="J417">
        <f t="shared" si="3"/>
        <v>-22</v>
      </c>
    </row>
    <row r="418">
      <c r="A418" s="8">
        <f>IFERROR(__xludf.DUMMYFUNCTION("""COMPUTED_VALUE"""),43715.0)</f>
        <v>43715</v>
      </c>
      <c r="B418">
        <f>IFERROR(__xludf.DUMMYFUNCTION("""COMPUTED_VALUE"""),3.0)</f>
        <v>3</v>
      </c>
      <c r="C418">
        <f>IFERROR(__xludf.DUMMYFUNCTION("""COMPUTED_VALUE"""),3.0)</f>
        <v>3</v>
      </c>
      <c r="E418" s="8">
        <f>IFERROR(__xludf.DUMMYFUNCTION("""COMPUTED_VALUE"""),43715.0)</f>
        <v>43715</v>
      </c>
      <c r="F418">
        <f t="shared" ref="F418:G418" si="418">B418+F419</f>
        <v>370</v>
      </c>
      <c r="G418">
        <f t="shared" si="418"/>
        <v>390</v>
      </c>
      <c r="I418" s="8">
        <f>IFERROR(__xludf.DUMMYFUNCTION("""COMPUTED_VALUE"""),43715.0)</f>
        <v>43715</v>
      </c>
      <c r="J418">
        <f t="shared" si="3"/>
        <v>-20</v>
      </c>
    </row>
    <row r="419">
      <c r="A419" s="8">
        <f>IFERROR(__xludf.DUMMYFUNCTION("""COMPUTED_VALUE"""),43710.0)</f>
        <v>43710</v>
      </c>
      <c r="B419">
        <f>IFERROR(__xludf.DUMMYFUNCTION("""COMPUTED_VALUE"""),2.0)</f>
        <v>2</v>
      </c>
      <c r="C419">
        <f>IFERROR(__xludf.DUMMYFUNCTION("""COMPUTED_VALUE"""),4.0)</f>
        <v>4</v>
      </c>
      <c r="E419" s="8">
        <f>IFERROR(__xludf.DUMMYFUNCTION("""COMPUTED_VALUE"""),43710.0)</f>
        <v>43710</v>
      </c>
      <c r="F419">
        <f t="shared" ref="F419:G419" si="419">B419+F420</f>
        <v>367</v>
      </c>
      <c r="G419">
        <f t="shared" si="419"/>
        <v>387</v>
      </c>
      <c r="I419" s="8">
        <f>IFERROR(__xludf.DUMMYFUNCTION("""COMPUTED_VALUE"""),43710.0)</f>
        <v>43710</v>
      </c>
      <c r="J419">
        <f t="shared" si="3"/>
        <v>-20</v>
      </c>
    </row>
    <row r="420">
      <c r="A420" s="8">
        <f>IFERROR(__xludf.DUMMYFUNCTION("""COMPUTED_VALUE"""),43710.0)</f>
        <v>43710</v>
      </c>
      <c r="B420">
        <f>IFERROR(__xludf.DUMMYFUNCTION("""COMPUTED_VALUE"""),1.0)</f>
        <v>1</v>
      </c>
      <c r="C420">
        <f>IFERROR(__xludf.DUMMYFUNCTION("""COMPUTED_VALUE"""),2.0)</f>
        <v>2</v>
      </c>
      <c r="E420" s="8">
        <f>IFERROR(__xludf.DUMMYFUNCTION("""COMPUTED_VALUE"""),43710.0)</f>
        <v>43710</v>
      </c>
      <c r="F420">
        <f t="shared" ref="F420:G420" si="420">B420+F421</f>
        <v>365</v>
      </c>
      <c r="G420">
        <f t="shared" si="420"/>
        <v>383</v>
      </c>
      <c r="I420" s="8">
        <f>IFERROR(__xludf.DUMMYFUNCTION("""COMPUTED_VALUE"""),43710.0)</f>
        <v>43710</v>
      </c>
      <c r="J420">
        <f t="shared" si="3"/>
        <v>-18</v>
      </c>
    </row>
    <row r="421">
      <c r="A421" s="8">
        <f>IFERROR(__xludf.DUMMYFUNCTION("""COMPUTED_VALUE"""),43709.0)</f>
        <v>43709</v>
      </c>
      <c r="B421">
        <f>IFERROR(__xludf.DUMMYFUNCTION("""COMPUTED_VALUE"""),1.0)</f>
        <v>1</v>
      </c>
      <c r="C421">
        <f>IFERROR(__xludf.DUMMYFUNCTION("""COMPUTED_VALUE"""),3.0)</f>
        <v>3</v>
      </c>
      <c r="E421" s="8">
        <f>IFERROR(__xludf.DUMMYFUNCTION("""COMPUTED_VALUE"""),43709.0)</f>
        <v>43709</v>
      </c>
      <c r="F421">
        <f t="shared" ref="F421:G421" si="421">B421+F422</f>
        <v>364</v>
      </c>
      <c r="G421">
        <f t="shared" si="421"/>
        <v>381</v>
      </c>
      <c r="I421" s="8">
        <f>IFERROR(__xludf.DUMMYFUNCTION("""COMPUTED_VALUE"""),43709.0)</f>
        <v>43709</v>
      </c>
      <c r="J421">
        <f t="shared" si="3"/>
        <v>-17</v>
      </c>
    </row>
    <row r="422">
      <c r="A422" s="8">
        <f>IFERROR(__xludf.DUMMYFUNCTION("""COMPUTED_VALUE"""),43709.0)</f>
        <v>43709</v>
      </c>
      <c r="B422">
        <f>IFERROR(__xludf.DUMMYFUNCTION("""COMPUTED_VALUE"""),1.0)</f>
        <v>1</v>
      </c>
      <c r="C422">
        <f>IFERROR(__xludf.DUMMYFUNCTION("""COMPUTED_VALUE"""),2.0)</f>
        <v>2</v>
      </c>
      <c r="E422" s="8">
        <f>IFERROR(__xludf.DUMMYFUNCTION("""COMPUTED_VALUE"""),43709.0)</f>
        <v>43709</v>
      </c>
      <c r="F422">
        <f t="shared" ref="F422:G422" si="422">B422+F423</f>
        <v>363</v>
      </c>
      <c r="G422">
        <f t="shared" si="422"/>
        <v>378</v>
      </c>
      <c r="I422" s="8">
        <f>IFERROR(__xludf.DUMMYFUNCTION("""COMPUTED_VALUE"""),43709.0)</f>
        <v>43709</v>
      </c>
      <c r="J422">
        <f t="shared" si="3"/>
        <v>-15</v>
      </c>
    </row>
    <row r="423">
      <c r="A423" s="8">
        <f>IFERROR(__xludf.DUMMYFUNCTION("""COMPUTED_VALUE"""),43708.0)</f>
        <v>43708</v>
      </c>
      <c r="B423">
        <f>IFERROR(__xludf.DUMMYFUNCTION("""COMPUTED_VALUE"""),2.0)</f>
        <v>2</v>
      </c>
      <c r="C423">
        <f>IFERROR(__xludf.DUMMYFUNCTION("""COMPUTED_VALUE"""),3.0)</f>
        <v>3</v>
      </c>
      <c r="E423" s="8">
        <f>IFERROR(__xludf.DUMMYFUNCTION("""COMPUTED_VALUE"""),43708.0)</f>
        <v>43708</v>
      </c>
      <c r="F423">
        <f t="shared" ref="F423:G423" si="423">B423+F424</f>
        <v>362</v>
      </c>
      <c r="G423">
        <f t="shared" si="423"/>
        <v>376</v>
      </c>
      <c r="I423" s="8">
        <f>IFERROR(__xludf.DUMMYFUNCTION("""COMPUTED_VALUE"""),43708.0)</f>
        <v>43708</v>
      </c>
      <c r="J423">
        <f t="shared" si="3"/>
        <v>-14</v>
      </c>
    </row>
    <row r="424">
      <c r="A424" s="8">
        <f>IFERROR(__xludf.DUMMYFUNCTION("""COMPUTED_VALUE"""),43708.0)</f>
        <v>43708</v>
      </c>
      <c r="B424">
        <f>IFERROR(__xludf.DUMMYFUNCTION("""COMPUTED_VALUE"""),1.0)</f>
        <v>1</v>
      </c>
      <c r="C424">
        <f>IFERROR(__xludf.DUMMYFUNCTION("""COMPUTED_VALUE"""),2.0)</f>
        <v>2</v>
      </c>
      <c r="E424" s="8">
        <f>IFERROR(__xludf.DUMMYFUNCTION("""COMPUTED_VALUE"""),43708.0)</f>
        <v>43708</v>
      </c>
      <c r="F424">
        <f t="shared" ref="F424:G424" si="424">B424+F425</f>
        <v>360</v>
      </c>
      <c r="G424">
        <f t="shared" si="424"/>
        <v>373</v>
      </c>
      <c r="I424" s="8">
        <f>IFERROR(__xludf.DUMMYFUNCTION("""COMPUTED_VALUE"""),43708.0)</f>
        <v>43708</v>
      </c>
      <c r="J424">
        <f t="shared" si="3"/>
        <v>-13</v>
      </c>
    </row>
    <row r="425">
      <c r="A425" s="8">
        <f>IFERROR(__xludf.DUMMYFUNCTION("""COMPUTED_VALUE"""),43702.0)</f>
        <v>43702</v>
      </c>
      <c r="B425">
        <f>IFERROR(__xludf.DUMMYFUNCTION("""COMPUTED_VALUE"""),1.0)</f>
        <v>1</v>
      </c>
      <c r="C425">
        <f>IFERROR(__xludf.DUMMYFUNCTION("""COMPUTED_VALUE"""),2.0)</f>
        <v>2</v>
      </c>
      <c r="E425" s="8">
        <f>IFERROR(__xludf.DUMMYFUNCTION("""COMPUTED_VALUE"""),43702.0)</f>
        <v>43702</v>
      </c>
      <c r="F425">
        <f t="shared" ref="F425:G425" si="425">B425+F426</f>
        <v>359</v>
      </c>
      <c r="G425">
        <f t="shared" si="425"/>
        <v>371</v>
      </c>
      <c r="I425" s="8">
        <f>IFERROR(__xludf.DUMMYFUNCTION("""COMPUTED_VALUE"""),43702.0)</f>
        <v>43702</v>
      </c>
      <c r="J425">
        <f t="shared" si="3"/>
        <v>-12</v>
      </c>
    </row>
    <row r="426">
      <c r="A426" s="8">
        <f>IFERROR(__xludf.DUMMYFUNCTION("""COMPUTED_VALUE"""),43702.0)</f>
        <v>43702</v>
      </c>
      <c r="B426">
        <f>IFERROR(__xludf.DUMMYFUNCTION("""COMPUTED_VALUE"""),1.0)</f>
        <v>1</v>
      </c>
      <c r="C426">
        <f>IFERROR(__xludf.DUMMYFUNCTION("""COMPUTED_VALUE"""),2.0)</f>
        <v>2</v>
      </c>
      <c r="E426" s="8">
        <f>IFERROR(__xludf.DUMMYFUNCTION("""COMPUTED_VALUE"""),43702.0)</f>
        <v>43702</v>
      </c>
      <c r="F426">
        <f t="shared" ref="F426:G426" si="426">B426+F427</f>
        <v>358</v>
      </c>
      <c r="G426">
        <f t="shared" si="426"/>
        <v>369</v>
      </c>
      <c r="I426" s="8">
        <f>IFERROR(__xludf.DUMMYFUNCTION("""COMPUTED_VALUE"""),43702.0)</f>
        <v>43702</v>
      </c>
      <c r="J426">
        <f t="shared" si="3"/>
        <v>-11</v>
      </c>
    </row>
    <row r="427">
      <c r="A427" s="8">
        <f>IFERROR(__xludf.DUMMYFUNCTION("""COMPUTED_VALUE"""),43702.0)</f>
        <v>43702</v>
      </c>
      <c r="B427">
        <f>IFERROR(__xludf.DUMMYFUNCTION("""COMPUTED_VALUE"""),3.0)</f>
        <v>3</v>
      </c>
      <c r="C427">
        <f>IFERROR(__xludf.DUMMYFUNCTION("""COMPUTED_VALUE"""),2.0)</f>
        <v>2</v>
      </c>
      <c r="E427" s="8">
        <f>IFERROR(__xludf.DUMMYFUNCTION("""COMPUTED_VALUE"""),43702.0)</f>
        <v>43702</v>
      </c>
      <c r="F427">
        <f t="shared" ref="F427:G427" si="427">B427+F428</f>
        <v>357</v>
      </c>
      <c r="G427">
        <f t="shared" si="427"/>
        <v>367</v>
      </c>
      <c r="I427" s="8">
        <f>IFERROR(__xludf.DUMMYFUNCTION("""COMPUTED_VALUE"""),43702.0)</f>
        <v>43702</v>
      </c>
      <c r="J427">
        <f t="shared" si="3"/>
        <v>-10</v>
      </c>
    </row>
    <row r="428">
      <c r="A428" s="8">
        <f>IFERROR(__xludf.DUMMYFUNCTION("""COMPUTED_VALUE"""),43702.0)</f>
        <v>43702</v>
      </c>
      <c r="B428">
        <f>IFERROR(__xludf.DUMMYFUNCTION("""COMPUTED_VALUE"""),2.0)</f>
        <v>2</v>
      </c>
      <c r="C428">
        <f>IFERROR(__xludf.DUMMYFUNCTION("""COMPUTED_VALUE"""),1.0)</f>
        <v>1</v>
      </c>
      <c r="E428" s="8">
        <f>IFERROR(__xludf.DUMMYFUNCTION("""COMPUTED_VALUE"""),43702.0)</f>
        <v>43702</v>
      </c>
      <c r="F428">
        <f t="shared" ref="F428:G428" si="428">B428+F429</f>
        <v>354</v>
      </c>
      <c r="G428">
        <f t="shared" si="428"/>
        <v>365</v>
      </c>
      <c r="I428" s="8">
        <f>IFERROR(__xludf.DUMMYFUNCTION("""COMPUTED_VALUE"""),43702.0)</f>
        <v>43702</v>
      </c>
      <c r="J428">
        <f t="shared" si="3"/>
        <v>-11</v>
      </c>
    </row>
    <row r="429">
      <c r="A429" s="8">
        <f>IFERROR(__xludf.DUMMYFUNCTION("""COMPUTED_VALUE"""),43701.0)</f>
        <v>43701</v>
      </c>
      <c r="B429">
        <f>IFERROR(__xludf.DUMMYFUNCTION("""COMPUTED_VALUE"""),2.0)</f>
        <v>2</v>
      </c>
      <c r="C429">
        <f>IFERROR(__xludf.DUMMYFUNCTION("""COMPUTED_VALUE"""),2.0)</f>
        <v>2</v>
      </c>
      <c r="E429" s="8">
        <f>IFERROR(__xludf.DUMMYFUNCTION("""COMPUTED_VALUE"""),43701.0)</f>
        <v>43701</v>
      </c>
      <c r="F429">
        <f t="shared" ref="F429:G429" si="429">B429+F430</f>
        <v>352</v>
      </c>
      <c r="G429">
        <f t="shared" si="429"/>
        <v>364</v>
      </c>
      <c r="I429" s="8">
        <f>IFERROR(__xludf.DUMMYFUNCTION("""COMPUTED_VALUE"""),43701.0)</f>
        <v>43701</v>
      </c>
      <c r="J429">
        <f t="shared" si="3"/>
        <v>-12</v>
      </c>
    </row>
    <row r="430">
      <c r="A430" s="8">
        <f>IFERROR(__xludf.DUMMYFUNCTION("""COMPUTED_VALUE"""),43700.0)</f>
        <v>43700</v>
      </c>
      <c r="B430">
        <f>IFERROR(__xludf.DUMMYFUNCTION("""COMPUTED_VALUE"""),2.0)</f>
        <v>2</v>
      </c>
      <c r="C430">
        <f>IFERROR(__xludf.DUMMYFUNCTION("""COMPUTED_VALUE"""),1.0)</f>
        <v>1</v>
      </c>
      <c r="E430" s="8">
        <f>IFERROR(__xludf.DUMMYFUNCTION("""COMPUTED_VALUE"""),43700.0)</f>
        <v>43700</v>
      </c>
      <c r="F430">
        <f t="shared" ref="F430:G430" si="430">B430+F431</f>
        <v>350</v>
      </c>
      <c r="G430">
        <f t="shared" si="430"/>
        <v>362</v>
      </c>
      <c r="I430" s="8">
        <f>IFERROR(__xludf.DUMMYFUNCTION("""COMPUTED_VALUE"""),43700.0)</f>
        <v>43700</v>
      </c>
      <c r="J430">
        <f t="shared" si="3"/>
        <v>-12</v>
      </c>
    </row>
    <row r="431">
      <c r="A431" s="8">
        <f>IFERROR(__xludf.DUMMYFUNCTION("""COMPUTED_VALUE"""),43695.0)</f>
        <v>43695</v>
      </c>
      <c r="B431">
        <f>IFERROR(__xludf.DUMMYFUNCTION("""COMPUTED_VALUE"""),1.0)</f>
        <v>1</v>
      </c>
      <c r="C431">
        <f>IFERROR(__xludf.DUMMYFUNCTION("""COMPUTED_VALUE"""),2.0)</f>
        <v>2</v>
      </c>
      <c r="E431" s="8">
        <f>IFERROR(__xludf.DUMMYFUNCTION("""COMPUTED_VALUE"""),43695.0)</f>
        <v>43695</v>
      </c>
      <c r="F431">
        <f t="shared" ref="F431:G431" si="431">B431+F432</f>
        <v>348</v>
      </c>
      <c r="G431">
        <f t="shared" si="431"/>
        <v>361</v>
      </c>
      <c r="I431" s="8">
        <f>IFERROR(__xludf.DUMMYFUNCTION("""COMPUTED_VALUE"""),43695.0)</f>
        <v>43695</v>
      </c>
      <c r="J431">
        <f t="shared" si="3"/>
        <v>-13</v>
      </c>
    </row>
    <row r="432">
      <c r="A432" s="8">
        <f>IFERROR(__xludf.DUMMYFUNCTION("""COMPUTED_VALUE"""),43694.0)</f>
        <v>43694</v>
      </c>
      <c r="B432">
        <f>IFERROR(__xludf.DUMMYFUNCTION("""COMPUTED_VALUE"""),2.0)</f>
        <v>2</v>
      </c>
      <c r="C432">
        <f>IFERROR(__xludf.DUMMYFUNCTION("""COMPUTED_VALUE"""),1.0)</f>
        <v>1</v>
      </c>
      <c r="E432" s="8">
        <f>IFERROR(__xludf.DUMMYFUNCTION("""COMPUTED_VALUE"""),43694.0)</f>
        <v>43694</v>
      </c>
      <c r="F432">
        <f t="shared" ref="F432:G432" si="432">B432+F433</f>
        <v>347</v>
      </c>
      <c r="G432">
        <f t="shared" si="432"/>
        <v>359</v>
      </c>
      <c r="I432" s="8">
        <f>IFERROR(__xludf.DUMMYFUNCTION("""COMPUTED_VALUE"""),43694.0)</f>
        <v>43694</v>
      </c>
      <c r="J432">
        <f t="shared" si="3"/>
        <v>-12</v>
      </c>
    </row>
    <row r="433">
      <c r="A433" s="8">
        <f>IFERROR(__xludf.DUMMYFUNCTION("""COMPUTED_VALUE"""),43694.0)</f>
        <v>43694</v>
      </c>
      <c r="B433">
        <f>IFERROR(__xludf.DUMMYFUNCTION("""COMPUTED_VALUE"""),2.0)</f>
        <v>2</v>
      </c>
      <c r="C433">
        <f>IFERROR(__xludf.DUMMYFUNCTION("""COMPUTED_VALUE"""),5.0)</f>
        <v>5</v>
      </c>
      <c r="E433" s="8">
        <f>IFERROR(__xludf.DUMMYFUNCTION("""COMPUTED_VALUE"""),43694.0)</f>
        <v>43694</v>
      </c>
      <c r="F433">
        <f t="shared" ref="F433:G433" si="433">B433+F434</f>
        <v>345</v>
      </c>
      <c r="G433">
        <f t="shared" si="433"/>
        <v>358</v>
      </c>
      <c r="I433" s="8">
        <f>IFERROR(__xludf.DUMMYFUNCTION("""COMPUTED_VALUE"""),43694.0)</f>
        <v>43694</v>
      </c>
      <c r="J433">
        <f t="shared" si="3"/>
        <v>-13</v>
      </c>
    </row>
    <row r="434">
      <c r="A434" s="8">
        <f>IFERROR(__xludf.DUMMYFUNCTION("""COMPUTED_VALUE"""),43688.0)</f>
        <v>43688</v>
      </c>
      <c r="B434">
        <f>IFERROR(__xludf.DUMMYFUNCTION("""COMPUTED_VALUE"""),2.0)</f>
        <v>2</v>
      </c>
      <c r="C434">
        <f>IFERROR(__xludf.DUMMYFUNCTION("""COMPUTED_VALUE"""),3.0)</f>
        <v>3</v>
      </c>
      <c r="E434" s="8">
        <f>IFERROR(__xludf.DUMMYFUNCTION("""COMPUTED_VALUE"""),43688.0)</f>
        <v>43688</v>
      </c>
      <c r="F434">
        <f t="shared" ref="F434:G434" si="434">B434+F435</f>
        <v>343</v>
      </c>
      <c r="G434">
        <f t="shared" si="434"/>
        <v>353</v>
      </c>
      <c r="I434" s="8">
        <f>IFERROR(__xludf.DUMMYFUNCTION("""COMPUTED_VALUE"""),43688.0)</f>
        <v>43688</v>
      </c>
      <c r="J434">
        <f t="shared" si="3"/>
        <v>-10</v>
      </c>
    </row>
    <row r="435">
      <c r="A435" s="8">
        <f>IFERROR(__xludf.DUMMYFUNCTION("""COMPUTED_VALUE"""),43681.0)</f>
        <v>43681</v>
      </c>
      <c r="B435">
        <f>IFERROR(__xludf.DUMMYFUNCTION("""COMPUTED_VALUE"""),3.0)</f>
        <v>3</v>
      </c>
      <c r="C435">
        <f>IFERROR(__xludf.DUMMYFUNCTION("""COMPUTED_VALUE"""),2.0)</f>
        <v>2</v>
      </c>
      <c r="E435" s="8">
        <f>IFERROR(__xludf.DUMMYFUNCTION("""COMPUTED_VALUE"""),43681.0)</f>
        <v>43681</v>
      </c>
      <c r="F435">
        <f t="shared" ref="F435:G435" si="435">B435+F436</f>
        <v>341</v>
      </c>
      <c r="G435">
        <f t="shared" si="435"/>
        <v>350</v>
      </c>
      <c r="I435" s="8">
        <f>IFERROR(__xludf.DUMMYFUNCTION("""COMPUTED_VALUE"""),43681.0)</f>
        <v>43681</v>
      </c>
      <c r="J435">
        <f t="shared" si="3"/>
        <v>-9</v>
      </c>
    </row>
    <row r="436">
      <c r="A436" s="8">
        <f>IFERROR(__xludf.DUMMYFUNCTION("""COMPUTED_VALUE"""),43680.0)</f>
        <v>43680</v>
      </c>
      <c r="B436">
        <f>IFERROR(__xludf.DUMMYFUNCTION("""COMPUTED_VALUE"""),1.0)</f>
        <v>1</v>
      </c>
      <c r="C436">
        <f>IFERROR(__xludf.DUMMYFUNCTION("""COMPUTED_VALUE"""),2.0)</f>
        <v>2</v>
      </c>
      <c r="E436" s="8">
        <f>IFERROR(__xludf.DUMMYFUNCTION("""COMPUTED_VALUE"""),43680.0)</f>
        <v>43680</v>
      </c>
      <c r="F436">
        <f t="shared" ref="F436:G436" si="436">B436+F437</f>
        <v>338</v>
      </c>
      <c r="G436">
        <f t="shared" si="436"/>
        <v>348</v>
      </c>
      <c r="I436" s="8">
        <f>IFERROR(__xludf.DUMMYFUNCTION("""COMPUTED_VALUE"""),43680.0)</f>
        <v>43680</v>
      </c>
      <c r="J436">
        <f t="shared" si="3"/>
        <v>-10</v>
      </c>
    </row>
    <row r="437">
      <c r="A437" s="8">
        <f>IFERROR(__xludf.DUMMYFUNCTION("""COMPUTED_VALUE"""),43667.0)</f>
        <v>43667</v>
      </c>
      <c r="B437">
        <f>IFERROR(__xludf.DUMMYFUNCTION("""COMPUTED_VALUE"""),3.0)</f>
        <v>3</v>
      </c>
      <c r="C437">
        <f>IFERROR(__xludf.DUMMYFUNCTION("""COMPUTED_VALUE"""),2.0)</f>
        <v>2</v>
      </c>
      <c r="E437" s="8">
        <f>IFERROR(__xludf.DUMMYFUNCTION("""COMPUTED_VALUE"""),43667.0)</f>
        <v>43667</v>
      </c>
      <c r="F437">
        <f t="shared" ref="F437:G437" si="437">B437+F438</f>
        <v>337</v>
      </c>
      <c r="G437">
        <f t="shared" si="437"/>
        <v>346</v>
      </c>
      <c r="I437" s="8">
        <f>IFERROR(__xludf.DUMMYFUNCTION("""COMPUTED_VALUE"""),43667.0)</f>
        <v>43667</v>
      </c>
      <c r="J437">
        <f t="shared" si="3"/>
        <v>-9</v>
      </c>
    </row>
    <row r="438">
      <c r="A438" s="8">
        <f>IFERROR(__xludf.DUMMYFUNCTION("""COMPUTED_VALUE"""),43666.0)</f>
        <v>43666</v>
      </c>
      <c r="B438">
        <f>IFERROR(__xludf.DUMMYFUNCTION("""COMPUTED_VALUE"""),1.0)</f>
        <v>1</v>
      </c>
      <c r="C438">
        <f>IFERROR(__xludf.DUMMYFUNCTION("""COMPUTED_VALUE"""),2.0)</f>
        <v>2</v>
      </c>
      <c r="E438" s="8">
        <f>IFERROR(__xludf.DUMMYFUNCTION("""COMPUTED_VALUE"""),43666.0)</f>
        <v>43666</v>
      </c>
      <c r="F438">
        <f t="shared" ref="F438:G438" si="438">B438+F439</f>
        <v>334</v>
      </c>
      <c r="G438">
        <f t="shared" si="438"/>
        <v>344</v>
      </c>
      <c r="I438" s="8">
        <f>IFERROR(__xludf.DUMMYFUNCTION("""COMPUTED_VALUE"""),43666.0)</f>
        <v>43666</v>
      </c>
      <c r="J438">
        <f t="shared" si="3"/>
        <v>-10</v>
      </c>
    </row>
    <row r="439">
      <c r="A439" s="8">
        <f>IFERROR(__xludf.DUMMYFUNCTION("""COMPUTED_VALUE"""),43666.0)</f>
        <v>43666</v>
      </c>
      <c r="B439">
        <f>IFERROR(__xludf.DUMMYFUNCTION("""COMPUTED_VALUE"""),2.0)</f>
        <v>2</v>
      </c>
      <c r="C439">
        <f>IFERROR(__xludf.DUMMYFUNCTION("""COMPUTED_VALUE"""),1.0)</f>
        <v>1</v>
      </c>
      <c r="E439" s="8">
        <f>IFERROR(__xludf.DUMMYFUNCTION("""COMPUTED_VALUE"""),43666.0)</f>
        <v>43666</v>
      </c>
      <c r="F439">
        <f t="shared" ref="F439:G439" si="439">B439+F440</f>
        <v>333</v>
      </c>
      <c r="G439">
        <f t="shared" si="439"/>
        <v>342</v>
      </c>
      <c r="I439" s="8">
        <f>IFERROR(__xludf.DUMMYFUNCTION("""COMPUTED_VALUE"""),43666.0)</f>
        <v>43666</v>
      </c>
      <c r="J439">
        <f t="shared" si="3"/>
        <v>-9</v>
      </c>
    </row>
    <row r="440">
      <c r="A440" s="8">
        <f>IFERROR(__xludf.DUMMYFUNCTION("""COMPUTED_VALUE"""),43666.0)</f>
        <v>43666</v>
      </c>
      <c r="B440">
        <f>IFERROR(__xludf.DUMMYFUNCTION("""COMPUTED_VALUE"""),1.0)</f>
        <v>1</v>
      </c>
      <c r="C440">
        <f>IFERROR(__xludf.DUMMYFUNCTION("""COMPUTED_VALUE"""),3.0)</f>
        <v>3</v>
      </c>
      <c r="E440" s="8">
        <f>IFERROR(__xludf.DUMMYFUNCTION("""COMPUTED_VALUE"""),43666.0)</f>
        <v>43666</v>
      </c>
      <c r="F440">
        <f t="shared" ref="F440:G440" si="440">B440+F441</f>
        <v>331</v>
      </c>
      <c r="G440">
        <f t="shared" si="440"/>
        <v>341</v>
      </c>
      <c r="I440" s="8">
        <f>IFERROR(__xludf.DUMMYFUNCTION("""COMPUTED_VALUE"""),43666.0)</f>
        <v>43666</v>
      </c>
      <c r="J440">
        <f t="shared" si="3"/>
        <v>-10</v>
      </c>
    </row>
    <row r="441">
      <c r="A441" s="8">
        <f>IFERROR(__xludf.DUMMYFUNCTION("""COMPUTED_VALUE"""),43660.0)</f>
        <v>43660</v>
      </c>
      <c r="B441">
        <f>IFERROR(__xludf.DUMMYFUNCTION("""COMPUTED_VALUE"""),1.0)</f>
        <v>1</v>
      </c>
      <c r="C441">
        <f>IFERROR(__xludf.DUMMYFUNCTION("""COMPUTED_VALUE"""),3.0)</f>
        <v>3</v>
      </c>
      <c r="E441" s="8">
        <f>IFERROR(__xludf.DUMMYFUNCTION("""COMPUTED_VALUE"""),43660.0)</f>
        <v>43660</v>
      </c>
      <c r="F441">
        <f t="shared" ref="F441:G441" si="441">B441+F442</f>
        <v>330</v>
      </c>
      <c r="G441">
        <f t="shared" si="441"/>
        <v>338</v>
      </c>
      <c r="I441" s="8">
        <f>IFERROR(__xludf.DUMMYFUNCTION("""COMPUTED_VALUE"""),43660.0)</f>
        <v>43660</v>
      </c>
      <c r="J441">
        <f t="shared" si="3"/>
        <v>-8</v>
      </c>
    </row>
    <row r="442">
      <c r="A442" s="8">
        <f>IFERROR(__xludf.DUMMYFUNCTION("""COMPUTED_VALUE"""),43651.0)</f>
        <v>43651</v>
      </c>
      <c r="B442">
        <f>IFERROR(__xludf.DUMMYFUNCTION("""COMPUTED_VALUE"""),3.0)</f>
        <v>3</v>
      </c>
      <c r="C442">
        <f>IFERROR(__xludf.DUMMYFUNCTION("""COMPUTED_VALUE"""),1.0)</f>
        <v>1</v>
      </c>
      <c r="E442" s="8">
        <f>IFERROR(__xludf.DUMMYFUNCTION("""COMPUTED_VALUE"""),43651.0)</f>
        <v>43651</v>
      </c>
      <c r="F442">
        <f t="shared" ref="F442:G442" si="442">B442+F443</f>
        <v>329</v>
      </c>
      <c r="G442">
        <f t="shared" si="442"/>
        <v>335</v>
      </c>
      <c r="I442" s="8">
        <f>IFERROR(__xludf.DUMMYFUNCTION("""COMPUTED_VALUE"""),43651.0)</f>
        <v>43651</v>
      </c>
      <c r="J442">
        <f t="shared" si="3"/>
        <v>-6</v>
      </c>
    </row>
    <row r="443">
      <c r="A443" s="8">
        <f>IFERROR(__xludf.DUMMYFUNCTION("""COMPUTED_VALUE"""),43650.0)</f>
        <v>43650</v>
      </c>
      <c r="B443">
        <f>IFERROR(__xludf.DUMMYFUNCTION("""COMPUTED_VALUE"""),3.0)</f>
        <v>3</v>
      </c>
      <c r="C443">
        <f>IFERROR(__xludf.DUMMYFUNCTION("""COMPUTED_VALUE"""),2.0)</f>
        <v>2</v>
      </c>
      <c r="E443" s="8">
        <f>IFERROR(__xludf.DUMMYFUNCTION("""COMPUTED_VALUE"""),43650.0)</f>
        <v>43650</v>
      </c>
      <c r="F443">
        <f t="shared" ref="F443:G443" si="443">B443+F444</f>
        <v>326</v>
      </c>
      <c r="G443">
        <f t="shared" si="443"/>
        <v>334</v>
      </c>
      <c r="I443" s="8">
        <f>IFERROR(__xludf.DUMMYFUNCTION("""COMPUTED_VALUE"""),43650.0)</f>
        <v>43650</v>
      </c>
      <c r="J443">
        <f t="shared" si="3"/>
        <v>-8</v>
      </c>
    </row>
    <row r="444">
      <c r="A444" s="8">
        <f>IFERROR(__xludf.DUMMYFUNCTION("""COMPUTED_VALUE"""),43646.0)</f>
        <v>43646</v>
      </c>
      <c r="B444">
        <f>IFERROR(__xludf.DUMMYFUNCTION("""COMPUTED_VALUE"""),3.0)</f>
        <v>3</v>
      </c>
      <c r="C444">
        <f>IFERROR(__xludf.DUMMYFUNCTION("""COMPUTED_VALUE"""),1.0)</f>
        <v>1</v>
      </c>
      <c r="E444" s="8">
        <f>IFERROR(__xludf.DUMMYFUNCTION("""COMPUTED_VALUE"""),43646.0)</f>
        <v>43646</v>
      </c>
      <c r="F444">
        <f t="shared" ref="F444:G444" si="444">B444+F445</f>
        <v>323</v>
      </c>
      <c r="G444">
        <f t="shared" si="444"/>
        <v>332</v>
      </c>
      <c r="I444" s="8">
        <f>IFERROR(__xludf.DUMMYFUNCTION("""COMPUTED_VALUE"""),43646.0)</f>
        <v>43646</v>
      </c>
      <c r="J444">
        <f t="shared" si="3"/>
        <v>-9</v>
      </c>
    </row>
    <row r="445">
      <c r="A445" s="8">
        <f>IFERROR(__xludf.DUMMYFUNCTION("""COMPUTED_VALUE"""),43646.0)</f>
        <v>43646</v>
      </c>
      <c r="B445">
        <f>IFERROR(__xludf.DUMMYFUNCTION("""COMPUTED_VALUE"""),2.0)</f>
        <v>2</v>
      </c>
      <c r="C445">
        <f>IFERROR(__xludf.DUMMYFUNCTION("""COMPUTED_VALUE"""),3.0)</f>
        <v>3</v>
      </c>
      <c r="E445" s="8">
        <f>IFERROR(__xludf.DUMMYFUNCTION("""COMPUTED_VALUE"""),43646.0)</f>
        <v>43646</v>
      </c>
      <c r="F445">
        <f t="shared" ref="F445:G445" si="445">B445+F446</f>
        <v>320</v>
      </c>
      <c r="G445">
        <f t="shared" si="445"/>
        <v>331</v>
      </c>
      <c r="I445" s="8">
        <f>IFERROR(__xludf.DUMMYFUNCTION("""COMPUTED_VALUE"""),43646.0)</f>
        <v>43646</v>
      </c>
      <c r="J445">
        <f t="shared" si="3"/>
        <v>-11</v>
      </c>
    </row>
    <row r="446">
      <c r="A446" s="8">
        <f>IFERROR(__xludf.DUMMYFUNCTION("""COMPUTED_VALUE"""),43646.0)</f>
        <v>43646</v>
      </c>
      <c r="B446">
        <f>IFERROR(__xludf.DUMMYFUNCTION("""COMPUTED_VALUE"""),1.0)</f>
        <v>1</v>
      </c>
      <c r="C446">
        <f>IFERROR(__xludf.DUMMYFUNCTION("""COMPUTED_VALUE"""),3.0)</f>
        <v>3</v>
      </c>
      <c r="E446" s="8">
        <f>IFERROR(__xludf.DUMMYFUNCTION("""COMPUTED_VALUE"""),43646.0)</f>
        <v>43646</v>
      </c>
      <c r="F446">
        <f t="shared" ref="F446:G446" si="446">B446+F447</f>
        <v>318</v>
      </c>
      <c r="G446">
        <f t="shared" si="446"/>
        <v>328</v>
      </c>
      <c r="I446" s="8">
        <f>IFERROR(__xludf.DUMMYFUNCTION("""COMPUTED_VALUE"""),43646.0)</f>
        <v>43646</v>
      </c>
      <c r="J446">
        <f t="shared" si="3"/>
        <v>-10</v>
      </c>
    </row>
    <row r="447">
      <c r="A447" s="8">
        <f>IFERROR(__xludf.DUMMYFUNCTION("""COMPUTED_VALUE"""),43645.0)</f>
        <v>43645</v>
      </c>
      <c r="B447">
        <f>IFERROR(__xludf.DUMMYFUNCTION("""COMPUTED_VALUE"""),2.0)</f>
        <v>2</v>
      </c>
      <c r="C447">
        <f>IFERROR(__xludf.DUMMYFUNCTION("""COMPUTED_VALUE"""),1.0)</f>
        <v>1</v>
      </c>
      <c r="E447" s="8">
        <f>IFERROR(__xludf.DUMMYFUNCTION("""COMPUTED_VALUE"""),43645.0)</f>
        <v>43645</v>
      </c>
      <c r="F447">
        <f t="shared" ref="F447:G447" si="447">B447+F448</f>
        <v>317</v>
      </c>
      <c r="G447">
        <f t="shared" si="447"/>
        <v>325</v>
      </c>
      <c r="I447" s="8">
        <f>IFERROR(__xludf.DUMMYFUNCTION("""COMPUTED_VALUE"""),43645.0)</f>
        <v>43645</v>
      </c>
      <c r="J447">
        <f t="shared" si="3"/>
        <v>-8</v>
      </c>
    </row>
    <row r="448">
      <c r="A448" s="8">
        <f>IFERROR(__xludf.DUMMYFUNCTION("""COMPUTED_VALUE"""),43644.0)</f>
        <v>43644</v>
      </c>
      <c r="B448">
        <f>IFERROR(__xludf.DUMMYFUNCTION("""COMPUTED_VALUE"""),3.0)</f>
        <v>3</v>
      </c>
      <c r="C448">
        <f>IFERROR(__xludf.DUMMYFUNCTION("""COMPUTED_VALUE"""),1.0)</f>
        <v>1</v>
      </c>
      <c r="E448" s="8">
        <f>IFERROR(__xludf.DUMMYFUNCTION("""COMPUTED_VALUE"""),43644.0)</f>
        <v>43644</v>
      </c>
      <c r="F448">
        <f t="shared" ref="F448:G448" si="448">B448+F449</f>
        <v>315</v>
      </c>
      <c r="G448">
        <f t="shared" si="448"/>
        <v>324</v>
      </c>
      <c r="I448" s="8">
        <f>IFERROR(__xludf.DUMMYFUNCTION("""COMPUTED_VALUE"""),43644.0)</f>
        <v>43644</v>
      </c>
      <c r="J448">
        <f t="shared" si="3"/>
        <v>-9</v>
      </c>
    </row>
    <row r="449">
      <c r="A449" s="8">
        <f>IFERROR(__xludf.DUMMYFUNCTION("""COMPUTED_VALUE"""),43639.0)</f>
        <v>43639</v>
      </c>
      <c r="B449">
        <f>IFERROR(__xludf.DUMMYFUNCTION("""COMPUTED_VALUE"""),1.0)</f>
        <v>1</v>
      </c>
      <c r="C449">
        <f>IFERROR(__xludf.DUMMYFUNCTION("""COMPUTED_VALUE"""),3.0)</f>
        <v>3</v>
      </c>
      <c r="E449" s="8">
        <f>IFERROR(__xludf.DUMMYFUNCTION("""COMPUTED_VALUE"""),43639.0)</f>
        <v>43639</v>
      </c>
      <c r="F449">
        <f t="shared" ref="F449:G449" si="449">B449+F450</f>
        <v>312</v>
      </c>
      <c r="G449">
        <f t="shared" si="449"/>
        <v>323</v>
      </c>
      <c r="I449" s="8">
        <f>IFERROR(__xludf.DUMMYFUNCTION("""COMPUTED_VALUE"""),43639.0)</f>
        <v>43639</v>
      </c>
      <c r="J449">
        <f t="shared" si="3"/>
        <v>-11</v>
      </c>
    </row>
    <row r="450">
      <c r="A450" s="8">
        <f>IFERROR(__xludf.DUMMYFUNCTION("""COMPUTED_VALUE"""),43639.0)</f>
        <v>43639</v>
      </c>
      <c r="B450">
        <f>IFERROR(__xludf.DUMMYFUNCTION("""COMPUTED_VALUE"""),1.0)</f>
        <v>1</v>
      </c>
      <c r="C450">
        <f>IFERROR(__xludf.DUMMYFUNCTION("""COMPUTED_VALUE"""),2.0)</f>
        <v>2</v>
      </c>
      <c r="E450" s="8">
        <f>IFERROR(__xludf.DUMMYFUNCTION("""COMPUTED_VALUE"""),43639.0)</f>
        <v>43639</v>
      </c>
      <c r="F450">
        <f t="shared" ref="F450:G450" si="450">B450+F451</f>
        <v>311</v>
      </c>
      <c r="G450">
        <f t="shared" si="450"/>
        <v>320</v>
      </c>
      <c r="I450" s="8">
        <f>IFERROR(__xludf.DUMMYFUNCTION("""COMPUTED_VALUE"""),43639.0)</f>
        <v>43639</v>
      </c>
      <c r="J450">
        <f t="shared" si="3"/>
        <v>-9</v>
      </c>
    </row>
    <row r="451">
      <c r="A451" s="8">
        <f>IFERROR(__xludf.DUMMYFUNCTION("""COMPUTED_VALUE"""),43637.0)</f>
        <v>43637</v>
      </c>
      <c r="B451">
        <f>IFERROR(__xludf.DUMMYFUNCTION("""COMPUTED_VALUE"""),2.0)</f>
        <v>2</v>
      </c>
      <c r="C451">
        <f>IFERROR(__xludf.DUMMYFUNCTION("""COMPUTED_VALUE"""),1.0)</f>
        <v>1</v>
      </c>
      <c r="E451" s="8">
        <f>IFERROR(__xludf.DUMMYFUNCTION("""COMPUTED_VALUE"""),43637.0)</f>
        <v>43637</v>
      </c>
      <c r="F451">
        <f t="shared" ref="F451:G451" si="451">B451+F452</f>
        <v>310</v>
      </c>
      <c r="G451">
        <f t="shared" si="451"/>
        <v>318</v>
      </c>
      <c r="I451" s="8">
        <f>IFERROR(__xludf.DUMMYFUNCTION("""COMPUTED_VALUE"""),43637.0)</f>
        <v>43637</v>
      </c>
      <c r="J451">
        <f t="shared" si="3"/>
        <v>-8</v>
      </c>
    </row>
    <row r="452">
      <c r="A452" s="8">
        <f>IFERROR(__xludf.DUMMYFUNCTION("""COMPUTED_VALUE"""),43632.0)</f>
        <v>43632</v>
      </c>
      <c r="B452">
        <f>IFERROR(__xludf.DUMMYFUNCTION("""COMPUTED_VALUE"""),1.0)</f>
        <v>1</v>
      </c>
      <c r="C452">
        <f>IFERROR(__xludf.DUMMYFUNCTION("""COMPUTED_VALUE"""),2.0)</f>
        <v>2</v>
      </c>
      <c r="E452" s="8">
        <f>IFERROR(__xludf.DUMMYFUNCTION("""COMPUTED_VALUE"""),43632.0)</f>
        <v>43632</v>
      </c>
      <c r="F452">
        <f t="shared" ref="F452:G452" si="452">B452+F453</f>
        <v>308</v>
      </c>
      <c r="G452">
        <f t="shared" si="452"/>
        <v>317</v>
      </c>
      <c r="I452" s="8">
        <f>IFERROR(__xludf.DUMMYFUNCTION("""COMPUTED_VALUE"""),43632.0)</f>
        <v>43632</v>
      </c>
      <c r="J452">
        <f t="shared" si="3"/>
        <v>-9</v>
      </c>
    </row>
    <row r="453">
      <c r="A453" s="8">
        <f>IFERROR(__xludf.DUMMYFUNCTION("""COMPUTED_VALUE"""),43632.0)</f>
        <v>43632</v>
      </c>
      <c r="B453">
        <f>IFERROR(__xludf.DUMMYFUNCTION("""COMPUTED_VALUE"""),2.0)</f>
        <v>2</v>
      </c>
      <c r="C453">
        <f>IFERROR(__xludf.DUMMYFUNCTION("""COMPUTED_VALUE"""),3.0)</f>
        <v>3</v>
      </c>
      <c r="E453" s="8">
        <f>IFERROR(__xludf.DUMMYFUNCTION("""COMPUTED_VALUE"""),43632.0)</f>
        <v>43632</v>
      </c>
      <c r="F453">
        <f t="shared" ref="F453:G453" si="453">B453+F454</f>
        <v>307</v>
      </c>
      <c r="G453">
        <f t="shared" si="453"/>
        <v>315</v>
      </c>
      <c r="I453" s="8">
        <f>IFERROR(__xludf.DUMMYFUNCTION("""COMPUTED_VALUE"""),43632.0)</f>
        <v>43632</v>
      </c>
      <c r="J453">
        <f t="shared" si="3"/>
        <v>-8</v>
      </c>
    </row>
    <row r="454">
      <c r="A454" s="8">
        <f>IFERROR(__xludf.DUMMYFUNCTION("""COMPUTED_VALUE"""),43625.0)</f>
        <v>43625</v>
      </c>
      <c r="B454">
        <f>IFERROR(__xludf.DUMMYFUNCTION("""COMPUTED_VALUE"""),3.0)</f>
        <v>3</v>
      </c>
      <c r="C454">
        <f>IFERROR(__xludf.DUMMYFUNCTION("""COMPUTED_VALUE"""),2.0)</f>
        <v>2</v>
      </c>
      <c r="E454" s="8">
        <f>IFERROR(__xludf.DUMMYFUNCTION("""COMPUTED_VALUE"""),43625.0)</f>
        <v>43625</v>
      </c>
      <c r="F454">
        <f t="shared" ref="F454:G454" si="454">B454+F455</f>
        <v>305</v>
      </c>
      <c r="G454">
        <f t="shared" si="454"/>
        <v>312</v>
      </c>
      <c r="I454" s="8">
        <f>IFERROR(__xludf.DUMMYFUNCTION("""COMPUTED_VALUE"""),43625.0)</f>
        <v>43625</v>
      </c>
      <c r="J454">
        <f t="shared" si="3"/>
        <v>-7</v>
      </c>
    </row>
    <row r="455">
      <c r="A455" s="8">
        <f>IFERROR(__xludf.DUMMYFUNCTION("""COMPUTED_VALUE"""),43623.0)</f>
        <v>43623</v>
      </c>
      <c r="B455">
        <f>IFERROR(__xludf.DUMMYFUNCTION("""COMPUTED_VALUE"""),2.0)</f>
        <v>2</v>
      </c>
      <c r="C455">
        <f>IFERROR(__xludf.DUMMYFUNCTION("""COMPUTED_VALUE"""),3.0)</f>
        <v>3</v>
      </c>
      <c r="E455" s="8">
        <f>IFERROR(__xludf.DUMMYFUNCTION("""COMPUTED_VALUE"""),43623.0)</f>
        <v>43623</v>
      </c>
      <c r="F455">
        <f t="shared" ref="F455:G455" si="455">B455+F456</f>
        <v>302</v>
      </c>
      <c r="G455">
        <f t="shared" si="455"/>
        <v>310</v>
      </c>
      <c r="I455" s="8">
        <f>IFERROR(__xludf.DUMMYFUNCTION("""COMPUTED_VALUE"""),43623.0)</f>
        <v>43623</v>
      </c>
      <c r="J455">
        <f t="shared" si="3"/>
        <v>-8</v>
      </c>
    </row>
    <row r="456">
      <c r="A456" s="8">
        <f>IFERROR(__xludf.DUMMYFUNCTION("""COMPUTED_VALUE"""),43597.0)</f>
        <v>43597</v>
      </c>
      <c r="B456">
        <f>IFERROR(__xludf.DUMMYFUNCTION("""COMPUTED_VALUE"""),2.0)</f>
        <v>2</v>
      </c>
      <c r="C456">
        <f>IFERROR(__xludf.DUMMYFUNCTION("""COMPUTED_VALUE"""),1.0)</f>
        <v>1</v>
      </c>
      <c r="E456" s="8">
        <f>IFERROR(__xludf.DUMMYFUNCTION("""COMPUTED_VALUE"""),43597.0)</f>
        <v>43597</v>
      </c>
      <c r="F456">
        <f t="shared" ref="F456:G456" si="456">B456+F457</f>
        <v>300</v>
      </c>
      <c r="G456">
        <f t="shared" si="456"/>
        <v>307</v>
      </c>
      <c r="I456" s="8">
        <f>IFERROR(__xludf.DUMMYFUNCTION("""COMPUTED_VALUE"""),43597.0)</f>
        <v>43597</v>
      </c>
      <c r="J456">
        <f t="shared" si="3"/>
        <v>-7</v>
      </c>
    </row>
    <row r="457">
      <c r="A457" s="8">
        <f>IFERROR(__xludf.DUMMYFUNCTION("""COMPUTED_VALUE"""),43597.0)</f>
        <v>43597</v>
      </c>
      <c r="B457">
        <f>IFERROR(__xludf.DUMMYFUNCTION("""COMPUTED_VALUE"""),1.0)</f>
        <v>1</v>
      </c>
      <c r="C457">
        <f>IFERROR(__xludf.DUMMYFUNCTION("""COMPUTED_VALUE"""),2.0)</f>
        <v>2</v>
      </c>
      <c r="E457" s="8">
        <f>IFERROR(__xludf.DUMMYFUNCTION("""COMPUTED_VALUE"""),43597.0)</f>
        <v>43597</v>
      </c>
      <c r="F457">
        <f t="shared" ref="F457:G457" si="457">B457+F458</f>
        <v>298</v>
      </c>
      <c r="G457">
        <f t="shared" si="457"/>
        <v>306</v>
      </c>
      <c r="I457" s="8">
        <f>IFERROR(__xludf.DUMMYFUNCTION("""COMPUTED_VALUE"""),43597.0)</f>
        <v>43597</v>
      </c>
      <c r="J457">
        <f t="shared" si="3"/>
        <v>-8</v>
      </c>
    </row>
    <row r="458">
      <c r="A458" s="8">
        <f>IFERROR(__xludf.DUMMYFUNCTION("""COMPUTED_VALUE"""),43576.0)</f>
        <v>43576</v>
      </c>
      <c r="B458">
        <f>IFERROR(__xludf.DUMMYFUNCTION("""COMPUTED_VALUE"""),4.0)</f>
        <v>4</v>
      </c>
      <c r="C458">
        <f>IFERROR(__xludf.DUMMYFUNCTION("""COMPUTED_VALUE"""),2.0)</f>
        <v>2</v>
      </c>
      <c r="E458" s="8">
        <f>IFERROR(__xludf.DUMMYFUNCTION("""COMPUTED_VALUE"""),43576.0)</f>
        <v>43576</v>
      </c>
      <c r="F458">
        <f t="shared" ref="F458:G458" si="458">B458+F459</f>
        <v>297</v>
      </c>
      <c r="G458">
        <f t="shared" si="458"/>
        <v>304</v>
      </c>
      <c r="I458" s="8">
        <f>IFERROR(__xludf.DUMMYFUNCTION("""COMPUTED_VALUE"""),43576.0)</f>
        <v>43576</v>
      </c>
      <c r="J458">
        <f t="shared" si="3"/>
        <v>-7</v>
      </c>
    </row>
    <row r="459">
      <c r="A459" s="8">
        <f>IFERROR(__xludf.DUMMYFUNCTION("""COMPUTED_VALUE"""),43576.0)</f>
        <v>43576</v>
      </c>
      <c r="B459">
        <f>IFERROR(__xludf.DUMMYFUNCTION("""COMPUTED_VALUE"""),1.0)</f>
        <v>1</v>
      </c>
      <c r="C459">
        <f>IFERROR(__xludf.DUMMYFUNCTION("""COMPUTED_VALUE"""),2.0)</f>
        <v>2</v>
      </c>
      <c r="E459" s="8">
        <f>IFERROR(__xludf.DUMMYFUNCTION("""COMPUTED_VALUE"""),43576.0)</f>
        <v>43576</v>
      </c>
      <c r="F459">
        <f t="shared" ref="F459:G459" si="459">B459+F460</f>
        <v>293</v>
      </c>
      <c r="G459">
        <f t="shared" si="459"/>
        <v>302</v>
      </c>
      <c r="I459" s="8">
        <f>IFERROR(__xludf.DUMMYFUNCTION("""COMPUTED_VALUE"""),43576.0)</f>
        <v>43576</v>
      </c>
      <c r="J459">
        <f t="shared" si="3"/>
        <v>-9</v>
      </c>
    </row>
    <row r="460">
      <c r="A460" s="8">
        <f>IFERROR(__xludf.DUMMYFUNCTION("""COMPUTED_VALUE"""),43576.0)</f>
        <v>43576</v>
      </c>
      <c r="B460">
        <f>IFERROR(__xludf.DUMMYFUNCTION("""COMPUTED_VALUE"""),1.0)</f>
        <v>1</v>
      </c>
      <c r="C460">
        <f>IFERROR(__xludf.DUMMYFUNCTION("""COMPUTED_VALUE"""),2.0)</f>
        <v>2</v>
      </c>
      <c r="E460" s="8">
        <f>IFERROR(__xludf.DUMMYFUNCTION("""COMPUTED_VALUE"""),43576.0)</f>
        <v>43576</v>
      </c>
      <c r="F460">
        <f t="shared" ref="F460:G460" si="460">B460+F461</f>
        <v>292</v>
      </c>
      <c r="G460">
        <f t="shared" si="460"/>
        <v>300</v>
      </c>
      <c r="I460" s="8">
        <f>IFERROR(__xludf.DUMMYFUNCTION("""COMPUTED_VALUE"""),43576.0)</f>
        <v>43576</v>
      </c>
      <c r="J460">
        <f t="shared" si="3"/>
        <v>-8</v>
      </c>
    </row>
    <row r="461">
      <c r="A461" s="8">
        <f>IFERROR(__xludf.DUMMYFUNCTION("""COMPUTED_VALUE"""),43575.0)</f>
        <v>43575</v>
      </c>
      <c r="B461">
        <f>IFERROR(__xludf.DUMMYFUNCTION("""COMPUTED_VALUE"""),1.0)</f>
        <v>1</v>
      </c>
      <c r="C461">
        <f>IFERROR(__xludf.DUMMYFUNCTION("""COMPUTED_VALUE"""),4.0)</f>
        <v>4</v>
      </c>
      <c r="E461" s="8">
        <f>IFERROR(__xludf.DUMMYFUNCTION("""COMPUTED_VALUE"""),43575.0)</f>
        <v>43575</v>
      </c>
      <c r="F461">
        <f t="shared" ref="F461:G461" si="461">B461+F462</f>
        <v>291</v>
      </c>
      <c r="G461">
        <f t="shared" si="461"/>
        <v>298</v>
      </c>
      <c r="I461" s="8">
        <f>IFERROR(__xludf.DUMMYFUNCTION("""COMPUTED_VALUE"""),43575.0)</f>
        <v>43575</v>
      </c>
      <c r="J461">
        <f t="shared" si="3"/>
        <v>-7</v>
      </c>
    </row>
    <row r="462">
      <c r="A462" s="8">
        <f>IFERROR(__xludf.DUMMYFUNCTION("""COMPUTED_VALUE"""),43575.0)</f>
        <v>43575</v>
      </c>
      <c r="B462">
        <f>IFERROR(__xludf.DUMMYFUNCTION("""COMPUTED_VALUE"""),3.0)</f>
        <v>3</v>
      </c>
      <c r="C462">
        <f>IFERROR(__xludf.DUMMYFUNCTION("""COMPUTED_VALUE"""),1.0)</f>
        <v>1</v>
      </c>
      <c r="E462" s="8">
        <f>IFERROR(__xludf.DUMMYFUNCTION("""COMPUTED_VALUE"""),43575.0)</f>
        <v>43575</v>
      </c>
      <c r="F462">
        <f t="shared" ref="F462:G462" si="462">B462+F463</f>
        <v>290</v>
      </c>
      <c r="G462">
        <f t="shared" si="462"/>
        <v>294</v>
      </c>
      <c r="I462" s="8">
        <f>IFERROR(__xludf.DUMMYFUNCTION("""COMPUTED_VALUE"""),43575.0)</f>
        <v>43575</v>
      </c>
      <c r="J462">
        <f t="shared" si="3"/>
        <v>-4</v>
      </c>
    </row>
    <row r="463">
      <c r="A463" s="8">
        <f>IFERROR(__xludf.DUMMYFUNCTION("""COMPUTED_VALUE"""),43575.0)</f>
        <v>43575</v>
      </c>
      <c r="B463">
        <f>IFERROR(__xludf.DUMMYFUNCTION("""COMPUTED_VALUE"""),3.0)</f>
        <v>3</v>
      </c>
      <c r="C463">
        <f>IFERROR(__xludf.DUMMYFUNCTION("""COMPUTED_VALUE"""),2.0)</f>
        <v>2</v>
      </c>
      <c r="E463" s="8">
        <f>IFERROR(__xludf.DUMMYFUNCTION("""COMPUTED_VALUE"""),43575.0)</f>
        <v>43575</v>
      </c>
      <c r="F463">
        <f t="shared" ref="F463:G463" si="463">B463+F464</f>
        <v>287</v>
      </c>
      <c r="G463">
        <f t="shared" si="463"/>
        <v>293</v>
      </c>
      <c r="I463" s="8">
        <f>IFERROR(__xludf.DUMMYFUNCTION("""COMPUTED_VALUE"""),43575.0)</f>
        <v>43575</v>
      </c>
      <c r="J463">
        <f t="shared" si="3"/>
        <v>-6</v>
      </c>
    </row>
    <row r="464">
      <c r="A464" s="8">
        <f>IFERROR(__xludf.DUMMYFUNCTION("""COMPUTED_VALUE"""),43567.0)</f>
        <v>43567</v>
      </c>
      <c r="B464">
        <f>IFERROR(__xludf.DUMMYFUNCTION("""COMPUTED_VALUE"""),2.0)</f>
        <v>2</v>
      </c>
      <c r="C464">
        <f>IFERROR(__xludf.DUMMYFUNCTION("""COMPUTED_VALUE"""),3.0)</f>
        <v>3</v>
      </c>
      <c r="E464" s="8">
        <f>IFERROR(__xludf.DUMMYFUNCTION("""COMPUTED_VALUE"""),43567.0)</f>
        <v>43567</v>
      </c>
      <c r="F464">
        <f t="shared" ref="F464:G464" si="464">B464+F465</f>
        <v>284</v>
      </c>
      <c r="G464">
        <f t="shared" si="464"/>
        <v>291</v>
      </c>
      <c r="I464" s="8">
        <f>IFERROR(__xludf.DUMMYFUNCTION("""COMPUTED_VALUE"""),43567.0)</f>
        <v>43567</v>
      </c>
      <c r="J464">
        <f t="shared" si="3"/>
        <v>-7</v>
      </c>
    </row>
    <row r="465">
      <c r="A465" s="8">
        <f>IFERROR(__xludf.DUMMYFUNCTION("""COMPUTED_VALUE"""),43548.0)</f>
        <v>43548</v>
      </c>
      <c r="B465">
        <f>IFERROR(__xludf.DUMMYFUNCTION("""COMPUTED_VALUE"""),1.0)</f>
        <v>1</v>
      </c>
      <c r="C465">
        <f>IFERROR(__xludf.DUMMYFUNCTION("""COMPUTED_VALUE"""),3.0)</f>
        <v>3</v>
      </c>
      <c r="E465" s="8">
        <f>IFERROR(__xludf.DUMMYFUNCTION("""COMPUTED_VALUE"""),43548.0)</f>
        <v>43548</v>
      </c>
      <c r="F465">
        <f t="shared" ref="F465:G465" si="465">B465+F466</f>
        <v>282</v>
      </c>
      <c r="G465">
        <f t="shared" si="465"/>
        <v>288</v>
      </c>
      <c r="I465" s="8">
        <f>IFERROR(__xludf.DUMMYFUNCTION("""COMPUTED_VALUE"""),43548.0)</f>
        <v>43548</v>
      </c>
      <c r="J465">
        <f t="shared" si="3"/>
        <v>-6</v>
      </c>
    </row>
    <row r="466">
      <c r="A466" s="8">
        <f>IFERROR(__xludf.DUMMYFUNCTION("""COMPUTED_VALUE"""),43548.0)</f>
        <v>43548</v>
      </c>
      <c r="B466">
        <f>IFERROR(__xludf.DUMMYFUNCTION("""COMPUTED_VALUE"""),2.0)</f>
        <v>2</v>
      </c>
      <c r="C466">
        <f>IFERROR(__xludf.DUMMYFUNCTION("""COMPUTED_VALUE"""),1.0)</f>
        <v>1</v>
      </c>
      <c r="E466" s="8">
        <f>IFERROR(__xludf.DUMMYFUNCTION("""COMPUTED_VALUE"""),43548.0)</f>
        <v>43548</v>
      </c>
      <c r="F466">
        <f t="shared" ref="F466:G466" si="466">B466+F467</f>
        <v>281</v>
      </c>
      <c r="G466">
        <f t="shared" si="466"/>
        <v>285</v>
      </c>
      <c r="I466" s="8">
        <f>IFERROR(__xludf.DUMMYFUNCTION("""COMPUTED_VALUE"""),43548.0)</f>
        <v>43548</v>
      </c>
      <c r="J466">
        <f t="shared" si="3"/>
        <v>-4</v>
      </c>
    </row>
    <row r="467">
      <c r="A467" s="8">
        <f>IFERROR(__xludf.DUMMYFUNCTION("""COMPUTED_VALUE"""),43538.0)</f>
        <v>43538</v>
      </c>
      <c r="B467">
        <f>IFERROR(__xludf.DUMMYFUNCTION("""COMPUTED_VALUE"""),1.0)</f>
        <v>1</v>
      </c>
      <c r="C467">
        <f>IFERROR(__xludf.DUMMYFUNCTION("""COMPUTED_VALUE"""),2.0)</f>
        <v>2</v>
      </c>
      <c r="E467" s="8">
        <f>IFERROR(__xludf.DUMMYFUNCTION("""COMPUTED_VALUE"""),43538.0)</f>
        <v>43538</v>
      </c>
      <c r="F467">
        <f t="shared" ref="F467:G467" si="467">B467+F468</f>
        <v>279</v>
      </c>
      <c r="G467">
        <f t="shared" si="467"/>
        <v>284</v>
      </c>
      <c r="I467" s="8">
        <f>IFERROR(__xludf.DUMMYFUNCTION("""COMPUTED_VALUE"""),43538.0)</f>
        <v>43538</v>
      </c>
      <c r="J467">
        <f t="shared" si="3"/>
        <v>-5</v>
      </c>
    </row>
    <row r="468">
      <c r="A468" s="8">
        <f>IFERROR(__xludf.DUMMYFUNCTION("""COMPUTED_VALUE"""),43506.0)</f>
        <v>43506</v>
      </c>
      <c r="B468">
        <f>IFERROR(__xludf.DUMMYFUNCTION("""COMPUTED_VALUE"""),1.0)</f>
        <v>1</v>
      </c>
      <c r="C468">
        <f>IFERROR(__xludf.DUMMYFUNCTION("""COMPUTED_VALUE"""),2.0)</f>
        <v>2</v>
      </c>
      <c r="E468" s="8">
        <f>IFERROR(__xludf.DUMMYFUNCTION("""COMPUTED_VALUE"""),43506.0)</f>
        <v>43506</v>
      </c>
      <c r="F468">
        <f t="shared" ref="F468:G468" si="468">B468+F469</f>
        <v>278</v>
      </c>
      <c r="G468">
        <f t="shared" si="468"/>
        <v>282</v>
      </c>
      <c r="I468" s="8">
        <f>IFERROR(__xludf.DUMMYFUNCTION("""COMPUTED_VALUE"""),43506.0)</f>
        <v>43506</v>
      </c>
      <c r="J468">
        <f t="shared" si="3"/>
        <v>-4</v>
      </c>
    </row>
    <row r="469">
      <c r="A469" s="8">
        <f>IFERROR(__xludf.DUMMYFUNCTION("""COMPUTED_VALUE"""),43458.0)</f>
        <v>43458</v>
      </c>
      <c r="B469">
        <f>IFERROR(__xludf.DUMMYFUNCTION("""COMPUTED_VALUE"""),1.0)</f>
        <v>1</v>
      </c>
      <c r="C469">
        <f>IFERROR(__xludf.DUMMYFUNCTION("""COMPUTED_VALUE"""),3.0)</f>
        <v>3</v>
      </c>
      <c r="E469" s="8">
        <f>IFERROR(__xludf.DUMMYFUNCTION("""COMPUTED_VALUE"""),43458.0)</f>
        <v>43458</v>
      </c>
      <c r="F469">
        <f t="shared" ref="F469:G469" si="469">B469+F470</f>
        <v>277</v>
      </c>
      <c r="G469">
        <f t="shared" si="469"/>
        <v>280</v>
      </c>
      <c r="I469" s="8">
        <f>IFERROR(__xludf.DUMMYFUNCTION("""COMPUTED_VALUE"""),43458.0)</f>
        <v>43458</v>
      </c>
      <c r="J469">
        <f t="shared" si="3"/>
        <v>-3</v>
      </c>
    </row>
    <row r="470">
      <c r="A470" s="8">
        <f>IFERROR(__xludf.DUMMYFUNCTION("""COMPUTED_VALUE"""),43427.0)</f>
        <v>43427</v>
      </c>
      <c r="B470">
        <f>IFERROR(__xludf.DUMMYFUNCTION("""COMPUTED_VALUE"""),3.0)</f>
        <v>3</v>
      </c>
      <c r="C470">
        <f>IFERROR(__xludf.DUMMYFUNCTION("""COMPUTED_VALUE"""),1.0)</f>
        <v>1</v>
      </c>
      <c r="E470" s="8">
        <f>IFERROR(__xludf.DUMMYFUNCTION("""COMPUTED_VALUE"""),43427.0)</f>
        <v>43427</v>
      </c>
      <c r="F470">
        <f t="shared" ref="F470:G470" si="470">B470+F471</f>
        <v>276</v>
      </c>
      <c r="G470">
        <f t="shared" si="470"/>
        <v>277</v>
      </c>
      <c r="I470" s="8">
        <f>IFERROR(__xludf.DUMMYFUNCTION("""COMPUTED_VALUE"""),43427.0)</f>
        <v>43427</v>
      </c>
      <c r="J470">
        <f t="shared" si="3"/>
        <v>-1</v>
      </c>
    </row>
    <row r="471">
      <c r="A471" s="8">
        <f>IFERROR(__xludf.DUMMYFUNCTION("""COMPUTED_VALUE"""),43421.0)</f>
        <v>43421</v>
      </c>
      <c r="B471">
        <f>IFERROR(__xludf.DUMMYFUNCTION("""COMPUTED_VALUE"""),2.0)</f>
        <v>2</v>
      </c>
      <c r="C471">
        <f>IFERROR(__xludf.DUMMYFUNCTION("""COMPUTED_VALUE"""),1.0)</f>
        <v>1</v>
      </c>
      <c r="E471" s="8">
        <f>IFERROR(__xludf.DUMMYFUNCTION("""COMPUTED_VALUE"""),43421.0)</f>
        <v>43421</v>
      </c>
      <c r="F471">
        <f t="shared" ref="F471:G471" si="471">B471+F472</f>
        <v>273</v>
      </c>
      <c r="G471">
        <f t="shared" si="471"/>
        <v>276</v>
      </c>
      <c r="I471" s="8">
        <f>IFERROR(__xludf.DUMMYFUNCTION("""COMPUTED_VALUE"""),43421.0)</f>
        <v>43421</v>
      </c>
      <c r="J471">
        <f t="shared" si="3"/>
        <v>-3</v>
      </c>
    </row>
    <row r="472">
      <c r="A472" s="8">
        <f>IFERROR(__xludf.DUMMYFUNCTION("""COMPUTED_VALUE"""),43352.0)</f>
        <v>43352</v>
      </c>
      <c r="B472">
        <f>IFERROR(__xludf.DUMMYFUNCTION("""COMPUTED_VALUE"""),4.0)</f>
        <v>4</v>
      </c>
      <c r="C472">
        <f>IFERROR(__xludf.DUMMYFUNCTION("""COMPUTED_VALUE"""),1.0)</f>
        <v>1</v>
      </c>
      <c r="E472" s="8">
        <f>IFERROR(__xludf.DUMMYFUNCTION("""COMPUTED_VALUE"""),43352.0)</f>
        <v>43352</v>
      </c>
      <c r="F472">
        <f t="shared" ref="F472:G472" si="472">B472+F473</f>
        <v>271</v>
      </c>
      <c r="G472">
        <f t="shared" si="472"/>
        <v>275</v>
      </c>
      <c r="I472" s="8">
        <f>IFERROR(__xludf.DUMMYFUNCTION("""COMPUTED_VALUE"""),43352.0)</f>
        <v>43352</v>
      </c>
      <c r="J472">
        <f t="shared" si="3"/>
        <v>-4</v>
      </c>
    </row>
    <row r="473">
      <c r="A473" s="8">
        <f>IFERROR(__xludf.DUMMYFUNCTION("""COMPUTED_VALUE"""),43338.0)</f>
        <v>43338</v>
      </c>
      <c r="B473">
        <f>IFERROR(__xludf.DUMMYFUNCTION("""COMPUTED_VALUE"""),2.0)</f>
        <v>2</v>
      </c>
      <c r="C473">
        <f>IFERROR(__xludf.DUMMYFUNCTION("""COMPUTED_VALUE"""),3.0)</f>
        <v>3</v>
      </c>
      <c r="E473" s="8">
        <f>IFERROR(__xludf.DUMMYFUNCTION("""COMPUTED_VALUE"""),43338.0)</f>
        <v>43338</v>
      </c>
      <c r="F473">
        <f t="shared" ref="F473:G473" si="473">B473+F474</f>
        <v>267</v>
      </c>
      <c r="G473">
        <f t="shared" si="473"/>
        <v>274</v>
      </c>
      <c r="I473" s="8">
        <f>IFERROR(__xludf.DUMMYFUNCTION("""COMPUTED_VALUE"""),43338.0)</f>
        <v>43338</v>
      </c>
      <c r="J473">
        <f t="shared" si="3"/>
        <v>-7</v>
      </c>
    </row>
    <row r="474">
      <c r="A474" s="8">
        <f>IFERROR(__xludf.DUMMYFUNCTION("""COMPUTED_VALUE"""),43333.0)</f>
        <v>43333</v>
      </c>
      <c r="B474">
        <f>IFERROR(__xludf.DUMMYFUNCTION("""COMPUTED_VALUE"""),2.0)</f>
        <v>2</v>
      </c>
      <c r="C474">
        <f>IFERROR(__xludf.DUMMYFUNCTION("""COMPUTED_VALUE"""),3.0)</f>
        <v>3</v>
      </c>
      <c r="E474" s="8">
        <f>IFERROR(__xludf.DUMMYFUNCTION("""COMPUTED_VALUE"""),43333.0)</f>
        <v>43333</v>
      </c>
      <c r="F474">
        <f t="shared" ref="F474:G474" si="474">B474+F475</f>
        <v>265</v>
      </c>
      <c r="G474">
        <f t="shared" si="474"/>
        <v>271</v>
      </c>
      <c r="I474" s="8">
        <f>IFERROR(__xludf.DUMMYFUNCTION("""COMPUTED_VALUE"""),43333.0)</f>
        <v>43333</v>
      </c>
      <c r="J474">
        <f t="shared" si="3"/>
        <v>-6</v>
      </c>
    </row>
    <row r="475">
      <c r="A475" s="8">
        <f>IFERROR(__xludf.DUMMYFUNCTION("""COMPUTED_VALUE"""),43331.0)</f>
        <v>43331</v>
      </c>
      <c r="B475">
        <f>IFERROR(__xludf.DUMMYFUNCTION("""COMPUTED_VALUE"""),2.0)</f>
        <v>2</v>
      </c>
      <c r="C475">
        <f>IFERROR(__xludf.DUMMYFUNCTION("""COMPUTED_VALUE"""),4.0)</f>
        <v>4</v>
      </c>
      <c r="E475" s="8">
        <f>IFERROR(__xludf.DUMMYFUNCTION("""COMPUTED_VALUE"""),43331.0)</f>
        <v>43331</v>
      </c>
      <c r="F475">
        <f t="shared" ref="F475:G475" si="475">B475+F476</f>
        <v>263</v>
      </c>
      <c r="G475">
        <f t="shared" si="475"/>
        <v>268</v>
      </c>
      <c r="I475" s="8">
        <f>IFERROR(__xludf.DUMMYFUNCTION("""COMPUTED_VALUE"""),43331.0)</f>
        <v>43331</v>
      </c>
      <c r="J475">
        <f t="shared" si="3"/>
        <v>-5</v>
      </c>
    </row>
    <row r="476">
      <c r="A476" s="8">
        <f>IFERROR(__xludf.DUMMYFUNCTION("""COMPUTED_VALUE"""),43330.0)</f>
        <v>43330</v>
      </c>
      <c r="B476">
        <f>IFERROR(__xludf.DUMMYFUNCTION("""COMPUTED_VALUE"""),3.0)</f>
        <v>3</v>
      </c>
      <c r="C476">
        <f>IFERROR(__xludf.DUMMYFUNCTION("""COMPUTED_VALUE"""),1.0)</f>
        <v>1</v>
      </c>
      <c r="E476" s="8">
        <f>IFERROR(__xludf.DUMMYFUNCTION("""COMPUTED_VALUE"""),43330.0)</f>
        <v>43330</v>
      </c>
      <c r="F476">
        <f t="shared" ref="F476:G476" si="476">B476+F477</f>
        <v>261</v>
      </c>
      <c r="G476">
        <f t="shared" si="476"/>
        <v>264</v>
      </c>
      <c r="I476" s="8">
        <f>IFERROR(__xludf.DUMMYFUNCTION("""COMPUTED_VALUE"""),43330.0)</f>
        <v>43330</v>
      </c>
      <c r="J476">
        <f t="shared" si="3"/>
        <v>-3</v>
      </c>
    </row>
    <row r="477">
      <c r="A477" s="8">
        <f>IFERROR(__xludf.DUMMYFUNCTION("""COMPUTED_VALUE"""),43330.0)</f>
        <v>43330</v>
      </c>
      <c r="B477">
        <f>IFERROR(__xludf.DUMMYFUNCTION("""COMPUTED_VALUE"""),2.0)</f>
        <v>2</v>
      </c>
      <c r="C477">
        <f>IFERROR(__xludf.DUMMYFUNCTION("""COMPUTED_VALUE"""),3.0)</f>
        <v>3</v>
      </c>
      <c r="E477" s="8">
        <f>IFERROR(__xludf.DUMMYFUNCTION("""COMPUTED_VALUE"""),43330.0)</f>
        <v>43330</v>
      </c>
      <c r="F477">
        <f t="shared" ref="F477:G477" si="477">B477+F478</f>
        <v>258</v>
      </c>
      <c r="G477">
        <f t="shared" si="477"/>
        <v>263</v>
      </c>
      <c r="I477" s="8">
        <f>IFERROR(__xludf.DUMMYFUNCTION("""COMPUTED_VALUE"""),43330.0)</f>
        <v>43330</v>
      </c>
      <c r="J477">
        <f t="shared" si="3"/>
        <v>-5</v>
      </c>
    </row>
    <row r="478">
      <c r="A478" s="8">
        <f>IFERROR(__xludf.DUMMYFUNCTION("""COMPUTED_VALUE"""),43329.0)</f>
        <v>43329</v>
      </c>
      <c r="B478">
        <f>IFERROR(__xludf.DUMMYFUNCTION("""COMPUTED_VALUE"""),3.0)</f>
        <v>3</v>
      </c>
      <c r="C478">
        <f>IFERROR(__xludf.DUMMYFUNCTION("""COMPUTED_VALUE"""),2.0)</f>
        <v>2</v>
      </c>
      <c r="E478" s="8">
        <f>IFERROR(__xludf.DUMMYFUNCTION("""COMPUTED_VALUE"""),43329.0)</f>
        <v>43329</v>
      </c>
      <c r="F478">
        <f t="shared" ref="F478:G478" si="478">B478+F479</f>
        <v>256</v>
      </c>
      <c r="G478">
        <f t="shared" si="478"/>
        <v>260</v>
      </c>
      <c r="I478" s="8">
        <f>IFERROR(__xludf.DUMMYFUNCTION("""COMPUTED_VALUE"""),43329.0)</f>
        <v>43329</v>
      </c>
      <c r="J478">
        <f t="shared" si="3"/>
        <v>-4</v>
      </c>
    </row>
    <row r="479">
      <c r="A479" s="8">
        <f>IFERROR(__xludf.DUMMYFUNCTION("""COMPUTED_VALUE"""),43319.0)</f>
        <v>43319</v>
      </c>
      <c r="B479">
        <f>IFERROR(__xludf.DUMMYFUNCTION("""COMPUTED_VALUE"""),1.0)</f>
        <v>1</v>
      </c>
      <c r="C479">
        <f>IFERROR(__xludf.DUMMYFUNCTION("""COMPUTED_VALUE"""),2.0)</f>
        <v>2</v>
      </c>
      <c r="E479" s="8">
        <f>IFERROR(__xludf.DUMMYFUNCTION("""COMPUTED_VALUE"""),43319.0)</f>
        <v>43319</v>
      </c>
      <c r="F479">
        <f t="shared" ref="F479:G479" si="479">B479+F480</f>
        <v>253</v>
      </c>
      <c r="G479">
        <f t="shared" si="479"/>
        <v>258</v>
      </c>
      <c r="I479" s="8">
        <f>IFERROR(__xludf.DUMMYFUNCTION("""COMPUTED_VALUE"""),43319.0)</f>
        <v>43319</v>
      </c>
      <c r="J479">
        <f t="shared" si="3"/>
        <v>-5</v>
      </c>
    </row>
    <row r="480">
      <c r="A480" s="8">
        <f>IFERROR(__xludf.DUMMYFUNCTION("""COMPUTED_VALUE"""),43317.0)</f>
        <v>43317</v>
      </c>
      <c r="B480">
        <f>IFERROR(__xludf.DUMMYFUNCTION("""COMPUTED_VALUE"""),3.0)</f>
        <v>3</v>
      </c>
      <c r="C480">
        <f>IFERROR(__xludf.DUMMYFUNCTION("""COMPUTED_VALUE"""),4.0)</f>
        <v>4</v>
      </c>
      <c r="E480" s="8">
        <f>IFERROR(__xludf.DUMMYFUNCTION("""COMPUTED_VALUE"""),43317.0)</f>
        <v>43317</v>
      </c>
      <c r="F480">
        <f t="shared" ref="F480:G480" si="480">B480+F481</f>
        <v>252</v>
      </c>
      <c r="G480">
        <f t="shared" si="480"/>
        <v>256</v>
      </c>
      <c r="I480" s="8">
        <f>IFERROR(__xludf.DUMMYFUNCTION("""COMPUTED_VALUE"""),43317.0)</f>
        <v>43317</v>
      </c>
      <c r="J480">
        <f t="shared" si="3"/>
        <v>-4</v>
      </c>
    </row>
    <row r="481">
      <c r="A481" s="8">
        <f>IFERROR(__xludf.DUMMYFUNCTION("""COMPUTED_VALUE"""),43313.0)</f>
        <v>43313</v>
      </c>
      <c r="B481">
        <f>IFERROR(__xludf.DUMMYFUNCTION("""COMPUTED_VALUE"""),2.0)</f>
        <v>2</v>
      </c>
      <c r="C481">
        <f>IFERROR(__xludf.DUMMYFUNCTION("""COMPUTED_VALUE"""),1.0)</f>
        <v>1</v>
      </c>
      <c r="E481" s="8">
        <f>IFERROR(__xludf.DUMMYFUNCTION("""COMPUTED_VALUE"""),43313.0)</f>
        <v>43313</v>
      </c>
      <c r="F481">
        <f t="shared" ref="F481:G481" si="481">B481+F482</f>
        <v>249</v>
      </c>
      <c r="G481">
        <f t="shared" si="481"/>
        <v>252</v>
      </c>
      <c r="I481" s="8">
        <f>IFERROR(__xludf.DUMMYFUNCTION("""COMPUTED_VALUE"""),43313.0)</f>
        <v>43313</v>
      </c>
      <c r="J481">
        <f t="shared" si="3"/>
        <v>-3</v>
      </c>
    </row>
    <row r="482">
      <c r="A482" s="8">
        <f>IFERROR(__xludf.DUMMYFUNCTION("""COMPUTED_VALUE"""),43310.0)</f>
        <v>43310</v>
      </c>
      <c r="B482">
        <f>IFERROR(__xludf.DUMMYFUNCTION("""COMPUTED_VALUE"""),2.0)</f>
        <v>2</v>
      </c>
      <c r="C482">
        <f>IFERROR(__xludf.DUMMYFUNCTION("""COMPUTED_VALUE"""),3.0)</f>
        <v>3</v>
      </c>
      <c r="E482" s="8">
        <f>IFERROR(__xludf.DUMMYFUNCTION("""COMPUTED_VALUE"""),43310.0)</f>
        <v>43310</v>
      </c>
      <c r="F482">
        <f t="shared" ref="F482:G482" si="482">B482+F483</f>
        <v>247</v>
      </c>
      <c r="G482">
        <f t="shared" si="482"/>
        <v>251</v>
      </c>
      <c r="I482" s="8">
        <f>IFERROR(__xludf.DUMMYFUNCTION("""COMPUTED_VALUE"""),43310.0)</f>
        <v>43310</v>
      </c>
      <c r="J482">
        <f t="shared" si="3"/>
        <v>-4</v>
      </c>
    </row>
    <row r="483">
      <c r="A483" s="8">
        <f>IFERROR(__xludf.DUMMYFUNCTION("""COMPUTED_VALUE"""),43296.0)</f>
        <v>43296</v>
      </c>
      <c r="B483">
        <f>IFERROR(__xludf.DUMMYFUNCTION("""COMPUTED_VALUE"""),3.0)</f>
        <v>3</v>
      </c>
      <c r="C483">
        <f>IFERROR(__xludf.DUMMYFUNCTION("""COMPUTED_VALUE"""),1.0)</f>
        <v>1</v>
      </c>
      <c r="E483" s="8">
        <f>IFERROR(__xludf.DUMMYFUNCTION("""COMPUTED_VALUE"""),43296.0)</f>
        <v>43296</v>
      </c>
      <c r="F483">
        <f t="shared" ref="F483:G483" si="483">B483+F484</f>
        <v>245</v>
      </c>
      <c r="G483">
        <f t="shared" si="483"/>
        <v>248</v>
      </c>
      <c r="I483" s="8">
        <f>IFERROR(__xludf.DUMMYFUNCTION("""COMPUTED_VALUE"""),43296.0)</f>
        <v>43296</v>
      </c>
      <c r="J483">
        <f t="shared" si="3"/>
        <v>-3</v>
      </c>
    </row>
    <row r="484">
      <c r="A484" s="8">
        <f>IFERROR(__xludf.DUMMYFUNCTION("""COMPUTED_VALUE"""),43296.0)</f>
        <v>43296</v>
      </c>
      <c r="B484">
        <f>IFERROR(__xludf.DUMMYFUNCTION("""COMPUTED_VALUE"""),1.0)</f>
        <v>1</v>
      </c>
      <c r="C484">
        <f>IFERROR(__xludf.DUMMYFUNCTION("""COMPUTED_VALUE"""),3.0)</f>
        <v>3</v>
      </c>
      <c r="E484" s="8">
        <f>IFERROR(__xludf.DUMMYFUNCTION("""COMPUTED_VALUE"""),43296.0)</f>
        <v>43296</v>
      </c>
      <c r="F484">
        <f t="shared" ref="F484:G484" si="484">B484+F485</f>
        <v>242</v>
      </c>
      <c r="G484">
        <f t="shared" si="484"/>
        <v>247</v>
      </c>
      <c r="I484" s="8">
        <f>IFERROR(__xludf.DUMMYFUNCTION("""COMPUTED_VALUE"""),43296.0)</f>
        <v>43296</v>
      </c>
      <c r="J484">
        <f t="shared" si="3"/>
        <v>-5</v>
      </c>
    </row>
    <row r="485">
      <c r="A485" s="8">
        <f>IFERROR(__xludf.DUMMYFUNCTION("""COMPUTED_VALUE"""),43288.0)</f>
        <v>43288</v>
      </c>
      <c r="B485">
        <f>IFERROR(__xludf.DUMMYFUNCTION("""COMPUTED_VALUE"""),2.0)</f>
        <v>2</v>
      </c>
      <c r="C485">
        <f>IFERROR(__xludf.DUMMYFUNCTION("""COMPUTED_VALUE"""),3.0)</f>
        <v>3</v>
      </c>
      <c r="E485" s="8">
        <f>IFERROR(__xludf.DUMMYFUNCTION("""COMPUTED_VALUE"""),43288.0)</f>
        <v>43288</v>
      </c>
      <c r="F485">
        <f t="shared" ref="F485:G485" si="485">B485+F486</f>
        <v>241</v>
      </c>
      <c r="G485">
        <f t="shared" si="485"/>
        <v>244</v>
      </c>
      <c r="I485" s="8">
        <f>IFERROR(__xludf.DUMMYFUNCTION("""COMPUTED_VALUE"""),43288.0)</f>
        <v>43288</v>
      </c>
      <c r="J485">
        <f t="shared" si="3"/>
        <v>-3</v>
      </c>
    </row>
    <row r="486">
      <c r="A486" s="8">
        <f>IFERROR(__xludf.DUMMYFUNCTION("""COMPUTED_VALUE"""),43287.0)</f>
        <v>43287</v>
      </c>
      <c r="B486">
        <f>IFERROR(__xludf.DUMMYFUNCTION("""COMPUTED_VALUE"""),2.0)</f>
        <v>2</v>
      </c>
      <c r="C486">
        <f>IFERROR(__xludf.DUMMYFUNCTION("""COMPUTED_VALUE"""),1.0)</f>
        <v>1</v>
      </c>
      <c r="E486" s="8">
        <f>IFERROR(__xludf.DUMMYFUNCTION("""COMPUTED_VALUE"""),43287.0)</f>
        <v>43287</v>
      </c>
      <c r="F486">
        <f t="shared" ref="F486:G486" si="486">B486+F487</f>
        <v>239</v>
      </c>
      <c r="G486">
        <f t="shared" si="486"/>
        <v>241</v>
      </c>
      <c r="I486" s="8">
        <f>IFERROR(__xludf.DUMMYFUNCTION("""COMPUTED_VALUE"""),43287.0)</f>
        <v>43287</v>
      </c>
      <c r="J486">
        <f t="shared" si="3"/>
        <v>-2</v>
      </c>
    </row>
    <row r="487">
      <c r="A487" s="8">
        <f>IFERROR(__xludf.DUMMYFUNCTION("""COMPUTED_VALUE"""),43285.0)</f>
        <v>43285</v>
      </c>
      <c r="B487">
        <f>IFERROR(__xludf.DUMMYFUNCTION("""COMPUTED_VALUE"""),1.0)</f>
        <v>1</v>
      </c>
      <c r="C487">
        <f>IFERROR(__xludf.DUMMYFUNCTION("""COMPUTED_VALUE"""),2.0)</f>
        <v>2</v>
      </c>
      <c r="E487" s="8">
        <f>IFERROR(__xludf.DUMMYFUNCTION("""COMPUTED_VALUE"""),43285.0)</f>
        <v>43285</v>
      </c>
      <c r="F487">
        <f t="shared" ref="F487:G487" si="487">B487+F488</f>
        <v>237</v>
      </c>
      <c r="G487">
        <f t="shared" si="487"/>
        <v>240</v>
      </c>
      <c r="I487" s="8">
        <f>IFERROR(__xludf.DUMMYFUNCTION("""COMPUTED_VALUE"""),43285.0)</f>
        <v>43285</v>
      </c>
      <c r="J487">
        <f t="shared" si="3"/>
        <v>-3</v>
      </c>
    </row>
    <row r="488">
      <c r="A488" s="8">
        <f>IFERROR(__xludf.DUMMYFUNCTION("""COMPUTED_VALUE"""),43282.0)</f>
        <v>43282</v>
      </c>
      <c r="B488">
        <f>IFERROR(__xludf.DUMMYFUNCTION("""COMPUTED_VALUE"""),2.0)</f>
        <v>2</v>
      </c>
      <c r="C488">
        <f>IFERROR(__xludf.DUMMYFUNCTION("""COMPUTED_VALUE"""),1.0)</f>
        <v>1</v>
      </c>
      <c r="E488" s="8">
        <f>IFERROR(__xludf.DUMMYFUNCTION("""COMPUTED_VALUE"""),43282.0)</f>
        <v>43282</v>
      </c>
      <c r="F488">
        <f t="shared" ref="F488:G488" si="488">B488+F489</f>
        <v>236</v>
      </c>
      <c r="G488">
        <f t="shared" si="488"/>
        <v>238</v>
      </c>
      <c r="I488" s="8">
        <f>IFERROR(__xludf.DUMMYFUNCTION("""COMPUTED_VALUE"""),43282.0)</f>
        <v>43282</v>
      </c>
      <c r="J488">
        <f t="shared" si="3"/>
        <v>-2</v>
      </c>
    </row>
    <row r="489">
      <c r="A489" s="8">
        <f>IFERROR(__xludf.DUMMYFUNCTION("""COMPUTED_VALUE"""),43282.0)</f>
        <v>43282</v>
      </c>
      <c r="B489">
        <f>IFERROR(__xludf.DUMMYFUNCTION("""COMPUTED_VALUE"""),4.0)</f>
        <v>4</v>
      </c>
      <c r="C489">
        <f>IFERROR(__xludf.DUMMYFUNCTION("""COMPUTED_VALUE"""),2.0)</f>
        <v>2</v>
      </c>
      <c r="E489" s="8">
        <f>IFERROR(__xludf.DUMMYFUNCTION("""COMPUTED_VALUE"""),43282.0)</f>
        <v>43282</v>
      </c>
      <c r="F489">
        <f t="shared" ref="F489:G489" si="489">B489+F490</f>
        <v>234</v>
      </c>
      <c r="G489">
        <f t="shared" si="489"/>
        <v>237</v>
      </c>
      <c r="I489" s="8">
        <f>IFERROR(__xludf.DUMMYFUNCTION("""COMPUTED_VALUE"""),43282.0)</f>
        <v>43282</v>
      </c>
      <c r="J489">
        <f t="shared" si="3"/>
        <v>-3</v>
      </c>
    </row>
    <row r="490">
      <c r="A490" s="8">
        <f>IFERROR(__xludf.DUMMYFUNCTION("""COMPUTED_VALUE"""),43282.0)</f>
        <v>43282</v>
      </c>
      <c r="B490">
        <f>IFERROR(__xludf.DUMMYFUNCTION("""COMPUTED_VALUE"""),2.0)</f>
        <v>2</v>
      </c>
      <c r="C490">
        <f>IFERROR(__xludf.DUMMYFUNCTION("""COMPUTED_VALUE"""),4.0)</f>
        <v>4</v>
      </c>
      <c r="E490" s="8">
        <f>IFERROR(__xludf.DUMMYFUNCTION("""COMPUTED_VALUE"""),43282.0)</f>
        <v>43282</v>
      </c>
      <c r="F490">
        <f t="shared" ref="F490:G490" si="490">B490+F491</f>
        <v>230</v>
      </c>
      <c r="G490">
        <f t="shared" si="490"/>
        <v>235</v>
      </c>
      <c r="I490" s="8">
        <f>IFERROR(__xludf.DUMMYFUNCTION("""COMPUTED_VALUE"""),43282.0)</f>
        <v>43282</v>
      </c>
      <c r="J490">
        <f t="shared" si="3"/>
        <v>-5</v>
      </c>
    </row>
    <row r="491">
      <c r="A491" s="8">
        <f>IFERROR(__xludf.DUMMYFUNCTION("""COMPUTED_VALUE"""),43268.0)</f>
        <v>43268</v>
      </c>
      <c r="B491">
        <f>IFERROR(__xludf.DUMMYFUNCTION("""COMPUTED_VALUE"""),3.0)</f>
        <v>3</v>
      </c>
      <c r="C491">
        <f>IFERROR(__xludf.DUMMYFUNCTION("""COMPUTED_VALUE"""),1.0)</f>
        <v>1</v>
      </c>
      <c r="E491" s="8">
        <f>IFERROR(__xludf.DUMMYFUNCTION("""COMPUTED_VALUE"""),43268.0)</f>
        <v>43268</v>
      </c>
      <c r="F491">
        <f t="shared" ref="F491:G491" si="491">B491+F492</f>
        <v>228</v>
      </c>
      <c r="G491">
        <f t="shared" si="491"/>
        <v>231</v>
      </c>
      <c r="I491" s="8">
        <f>IFERROR(__xludf.DUMMYFUNCTION("""COMPUTED_VALUE"""),43268.0)</f>
        <v>43268</v>
      </c>
      <c r="J491">
        <f t="shared" si="3"/>
        <v>-3</v>
      </c>
    </row>
    <row r="492">
      <c r="A492" s="8">
        <f>IFERROR(__xludf.DUMMYFUNCTION("""COMPUTED_VALUE"""),43193.0)</f>
        <v>43193</v>
      </c>
      <c r="B492">
        <f>IFERROR(__xludf.DUMMYFUNCTION("""COMPUTED_VALUE"""),1.0)</f>
        <v>1</v>
      </c>
      <c r="C492">
        <f>IFERROR(__xludf.DUMMYFUNCTION("""COMPUTED_VALUE"""),3.0)</f>
        <v>3</v>
      </c>
      <c r="E492" s="8">
        <f>IFERROR(__xludf.DUMMYFUNCTION("""COMPUTED_VALUE"""),43193.0)</f>
        <v>43193</v>
      </c>
      <c r="F492">
        <f t="shared" ref="F492:G492" si="492">B492+F493</f>
        <v>225</v>
      </c>
      <c r="G492">
        <f t="shared" si="492"/>
        <v>230</v>
      </c>
      <c r="I492" s="8">
        <f>IFERROR(__xludf.DUMMYFUNCTION("""COMPUTED_VALUE"""),43193.0)</f>
        <v>43193</v>
      </c>
      <c r="J492">
        <f t="shared" si="3"/>
        <v>-5</v>
      </c>
    </row>
    <row r="493">
      <c r="A493" s="8">
        <f>IFERROR(__xludf.DUMMYFUNCTION("""COMPUTED_VALUE"""),43188.0)</f>
        <v>43188</v>
      </c>
      <c r="B493">
        <f>IFERROR(__xludf.DUMMYFUNCTION("""COMPUTED_VALUE"""),1.0)</f>
        <v>1</v>
      </c>
      <c r="C493">
        <f>IFERROR(__xludf.DUMMYFUNCTION("""COMPUTED_VALUE"""),3.0)</f>
        <v>3</v>
      </c>
      <c r="E493" s="8">
        <f>IFERROR(__xludf.DUMMYFUNCTION("""COMPUTED_VALUE"""),43188.0)</f>
        <v>43188</v>
      </c>
      <c r="F493">
        <f t="shared" ref="F493:G493" si="493">B493+F494</f>
        <v>224</v>
      </c>
      <c r="G493">
        <f t="shared" si="493"/>
        <v>227</v>
      </c>
      <c r="I493" s="8">
        <f>IFERROR(__xludf.DUMMYFUNCTION("""COMPUTED_VALUE"""),43188.0)</f>
        <v>43188</v>
      </c>
      <c r="J493">
        <f t="shared" si="3"/>
        <v>-3</v>
      </c>
    </row>
    <row r="494">
      <c r="A494" s="8">
        <f>IFERROR(__xludf.DUMMYFUNCTION("""COMPUTED_VALUE"""),43167.0)</f>
        <v>43167</v>
      </c>
      <c r="B494">
        <f>IFERROR(__xludf.DUMMYFUNCTION("""COMPUTED_VALUE"""),2.0)</f>
        <v>2</v>
      </c>
      <c r="C494">
        <f>IFERROR(__xludf.DUMMYFUNCTION("""COMPUTED_VALUE"""),3.0)</f>
        <v>3</v>
      </c>
      <c r="E494" s="8">
        <f>IFERROR(__xludf.DUMMYFUNCTION("""COMPUTED_VALUE"""),43167.0)</f>
        <v>43167</v>
      </c>
      <c r="F494">
        <f t="shared" ref="F494:G494" si="494">B494+F495</f>
        <v>223</v>
      </c>
      <c r="G494">
        <f t="shared" si="494"/>
        <v>224</v>
      </c>
      <c r="I494" s="8">
        <f>IFERROR(__xludf.DUMMYFUNCTION("""COMPUTED_VALUE"""),43167.0)</f>
        <v>43167</v>
      </c>
      <c r="J494">
        <f t="shared" si="3"/>
        <v>-1</v>
      </c>
    </row>
    <row r="495">
      <c r="A495" s="8">
        <f>IFERROR(__xludf.DUMMYFUNCTION("""COMPUTED_VALUE"""),43158.0)</f>
        <v>43158</v>
      </c>
      <c r="B495">
        <f>IFERROR(__xludf.DUMMYFUNCTION("""COMPUTED_VALUE"""),2.0)</f>
        <v>2</v>
      </c>
      <c r="C495">
        <f>IFERROR(__xludf.DUMMYFUNCTION("""COMPUTED_VALUE"""),3.0)</f>
        <v>3</v>
      </c>
      <c r="E495" s="8">
        <f>IFERROR(__xludf.DUMMYFUNCTION("""COMPUTED_VALUE"""),43158.0)</f>
        <v>43158</v>
      </c>
      <c r="F495">
        <f t="shared" ref="F495:G495" si="495">B495+F496</f>
        <v>221</v>
      </c>
      <c r="G495">
        <f t="shared" si="495"/>
        <v>221</v>
      </c>
      <c r="I495" s="8">
        <f>IFERROR(__xludf.DUMMYFUNCTION("""COMPUTED_VALUE"""),43158.0)</f>
        <v>43158</v>
      </c>
      <c r="J495">
        <f t="shared" si="3"/>
        <v>0</v>
      </c>
    </row>
    <row r="496">
      <c r="A496" s="8">
        <f>IFERROR(__xludf.DUMMYFUNCTION("""COMPUTED_VALUE"""),43132.0)</f>
        <v>43132</v>
      </c>
      <c r="B496">
        <f>IFERROR(__xludf.DUMMYFUNCTION("""COMPUTED_VALUE"""),3.0)</f>
        <v>3</v>
      </c>
      <c r="C496">
        <f>IFERROR(__xludf.DUMMYFUNCTION("""COMPUTED_VALUE"""),2.0)</f>
        <v>2</v>
      </c>
      <c r="E496" s="8">
        <f>IFERROR(__xludf.DUMMYFUNCTION("""COMPUTED_VALUE"""),43132.0)</f>
        <v>43132</v>
      </c>
      <c r="F496">
        <f t="shared" ref="F496:G496" si="496">B496+F497</f>
        <v>219</v>
      </c>
      <c r="G496">
        <f t="shared" si="496"/>
        <v>218</v>
      </c>
      <c r="I496" s="8">
        <f>IFERROR(__xludf.DUMMYFUNCTION("""COMPUTED_VALUE"""),43132.0)</f>
        <v>43132</v>
      </c>
      <c r="J496">
        <f t="shared" si="3"/>
        <v>1</v>
      </c>
    </row>
    <row r="497">
      <c r="A497" s="8">
        <f>IFERROR(__xludf.DUMMYFUNCTION("""COMPUTED_VALUE"""),43127.0)</f>
        <v>43127</v>
      </c>
      <c r="B497">
        <f>IFERROR(__xludf.DUMMYFUNCTION("""COMPUTED_VALUE"""),1.0)</f>
        <v>1</v>
      </c>
      <c r="C497">
        <f>IFERROR(__xludf.DUMMYFUNCTION("""COMPUTED_VALUE"""),3.0)</f>
        <v>3</v>
      </c>
      <c r="E497" s="8">
        <f>IFERROR(__xludf.DUMMYFUNCTION("""COMPUTED_VALUE"""),43127.0)</f>
        <v>43127</v>
      </c>
      <c r="F497">
        <f t="shared" ref="F497:G497" si="497">B497+F498</f>
        <v>216</v>
      </c>
      <c r="G497">
        <f t="shared" si="497"/>
        <v>216</v>
      </c>
      <c r="I497" s="8">
        <f>IFERROR(__xludf.DUMMYFUNCTION("""COMPUTED_VALUE"""),43127.0)</f>
        <v>43127</v>
      </c>
      <c r="J497">
        <f t="shared" si="3"/>
        <v>0</v>
      </c>
    </row>
    <row r="498">
      <c r="A498" s="8">
        <f>IFERROR(__xludf.DUMMYFUNCTION("""COMPUTED_VALUE"""),43126.0)</f>
        <v>43126</v>
      </c>
      <c r="B498">
        <f>IFERROR(__xludf.DUMMYFUNCTION("""COMPUTED_VALUE"""),3.0)</f>
        <v>3</v>
      </c>
      <c r="C498">
        <f>IFERROR(__xludf.DUMMYFUNCTION("""COMPUTED_VALUE"""),1.0)</f>
        <v>1</v>
      </c>
      <c r="E498" s="8">
        <f>IFERROR(__xludf.DUMMYFUNCTION("""COMPUTED_VALUE"""),43126.0)</f>
        <v>43126</v>
      </c>
      <c r="F498">
        <f t="shared" ref="F498:G498" si="498">B498+F499</f>
        <v>215</v>
      </c>
      <c r="G498">
        <f t="shared" si="498"/>
        <v>213</v>
      </c>
      <c r="I498" s="8">
        <f>IFERROR(__xludf.DUMMYFUNCTION("""COMPUTED_VALUE"""),43126.0)</f>
        <v>43126</v>
      </c>
      <c r="J498">
        <f t="shared" si="3"/>
        <v>2</v>
      </c>
    </row>
    <row r="499">
      <c r="A499" s="8">
        <f>IFERROR(__xludf.DUMMYFUNCTION("""COMPUTED_VALUE"""),43119.0)</f>
        <v>43119</v>
      </c>
      <c r="B499">
        <f>IFERROR(__xludf.DUMMYFUNCTION("""COMPUTED_VALUE"""),2.0)</f>
        <v>2</v>
      </c>
      <c r="C499">
        <f>IFERROR(__xludf.DUMMYFUNCTION("""COMPUTED_VALUE"""),3.0)</f>
        <v>3</v>
      </c>
      <c r="E499" s="8">
        <f>IFERROR(__xludf.DUMMYFUNCTION("""COMPUTED_VALUE"""),43119.0)</f>
        <v>43119</v>
      </c>
      <c r="F499">
        <f t="shared" ref="F499:G499" si="499">B499+F500</f>
        <v>212</v>
      </c>
      <c r="G499">
        <f t="shared" si="499"/>
        <v>212</v>
      </c>
      <c r="I499" s="8">
        <f>IFERROR(__xludf.DUMMYFUNCTION("""COMPUTED_VALUE"""),43119.0)</f>
        <v>43119</v>
      </c>
      <c r="J499">
        <f t="shared" si="3"/>
        <v>0</v>
      </c>
    </row>
    <row r="500">
      <c r="A500" s="8">
        <f>IFERROR(__xludf.DUMMYFUNCTION("""COMPUTED_VALUE"""),43114.0)</f>
        <v>43114</v>
      </c>
      <c r="B500">
        <f>IFERROR(__xludf.DUMMYFUNCTION("""COMPUTED_VALUE"""),1.0)</f>
        <v>1</v>
      </c>
      <c r="C500">
        <f>IFERROR(__xludf.DUMMYFUNCTION("""COMPUTED_VALUE"""),3.0)</f>
        <v>3</v>
      </c>
      <c r="E500" s="8">
        <f>IFERROR(__xludf.DUMMYFUNCTION("""COMPUTED_VALUE"""),43114.0)</f>
        <v>43114</v>
      </c>
      <c r="F500">
        <f t="shared" ref="F500:G500" si="500">B500+F501</f>
        <v>210</v>
      </c>
      <c r="G500">
        <f t="shared" si="500"/>
        <v>209</v>
      </c>
      <c r="I500" s="8">
        <f>IFERROR(__xludf.DUMMYFUNCTION("""COMPUTED_VALUE"""),43114.0)</f>
        <v>43114</v>
      </c>
      <c r="J500">
        <f t="shared" si="3"/>
        <v>1</v>
      </c>
    </row>
    <row r="501">
      <c r="A501" s="8">
        <f>IFERROR(__xludf.DUMMYFUNCTION("""COMPUTED_VALUE"""),43101.0)</f>
        <v>43101</v>
      </c>
      <c r="B501">
        <f>IFERROR(__xludf.DUMMYFUNCTION("""COMPUTED_VALUE"""),2.0)</f>
        <v>2</v>
      </c>
      <c r="C501">
        <f>IFERROR(__xludf.DUMMYFUNCTION("""COMPUTED_VALUE"""),3.0)</f>
        <v>3</v>
      </c>
      <c r="E501" s="8">
        <f>IFERROR(__xludf.DUMMYFUNCTION("""COMPUTED_VALUE"""),43101.0)</f>
        <v>43101</v>
      </c>
      <c r="F501">
        <f t="shared" ref="F501:G501" si="501">B501+F502</f>
        <v>209</v>
      </c>
      <c r="G501">
        <f t="shared" si="501"/>
        <v>206</v>
      </c>
      <c r="I501" s="8">
        <f>IFERROR(__xludf.DUMMYFUNCTION("""COMPUTED_VALUE"""),43101.0)</f>
        <v>43101</v>
      </c>
      <c r="J501">
        <f t="shared" si="3"/>
        <v>3</v>
      </c>
    </row>
    <row r="502">
      <c r="A502" s="8">
        <f>IFERROR(__xludf.DUMMYFUNCTION("""COMPUTED_VALUE"""),43097.0)</f>
        <v>43097</v>
      </c>
      <c r="B502">
        <f>IFERROR(__xludf.DUMMYFUNCTION("""COMPUTED_VALUE"""),3.0)</f>
        <v>3</v>
      </c>
      <c r="C502">
        <f>IFERROR(__xludf.DUMMYFUNCTION("""COMPUTED_VALUE"""),2.0)</f>
        <v>2</v>
      </c>
      <c r="E502" s="8">
        <f>IFERROR(__xludf.DUMMYFUNCTION("""COMPUTED_VALUE"""),43097.0)</f>
        <v>43097</v>
      </c>
      <c r="F502">
        <f t="shared" ref="F502:G502" si="502">B502+F503</f>
        <v>207</v>
      </c>
      <c r="G502">
        <f t="shared" si="502"/>
        <v>203</v>
      </c>
      <c r="I502" s="8">
        <f>IFERROR(__xludf.DUMMYFUNCTION("""COMPUTED_VALUE"""),43097.0)</f>
        <v>43097</v>
      </c>
      <c r="J502">
        <f t="shared" si="3"/>
        <v>4</v>
      </c>
    </row>
    <row r="503">
      <c r="A503" s="8">
        <f>IFERROR(__xludf.DUMMYFUNCTION("""COMPUTED_VALUE"""),43095.0)</f>
        <v>43095</v>
      </c>
      <c r="B503">
        <f>IFERROR(__xludf.DUMMYFUNCTION("""COMPUTED_VALUE"""),1.0)</f>
        <v>1</v>
      </c>
      <c r="C503">
        <f>IFERROR(__xludf.DUMMYFUNCTION("""COMPUTED_VALUE"""),2.0)</f>
        <v>2</v>
      </c>
      <c r="E503" s="8">
        <f>IFERROR(__xludf.DUMMYFUNCTION("""COMPUTED_VALUE"""),43095.0)</f>
        <v>43095</v>
      </c>
      <c r="F503">
        <f t="shared" ref="F503:G503" si="503">B503+F504</f>
        <v>204</v>
      </c>
      <c r="G503">
        <f t="shared" si="503"/>
        <v>201</v>
      </c>
      <c r="I503" s="8">
        <f>IFERROR(__xludf.DUMMYFUNCTION("""COMPUTED_VALUE"""),43095.0)</f>
        <v>43095</v>
      </c>
      <c r="J503">
        <f t="shared" si="3"/>
        <v>3</v>
      </c>
    </row>
    <row r="504">
      <c r="A504" s="8">
        <f>IFERROR(__xludf.DUMMYFUNCTION("""COMPUTED_VALUE"""),43093.0)</f>
        <v>43093</v>
      </c>
      <c r="B504">
        <f>IFERROR(__xludf.DUMMYFUNCTION("""COMPUTED_VALUE"""),3.0)</f>
        <v>3</v>
      </c>
      <c r="C504">
        <f>IFERROR(__xludf.DUMMYFUNCTION("""COMPUTED_VALUE"""),1.0)</f>
        <v>1</v>
      </c>
      <c r="E504" s="8">
        <f>IFERROR(__xludf.DUMMYFUNCTION("""COMPUTED_VALUE"""),43093.0)</f>
        <v>43093</v>
      </c>
      <c r="F504">
        <f t="shared" ref="F504:G504" si="504">B504+F505</f>
        <v>203</v>
      </c>
      <c r="G504">
        <f t="shared" si="504"/>
        <v>199</v>
      </c>
      <c r="I504" s="8">
        <f>IFERROR(__xludf.DUMMYFUNCTION("""COMPUTED_VALUE"""),43093.0)</f>
        <v>43093</v>
      </c>
      <c r="J504">
        <f t="shared" si="3"/>
        <v>4</v>
      </c>
    </row>
    <row r="505">
      <c r="A505" s="8">
        <f>IFERROR(__xludf.DUMMYFUNCTION("""COMPUTED_VALUE"""),43090.0)</f>
        <v>43090</v>
      </c>
      <c r="B505">
        <f>IFERROR(__xludf.DUMMYFUNCTION("""COMPUTED_VALUE"""),1.0)</f>
        <v>1</v>
      </c>
      <c r="C505">
        <f>IFERROR(__xludf.DUMMYFUNCTION("""COMPUTED_VALUE"""),3.0)</f>
        <v>3</v>
      </c>
      <c r="E505" s="8">
        <f>IFERROR(__xludf.DUMMYFUNCTION("""COMPUTED_VALUE"""),43090.0)</f>
        <v>43090</v>
      </c>
      <c r="F505">
        <f t="shared" ref="F505:G505" si="505">B505+F506</f>
        <v>200</v>
      </c>
      <c r="G505">
        <f t="shared" si="505"/>
        <v>198</v>
      </c>
      <c r="I505" s="8">
        <f>IFERROR(__xludf.DUMMYFUNCTION("""COMPUTED_VALUE"""),43090.0)</f>
        <v>43090</v>
      </c>
      <c r="J505">
        <f t="shared" si="3"/>
        <v>2</v>
      </c>
    </row>
    <row r="506">
      <c r="A506" s="8">
        <f>IFERROR(__xludf.DUMMYFUNCTION("""COMPUTED_VALUE"""),43076.0)</f>
        <v>43076</v>
      </c>
      <c r="B506">
        <f>IFERROR(__xludf.DUMMYFUNCTION("""COMPUTED_VALUE"""),2.0)</f>
        <v>2</v>
      </c>
      <c r="C506">
        <f>IFERROR(__xludf.DUMMYFUNCTION("""COMPUTED_VALUE"""),1.0)</f>
        <v>1</v>
      </c>
      <c r="E506" s="8">
        <f>IFERROR(__xludf.DUMMYFUNCTION("""COMPUTED_VALUE"""),43076.0)</f>
        <v>43076</v>
      </c>
      <c r="F506">
        <f t="shared" ref="F506:G506" si="506">B506+F507</f>
        <v>199</v>
      </c>
      <c r="G506">
        <f t="shared" si="506"/>
        <v>195</v>
      </c>
      <c r="I506" s="8">
        <f>IFERROR(__xludf.DUMMYFUNCTION("""COMPUTED_VALUE"""),43076.0)</f>
        <v>43076</v>
      </c>
      <c r="J506">
        <f t="shared" si="3"/>
        <v>4</v>
      </c>
    </row>
    <row r="507">
      <c r="A507" s="8">
        <f>IFERROR(__xludf.DUMMYFUNCTION("""COMPUTED_VALUE"""),43072.0)</f>
        <v>43072</v>
      </c>
      <c r="B507">
        <f>IFERROR(__xludf.DUMMYFUNCTION("""COMPUTED_VALUE"""),1.0)</f>
        <v>1</v>
      </c>
      <c r="C507">
        <f>IFERROR(__xludf.DUMMYFUNCTION("""COMPUTED_VALUE"""),3.0)</f>
        <v>3</v>
      </c>
      <c r="E507" s="8">
        <f>IFERROR(__xludf.DUMMYFUNCTION("""COMPUTED_VALUE"""),43072.0)</f>
        <v>43072</v>
      </c>
      <c r="F507">
        <f t="shared" ref="F507:G507" si="507">B507+F508</f>
        <v>197</v>
      </c>
      <c r="G507">
        <f t="shared" si="507"/>
        <v>194</v>
      </c>
      <c r="I507" s="8">
        <f>IFERROR(__xludf.DUMMYFUNCTION("""COMPUTED_VALUE"""),43072.0)</f>
        <v>43072</v>
      </c>
      <c r="J507">
        <f t="shared" si="3"/>
        <v>3</v>
      </c>
    </row>
    <row r="508">
      <c r="A508" s="8">
        <f>IFERROR(__xludf.DUMMYFUNCTION("""COMPUTED_VALUE"""),43069.0)</f>
        <v>43069</v>
      </c>
      <c r="B508">
        <f>IFERROR(__xludf.DUMMYFUNCTION("""COMPUTED_VALUE"""),3.0)</f>
        <v>3</v>
      </c>
      <c r="C508">
        <f>IFERROR(__xludf.DUMMYFUNCTION("""COMPUTED_VALUE"""),1.0)</f>
        <v>1</v>
      </c>
      <c r="E508" s="8">
        <f>IFERROR(__xludf.DUMMYFUNCTION("""COMPUTED_VALUE"""),43069.0)</f>
        <v>43069</v>
      </c>
      <c r="F508">
        <f t="shared" ref="F508:G508" si="508">B508+F509</f>
        <v>196</v>
      </c>
      <c r="G508">
        <f t="shared" si="508"/>
        <v>191</v>
      </c>
      <c r="I508" s="8">
        <f>IFERROR(__xludf.DUMMYFUNCTION("""COMPUTED_VALUE"""),43069.0)</f>
        <v>43069</v>
      </c>
      <c r="J508">
        <f t="shared" si="3"/>
        <v>5</v>
      </c>
    </row>
    <row r="509">
      <c r="A509" s="8">
        <f>IFERROR(__xludf.DUMMYFUNCTION("""COMPUTED_VALUE"""),43065.0)</f>
        <v>43065</v>
      </c>
      <c r="B509">
        <f>IFERROR(__xludf.DUMMYFUNCTION("""COMPUTED_VALUE"""),4.0)</f>
        <v>4</v>
      </c>
      <c r="C509">
        <f>IFERROR(__xludf.DUMMYFUNCTION("""COMPUTED_VALUE"""),2.0)</f>
        <v>2</v>
      </c>
      <c r="E509" s="8">
        <f>IFERROR(__xludf.DUMMYFUNCTION("""COMPUTED_VALUE"""),43065.0)</f>
        <v>43065</v>
      </c>
      <c r="F509">
        <f t="shared" ref="F509:G509" si="509">B509+F510</f>
        <v>193</v>
      </c>
      <c r="G509">
        <f t="shared" si="509"/>
        <v>190</v>
      </c>
      <c r="I509" s="8">
        <f>IFERROR(__xludf.DUMMYFUNCTION("""COMPUTED_VALUE"""),43065.0)</f>
        <v>43065</v>
      </c>
      <c r="J509">
        <f t="shared" si="3"/>
        <v>3</v>
      </c>
    </row>
    <row r="510">
      <c r="A510" s="8">
        <f>IFERROR(__xludf.DUMMYFUNCTION("""COMPUTED_VALUE"""),43057.0)</f>
        <v>43057</v>
      </c>
      <c r="B510">
        <f>IFERROR(__xludf.DUMMYFUNCTION("""COMPUTED_VALUE"""),3.0)</f>
        <v>3</v>
      </c>
      <c r="C510">
        <f>IFERROR(__xludf.DUMMYFUNCTION("""COMPUTED_VALUE"""),1.0)</f>
        <v>1</v>
      </c>
      <c r="E510" s="8">
        <f>IFERROR(__xludf.DUMMYFUNCTION("""COMPUTED_VALUE"""),43057.0)</f>
        <v>43057</v>
      </c>
      <c r="F510">
        <f t="shared" ref="F510:G510" si="510">B510+F511</f>
        <v>189</v>
      </c>
      <c r="G510">
        <f t="shared" si="510"/>
        <v>188</v>
      </c>
      <c r="I510" s="8">
        <f>IFERROR(__xludf.DUMMYFUNCTION("""COMPUTED_VALUE"""),43057.0)</f>
        <v>43057</v>
      </c>
      <c r="J510">
        <f t="shared" si="3"/>
        <v>1</v>
      </c>
    </row>
    <row r="511">
      <c r="A511" s="8">
        <f>IFERROR(__xludf.DUMMYFUNCTION("""COMPUTED_VALUE"""),43055.0)</f>
        <v>43055</v>
      </c>
      <c r="B511">
        <f>IFERROR(__xludf.DUMMYFUNCTION("""COMPUTED_VALUE"""),4.0)</f>
        <v>4</v>
      </c>
      <c r="C511">
        <f>IFERROR(__xludf.DUMMYFUNCTION("""COMPUTED_VALUE"""),3.0)</f>
        <v>3</v>
      </c>
      <c r="E511" s="8">
        <f>IFERROR(__xludf.DUMMYFUNCTION("""COMPUTED_VALUE"""),43055.0)</f>
        <v>43055</v>
      </c>
      <c r="F511">
        <f t="shared" ref="F511:G511" si="511">B511+F512</f>
        <v>186</v>
      </c>
      <c r="G511">
        <f t="shared" si="511"/>
        <v>187</v>
      </c>
      <c r="I511" s="8">
        <f>IFERROR(__xludf.DUMMYFUNCTION("""COMPUTED_VALUE"""),43055.0)</f>
        <v>43055</v>
      </c>
      <c r="J511">
        <f t="shared" si="3"/>
        <v>-1</v>
      </c>
    </row>
    <row r="512">
      <c r="A512" s="8">
        <f>IFERROR(__xludf.DUMMYFUNCTION("""COMPUTED_VALUE"""),43046.0)</f>
        <v>43046</v>
      </c>
      <c r="B512">
        <f>IFERROR(__xludf.DUMMYFUNCTION("""COMPUTED_VALUE"""),4.0)</f>
        <v>4</v>
      </c>
      <c r="C512">
        <f>IFERROR(__xludf.DUMMYFUNCTION("""COMPUTED_VALUE"""),2.0)</f>
        <v>2</v>
      </c>
      <c r="E512" s="8">
        <f>IFERROR(__xludf.DUMMYFUNCTION("""COMPUTED_VALUE"""),43046.0)</f>
        <v>43046</v>
      </c>
      <c r="F512">
        <f t="shared" ref="F512:G512" si="512">B512+F513</f>
        <v>182</v>
      </c>
      <c r="G512">
        <f t="shared" si="512"/>
        <v>184</v>
      </c>
      <c r="I512" s="8">
        <f>IFERROR(__xludf.DUMMYFUNCTION("""COMPUTED_VALUE"""),43046.0)</f>
        <v>43046</v>
      </c>
      <c r="J512">
        <f t="shared" si="3"/>
        <v>-2</v>
      </c>
    </row>
    <row r="513">
      <c r="A513" s="8">
        <f>IFERROR(__xludf.DUMMYFUNCTION("""COMPUTED_VALUE"""),43044.0)</f>
        <v>43044</v>
      </c>
      <c r="B513">
        <f>IFERROR(__xludf.DUMMYFUNCTION("""COMPUTED_VALUE"""),1.0)</f>
        <v>1</v>
      </c>
      <c r="C513">
        <f>IFERROR(__xludf.DUMMYFUNCTION("""COMPUTED_VALUE"""),3.0)</f>
        <v>3</v>
      </c>
      <c r="E513" s="8">
        <f>IFERROR(__xludf.DUMMYFUNCTION("""COMPUTED_VALUE"""),43044.0)</f>
        <v>43044</v>
      </c>
      <c r="F513">
        <f t="shared" ref="F513:G513" si="513">B513+F514</f>
        <v>178</v>
      </c>
      <c r="G513">
        <f t="shared" si="513"/>
        <v>182</v>
      </c>
      <c r="I513" s="8">
        <f>IFERROR(__xludf.DUMMYFUNCTION("""COMPUTED_VALUE"""),43044.0)</f>
        <v>43044</v>
      </c>
      <c r="J513">
        <f t="shared" si="3"/>
        <v>-4</v>
      </c>
    </row>
    <row r="514">
      <c r="A514" s="8">
        <f>IFERROR(__xludf.DUMMYFUNCTION("""COMPUTED_VALUE"""),43041.0)</f>
        <v>43041</v>
      </c>
      <c r="B514">
        <f>IFERROR(__xludf.DUMMYFUNCTION("""COMPUTED_VALUE"""),2.0)</f>
        <v>2</v>
      </c>
      <c r="C514">
        <f>IFERROR(__xludf.DUMMYFUNCTION("""COMPUTED_VALUE"""),3.0)</f>
        <v>3</v>
      </c>
      <c r="E514" s="8">
        <f>IFERROR(__xludf.DUMMYFUNCTION("""COMPUTED_VALUE"""),43041.0)</f>
        <v>43041</v>
      </c>
      <c r="F514">
        <f t="shared" ref="F514:G514" si="514">B514+F515</f>
        <v>177</v>
      </c>
      <c r="G514">
        <f t="shared" si="514"/>
        <v>179</v>
      </c>
      <c r="I514" s="8">
        <f>IFERROR(__xludf.DUMMYFUNCTION("""COMPUTED_VALUE"""),43041.0)</f>
        <v>43041</v>
      </c>
      <c r="J514">
        <f t="shared" si="3"/>
        <v>-2</v>
      </c>
    </row>
    <row r="515">
      <c r="A515" s="8">
        <f>IFERROR(__xludf.DUMMYFUNCTION("""COMPUTED_VALUE"""),43037.0)</f>
        <v>43037</v>
      </c>
      <c r="B515">
        <f>IFERROR(__xludf.DUMMYFUNCTION("""COMPUTED_VALUE"""),2.0)</f>
        <v>2</v>
      </c>
      <c r="C515">
        <f>IFERROR(__xludf.DUMMYFUNCTION("""COMPUTED_VALUE"""),3.0)</f>
        <v>3</v>
      </c>
      <c r="E515" s="8">
        <f>IFERROR(__xludf.DUMMYFUNCTION("""COMPUTED_VALUE"""),43037.0)</f>
        <v>43037</v>
      </c>
      <c r="F515">
        <f t="shared" ref="F515:G515" si="515">B515+F516</f>
        <v>175</v>
      </c>
      <c r="G515">
        <f t="shared" si="515"/>
        <v>176</v>
      </c>
      <c r="I515" s="8">
        <f>IFERROR(__xludf.DUMMYFUNCTION("""COMPUTED_VALUE"""),43037.0)</f>
        <v>43037</v>
      </c>
      <c r="J515">
        <f t="shared" si="3"/>
        <v>-1</v>
      </c>
    </row>
    <row r="516">
      <c r="A516" s="8">
        <f>IFERROR(__xludf.DUMMYFUNCTION("""COMPUTED_VALUE"""),43034.0)</f>
        <v>43034</v>
      </c>
      <c r="B516">
        <f>IFERROR(__xludf.DUMMYFUNCTION("""COMPUTED_VALUE"""),1.0)</f>
        <v>1</v>
      </c>
      <c r="C516">
        <f>IFERROR(__xludf.DUMMYFUNCTION("""COMPUTED_VALUE"""),3.0)</f>
        <v>3</v>
      </c>
      <c r="E516" s="8">
        <f>IFERROR(__xludf.DUMMYFUNCTION("""COMPUTED_VALUE"""),43034.0)</f>
        <v>43034</v>
      </c>
      <c r="F516">
        <f t="shared" ref="F516:G516" si="516">B516+F517</f>
        <v>173</v>
      </c>
      <c r="G516">
        <f t="shared" si="516"/>
        <v>173</v>
      </c>
      <c r="I516" s="8">
        <f>IFERROR(__xludf.DUMMYFUNCTION("""COMPUTED_VALUE"""),43034.0)</f>
        <v>43034</v>
      </c>
      <c r="J516">
        <f t="shared" si="3"/>
        <v>0</v>
      </c>
    </row>
    <row r="517">
      <c r="A517" s="8">
        <f>IFERROR(__xludf.DUMMYFUNCTION("""COMPUTED_VALUE"""),43018.0)</f>
        <v>43018</v>
      </c>
      <c r="B517">
        <f>IFERROR(__xludf.DUMMYFUNCTION("""COMPUTED_VALUE"""),1.0)</f>
        <v>1</v>
      </c>
      <c r="C517">
        <f>IFERROR(__xludf.DUMMYFUNCTION("""COMPUTED_VALUE"""),3.0)</f>
        <v>3</v>
      </c>
      <c r="E517" s="8">
        <f>IFERROR(__xludf.DUMMYFUNCTION("""COMPUTED_VALUE"""),43018.0)</f>
        <v>43018</v>
      </c>
      <c r="F517">
        <f t="shared" ref="F517:G517" si="517">B517+F518</f>
        <v>172</v>
      </c>
      <c r="G517">
        <f t="shared" si="517"/>
        <v>170</v>
      </c>
      <c r="I517" s="8">
        <f>IFERROR(__xludf.DUMMYFUNCTION("""COMPUTED_VALUE"""),43018.0)</f>
        <v>43018</v>
      </c>
      <c r="J517">
        <f t="shared" si="3"/>
        <v>2</v>
      </c>
    </row>
    <row r="518">
      <c r="A518" s="8">
        <f>IFERROR(__xludf.DUMMYFUNCTION("""COMPUTED_VALUE"""),43005.0)</f>
        <v>43005</v>
      </c>
      <c r="B518">
        <f>IFERROR(__xludf.DUMMYFUNCTION("""COMPUTED_VALUE"""),3.0)</f>
        <v>3</v>
      </c>
      <c r="C518">
        <f>IFERROR(__xludf.DUMMYFUNCTION("""COMPUTED_VALUE"""),1.0)</f>
        <v>1</v>
      </c>
      <c r="E518" s="8">
        <f>IFERROR(__xludf.DUMMYFUNCTION("""COMPUTED_VALUE"""),43005.0)</f>
        <v>43005</v>
      </c>
      <c r="F518">
        <f t="shared" ref="F518:G518" si="518">B518+F519</f>
        <v>171</v>
      </c>
      <c r="G518">
        <f t="shared" si="518"/>
        <v>167</v>
      </c>
      <c r="I518" s="8">
        <f>IFERROR(__xludf.DUMMYFUNCTION("""COMPUTED_VALUE"""),43005.0)</f>
        <v>43005</v>
      </c>
      <c r="J518">
        <f t="shared" si="3"/>
        <v>4</v>
      </c>
    </row>
    <row r="519">
      <c r="A519" s="8">
        <f>IFERROR(__xludf.DUMMYFUNCTION("""COMPUTED_VALUE"""),43002.0)</f>
        <v>43002</v>
      </c>
      <c r="B519">
        <f>IFERROR(__xludf.DUMMYFUNCTION("""COMPUTED_VALUE"""),2.0)</f>
        <v>2</v>
      </c>
      <c r="C519">
        <f>IFERROR(__xludf.DUMMYFUNCTION("""COMPUTED_VALUE"""),3.0)</f>
        <v>3</v>
      </c>
      <c r="E519" s="8">
        <f>IFERROR(__xludf.DUMMYFUNCTION("""COMPUTED_VALUE"""),43002.0)</f>
        <v>43002</v>
      </c>
      <c r="F519">
        <f t="shared" ref="F519:G519" si="519">B519+F520</f>
        <v>168</v>
      </c>
      <c r="G519">
        <f t="shared" si="519"/>
        <v>166</v>
      </c>
      <c r="I519" s="8">
        <f>IFERROR(__xludf.DUMMYFUNCTION("""COMPUTED_VALUE"""),43002.0)</f>
        <v>43002</v>
      </c>
      <c r="J519">
        <f t="shared" si="3"/>
        <v>2</v>
      </c>
    </row>
    <row r="520">
      <c r="A520" s="8">
        <f>IFERROR(__xludf.DUMMYFUNCTION("""COMPUTED_VALUE"""),42862.0)</f>
        <v>42862</v>
      </c>
      <c r="B520">
        <f>IFERROR(__xludf.DUMMYFUNCTION("""COMPUTED_VALUE"""),3.0)</f>
        <v>3</v>
      </c>
      <c r="C520">
        <f>IFERROR(__xludf.DUMMYFUNCTION("""COMPUTED_VALUE"""),4.0)</f>
        <v>4</v>
      </c>
      <c r="E520" s="8">
        <f>IFERROR(__xludf.DUMMYFUNCTION("""COMPUTED_VALUE"""),42862.0)</f>
        <v>42862</v>
      </c>
      <c r="F520">
        <f t="shared" ref="F520:G520" si="520">B520+F521</f>
        <v>166</v>
      </c>
      <c r="G520">
        <f t="shared" si="520"/>
        <v>163</v>
      </c>
      <c r="I520" s="8">
        <f>IFERROR(__xludf.DUMMYFUNCTION("""COMPUTED_VALUE"""),42862.0)</f>
        <v>42862</v>
      </c>
      <c r="J520">
        <f t="shared" si="3"/>
        <v>3</v>
      </c>
    </row>
    <row r="521">
      <c r="A521" s="8">
        <f>IFERROR(__xludf.DUMMYFUNCTION("""COMPUTED_VALUE"""),42764.0)</f>
        <v>42764</v>
      </c>
      <c r="B521">
        <f>IFERROR(__xludf.DUMMYFUNCTION("""COMPUTED_VALUE"""),2.0)</f>
        <v>2</v>
      </c>
      <c r="C521">
        <f>IFERROR(__xludf.DUMMYFUNCTION("""COMPUTED_VALUE"""),3.0)</f>
        <v>3</v>
      </c>
      <c r="E521" s="8">
        <f>IFERROR(__xludf.DUMMYFUNCTION("""COMPUTED_VALUE"""),42764.0)</f>
        <v>42764</v>
      </c>
      <c r="F521">
        <f t="shared" ref="F521:G521" si="521">B521+F522</f>
        <v>163</v>
      </c>
      <c r="G521">
        <f t="shared" si="521"/>
        <v>159</v>
      </c>
      <c r="I521" s="8">
        <f>IFERROR(__xludf.DUMMYFUNCTION("""COMPUTED_VALUE"""),42764.0)</f>
        <v>42764</v>
      </c>
      <c r="J521">
        <f t="shared" si="3"/>
        <v>4</v>
      </c>
    </row>
    <row r="522">
      <c r="A522" s="8">
        <f>IFERROR(__xludf.DUMMYFUNCTION("""COMPUTED_VALUE"""),42763.0)</f>
        <v>42763</v>
      </c>
      <c r="B522">
        <f>IFERROR(__xludf.DUMMYFUNCTION("""COMPUTED_VALUE"""),3.0)</f>
        <v>3</v>
      </c>
      <c r="C522">
        <f>IFERROR(__xludf.DUMMYFUNCTION("""COMPUTED_VALUE"""),4.0)</f>
        <v>4</v>
      </c>
      <c r="E522" s="8">
        <f>IFERROR(__xludf.DUMMYFUNCTION("""COMPUTED_VALUE"""),42763.0)</f>
        <v>42763</v>
      </c>
      <c r="F522">
        <f t="shared" ref="F522:G522" si="522">B522+F523</f>
        <v>161</v>
      </c>
      <c r="G522">
        <f t="shared" si="522"/>
        <v>156</v>
      </c>
      <c r="I522" s="8">
        <f>IFERROR(__xludf.DUMMYFUNCTION("""COMPUTED_VALUE"""),42763.0)</f>
        <v>42763</v>
      </c>
      <c r="J522">
        <f t="shared" si="3"/>
        <v>5</v>
      </c>
    </row>
    <row r="523">
      <c r="A523" s="8">
        <f>IFERROR(__xludf.DUMMYFUNCTION("""COMPUTED_VALUE"""),42763.0)</f>
        <v>42763</v>
      </c>
      <c r="B523">
        <f>IFERROR(__xludf.DUMMYFUNCTION("""COMPUTED_VALUE"""),1.0)</f>
        <v>1</v>
      </c>
      <c r="C523">
        <f>IFERROR(__xludf.DUMMYFUNCTION("""COMPUTED_VALUE"""),2.0)</f>
        <v>2</v>
      </c>
      <c r="E523" s="8">
        <f>IFERROR(__xludf.DUMMYFUNCTION("""COMPUTED_VALUE"""),42763.0)</f>
        <v>42763</v>
      </c>
      <c r="F523">
        <f t="shared" ref="F523:G523" si="523">B523+F524</f>
        <v>158</v>
      </c>
      <c r="G523">
        <f t="shared" si="523"/>
        <v>152</v>
      </c>
      <c r="I523" s="8">
        <f>IFERROR(__xludf.DUMMYFUNCTION("""COMPUTED_VALUE"""),42763.0)</f>
        <v>42763</v>
      </c>
      <c r="J523">
        <f t="shared" si="3"/>
        <v>6</v>
      </c>
    </row>
    <row r="524">
      <c r="A524" s="8">
        <f>IFERROR(__xludf.DUMMYFUNCTION("""COMPUTED_VALUE"""),42728.0)</f>
        <v>42728</v>
      </c>
      <c r="B524">
        <f>IFERROR(__xludf.DUMMYFUNCTION("""COMPUTED_VALUE"""),2.0)</f>
        <v>2</v>
      </c>
      <c r="C524">
        <f>IFERROR(__xludf.DUMMYFUNCTION("""COMPUTED_VALUE"""),5.0)</f>
        <v>5</v>
      </c>
      <c r="E524" s="8">
        <f>IFERROR(__xludf.DUMMYFUNCTION("""COMPUTED_VALUE"""),42728.0)</f>
        <v>42728</v>
      </c>
      <c r="F524">
        <f t="shared" ref="F524:G524" si="524">B524+F525</f>
        <v>157</v>
      </c>
      <c r="G524">
        <f t="shared" si="524"/>
        <v>150</v>
      </c>
      <c r="I524" s="8">
        <f>IFERROR(__xludf.DUMMYFUNCTION("""COMPUTED_VALUE"""),42728.0)</f>
        <v>42728</v>
      </c>
      <c r="J524">
        <f t="shared" si="3"/>
        <v>7</v>
      </c>
    </row>
    <row r="525">
      <c r="A525" s="8">
        <f>IFERROR(__xludf.DUMMYFUNCTION("""COMPUTED_VALUE"""),42693.0)</f>
        <v>42693</v>
      </c>
      <c r="B525">
        <f>IFERROR(__xludf.DUMMYFUNCTION("""COMPUTED_VALUE"""),3.0)</f>
        <v>3</v>
      </c>
      <c r="C525">
        <f>IFERROR(__xludf.DUMMYFUNCTION("""COMPUTED_VALUE"""),2.0)</f>
        <v>2</v>
      </c>
      <c r="E525" s="8">
        <f>IFERROR(__xludf.DUMMYFUNCTION("""COMPUTED_VALUE"""),42693.0)</f>
        <v>42693</v>
      </c>
      <c r="F525">
        <f t="shared" ref="F525:G525" si="525">B525+F526</f>
        <v>155</v>
      </c>
      <c r="G525">
        <f t="shared" si="525"/>
        <v>145</v>
      </c>
      <c r="I525" s="8">
        <f>IFERROR(__xludf.DUMMYFUNCTION("""COMPUTED_VALUE"""),42693.0)</f>
        <v>42693</v>
      </c>
      <c r="J525">
        <f t="shared" si="3"/>
        <v>10</v>
      </c>
    </row>
    <row r="526">
      <c r="A526" s="8">
        <f>IFERROR(__xludf.DUMMYFUNCTION("""COMPUTED_VALUE"""),42634.0)</f>
        <v>42634</v>
      </c>
      <c r="B526">
        <f>IFERROR(__xludf.DUMMYFUNCTION("""COMPUTED_VALUE"""),1.0)</f>
        <v>1</v>
      </c>
      <c r="C526">
        <f>IFERROR(__xludf.DUMMYFUNCTION("""COMPUTED_VALUE"""),3.0)</f>
        <v>3</v>
      </c>
      <c r="E526" s="8">
        <f>IFERROR(__xludf.DUMMYFUNCTION("""COMPUTED_VALUE"""),42634.0)</f>
        <v>42634</v>
      </c>
      <c r="F526">
        <f t="shared" ref="F526:G526" si="526">B526+F527</f>
        <v>152</v>
      </c>
      <c r="G526">
        <f t="shared" si="526"/>
        <v>143</v>
      </c>
      <c r="I526" s="8">
        <f>IFERROR(__xludf.DUMMYFUNCTION("""COMPUTED_VALUE"""),42634.0)</f>
        <v>42634</v>
      </c>
      <c r="J526">
        <f t="shared" si="3"/>
        <v>9</v>
      </c>
    </row>
    <row r="527">
      <c r="A527" s="8">
        <f>IFERROR(__xludf.DUMMYFUNCTION("""COMPUTED_VALUE"""),42589.0)</f>
        <v>42589</v>
      </c>
      <c r="B527">
        <f>IFERROR(__xludf.DUMMYFUNCTION("""COMPUTED_VALUE"""),2.0)</f>
        <v>2</v>
      </c>
      <c r="C527">
        <f>IFERROR(__xludf.DUMMYFUNCTION("""COMPUTED_VALUE"""),3.0)</f>
        <v>3</v>
      </c>
      <c r="E527" s="8">
        <f>IFERROR(__xludf.DUMMYFUNCTION("""COMPUTED_VALUE"""),42589.0)</f>
        <v>42589</v>
      </c>
      <c r="F527">
        <f t="shared" ref="F527:G527" si="527">B527+F528</f>
        <v>151</v>
      </c>
      <c r="G527">
        <f t="shared" si="527"/>
        <v>140</v>
      </c>
      <c r="I527" s="8">
        <f>IFERROR(__xludf.DUMMYFUNCTION("""COMPUTED_VALUE"""),42589.0)</f>
        <v>42589</v>
      </c>
      <c r="J527">
        <f t="shared" si="3"/>
        <v>11</v>
      </c>
    </row>
    <row r="528">
      <c r="A528" s="8">
        <f>IFERROR(__xludf.DUMMYFUNCTION("""COMPUTED_VALUE"""),42578.0)</f>
        <v>42578</v>
      </c>
      <c r="B528">
        <f>IFERROR(__xludf.DUMMYFUNCTION("""COMPUTED_VALUE"""),2.0)</f>
        <v>2</v>
      </c>
      <c r="C528">
        <f>IFERROR(__xludf.DUMMYFUNCTION("""COMPUTED_VALUE"""),1.0)</f>
        <v>1</v>
      </c>
      <c r="E528" s="8">
        <f>IFERROR(__xludf.DUMMYFUNCTION("""COMPUTED_VALUE"""),42578.0)</f>
        <v>42578</v>
      </c>
      <c r="F528">
        <f t="shared" ref="F528:G528" si="528">B528+F529</f>
        <v>149</v>
      </c>
      <c r="G528">
        <f t="shared" si="528"/>
        <v>137</v>
      </c>
      <c r="I528" s="8">
        <f>IFERROR(__xludf.DUMMYFUNCTION("""COMPUTED_VALUE"""),42578.0)</f>
        <v>42578</v>
      </c>
      <c r="J528">
        <f t="shared" si="3"/>
        <v>12</v>
      </c>
    </row>
    <row r="529">
      <c r="A529" s="8">
        <f>IFERROR(__xludf.DUMMYFUNCTION("""COMPUTED_VALUE"""),42578.0)</f>
        <v>42578</v>
      </c>
      <c r="B529">
        <f>IFERROR(__xludf.DUMMYFUNCTION("""COMPUTED_VALUE"""),1.0)</f>
        <v>1</v>
      </c>
      <c r="C529">
        <f>IFERROR(__xludf.DUMMYFUNCTION("""COMPUTED_VALUE"""),3.0)</f>
        <v>3</v>
      </c>
      <c r="E529" s="8">
        <f>IFERROR(__xludf.DUMMYFUNCTION("""COMPUTED_VALUE"""),42578.0)</f>
        <v>42578</v>
      </c>
      <c r="F529">
        <f t="shared" ref="F529:G529" si="529">B529+F530</f>
        <v>147</v>
      </c>
      <c r="G529">
        <f t="shared" si="529"/>
        <v>136</v>
      </c>
      <c r="I529" s="8">
        <f>IFERROR(__xludf.DUMMYFUNCTION("""COMPUTED_VALUE"""),42578.0)</f>
        <v>42578</v>
      </c>
      <c r="J529">
        <f t="shared" si="3"/>
        <v>11</v>
      </c>
    </row>
    <row r="530">
      <c r="A530" s="8">
        <f>IFERROR(__xludf.DUMMYFUNCTION("""COMPUTED_VALUE"""),42561.0)</f>
        <v>42561</v>
      </c>
      <c r="B530">
        <f>IFERROR(__xludf.DUMMYFUNCTION("""COMPUTED_VALUE"""),3.0)</f>
        <v>3</v>
      </c>
      <c r="C530">
        <f>IFERROR(__xludf.DUMMYFUNCTION("""COMPUTED_VALUE"""),1.0)</f>
        <v>1</v>
      </c>
      <c r="E530" s="8">
        <f>IFERROR(__xludf.DUMMYFUNCTION("""COMPUTED_VALUE"""),42561.0)</f>
        <v>42561</v>
      </c>
      <c r="F530">
        <f t="shared" ref="F530:G530" si="530">B530+F531</f>
        <v>146</v>
      </c>
      <c r="G530">
        <f t="shared" si="530"/>
        <v>133</v>
      </c>
      <c r="I530" s="8">
        <f>IFERROR(__xludf.DUMMYFUNCTION("""COMPUTED_VALUE"""),42561.0)</f>
        <v>42561</v>
      </c>
      <c r="J530">
        <f t="shared" si="3"/>
        <v>13</v>
      </c>
    </row>
    <row r="531">
      <c r="A531" s="8">
        <f>IFERROR(__xludf.DUMMYFUNCTION("""COMPUTED_VALUE"""),42560.0)</f>
        <v>42560</v>
      </c>
      <c r="B531">
        <f>IFERROR(__xludf.DUMMYFUNCTION("""COMPUTED_VALUE"""),4.0)</f>
        <v>4</v>
      </c>
      <c r="C531">
        <f>IFERROR(__xludf.DUMMYFUNCTION("""COMPUTED_VALUE"""),3.0)</f>
        <v>3</v>
      </c>
      <c r="E531" s="8">
        <f>IFERROR(__xludf.DUMMYFUNCTION("""COMPUTED_VALUE"""),42560.0)</f>
        <v>42560</v>
      </c>
      <c r="F531">
        <f t="shared" ref="F531:G531" si="531">B531+F532</f>
        <v>143</v>
      </c>
      <c r="G531">
        <f t="shared" si="531"/>
        <v>132</v>
      </c>
      <c r="I531" s="8">
        <f>IFERROR(__xludf.DUMMYFUNCTION("""COMPUTED_VALUE"""),42560.0)</f>
        <v>42560</v>
      </c>
      <c r="J531">
        <f t="shared" si="3"/>
        <v>11</v>
      </c>
    </row>
    <row r="532">
      <c r="A532" s="8">
        <f>IFERROR(__xludf.DUMMYFUNCTION("""COMPUTED_VALUE"""),42555.0)</f>
        <v>42555</v>
      </c>
      <c r="B532">
        <f>IFERROR(__xludf.DUMMYFUNCTION("""COMPUTED_VALUE"""),1.0)</f>
        <v>1</v>
      </c>
      <c r="C532">
        <f>IFERROR(__xludf.DUMMYFUNCTION("""COMPUTED_VALUE"""),3.0)</f>
        <v>3</v>
      </c>
      <c r="E532" s="8">
        <f>IFERROR(__xludf.DUMMYFUNCTION("""COMPUTED_VALUE"""),42555.0)</f>
        <v>42555</v>
      </c>
      <c r="F532">
        <f t="shared" ref="F532:G532" si="532">B532+F533</f>
        <v>139</v>
      </c>
      <c r="G532">
        <f t="shared" si="532"/>
        <v>129</v>
      </c>
      <c r="I532" s="8">
        <f>IFERROR(__xludf.DUMMYFUNCTION("""COMPUTED_VALUE"""),42555.0)</f>
        <v>42555</v>
      </c>
      <c r="J532">
        <f t="shared" si="3"/>
        <v>10</v>
      </c>
    </row>
    <row r="533">
      <c r="A533" s="8">
        <f>IFERROR(__xludf.DUMMYFUNCTION("""COMPUTED_VALUE"""),42554.0)</f>
        <v>42554</v>
      </c>
      <c r="B533">
        <f>IFERROR(__xludf.DUMMYFUNCTION("""COMPUTED_VALUE"""),3.0)</f>
        <v>3</v>
      </c>
      <c r="C533">
        <f>IFERROR(__xludf.DUMMYFUNCTION("""COMPUTED_VALUE"""),2.0)</f>
        <v>2</v>
      </c>
      <c r="E533" s="8">
        <f>IFERROR(__xludf.DUMMYFUNCTION("""COMPUTED_VALUE"""),42554.0)</f>
        <v>42554</v>
      </c>
      <c r="F533">
        <f t="shared" ref="F533:G533" si="533">B533+F534</f>
        <v>138</v>
      </c>
      <c r="G533">
        <f t="shared" si="533"/>
        <v>126</v>
      </c>
      <c r="I533" s="8">
        <f>IFERROR(__xludf.DUMMYFUNCTION("""COMPUTED_VALUE"""),42554.0)</f>
        <v>42554</v>
      </c>
      <c r="J533">
        <f t="shared" si="3"/>
        <v>12</v>
      </c>
    </row>
    <row r="534">
      <c r="A534" s="8">
        <f>IFERROR(__xludf.DUMMYFUNCTION("""COMPUTED_VALUE"""),42547.0)</f>
        <v>42547</v>
      </c>
      <c r="B534">
        <f>IFERROR(__xludf.DUMMYFUNCTION("""COMPUTED_VALUE"""),1.0)</f>
        <v>1</v>
      </c>
      <c r="C534">
        <f>IFERROR(__xludf.DUMMYFUNCTION("""COMPUTED_VALUE"""),2.0)</f>
        <v>2</v>
      </c>
      <c r="E534" s="8">
        <f>IFERROR(__xludf.DUMMYFUNCTION("""COMPUTED_VALUE"""),42547.0)</f>
        <v>42547</v>
      </c>
      <c r="F534">
        <f t="shared" ref="F534:G534" si="534">B534+F535</f>
        <v>135</v>
      </c>
      <c r="G534">
        <f t="shared" si="534"/>
        <v>124</v>
      </c>
      <c r="I534" s="8">
        <f>IFERROR(__xludf.DUMMYFUNCTION("""COMPUTED_VALUE"""),42547.0)</f>
        <v>42547</v>
      </c>
      <c r="J534">
        <f t="shared" si="3"/>
        <v>11</v>
      </c>
    </row>
    <row r="535">
      <c r="A535" s="8">
        <f>IFERROR(__xludf.DUMMYFUNCTION("""COMPUTED_VALUE"""),42535.0)</f>
        <v>42535</v>
      </c>
      <c r="B535">
        <f>IFERROR(__xludf.DUMMYFUNCTION("""COMPUTED_VALUE"""),4.0)</f>
        <v>4</v>
      </c>
      <c r="C535">
        <f>IFERROR(__xludf.DUMMYFUNCTION("""COMPUTED_VALUE"""),3.0)</f>
        <v>3</v>
      </c>
      <c r="E535" s="8">
        <f>IFERROR(__xludf.DUMMYFUNCTION("""COMPUTED_VALUE"""),42535.0)</f>
        <v>42535</v>
      </c>
      <c r="F535">
        <f t="shared" ref="F535:G535" si="535">B535+F536</f>
        <v>134</v>
      </c>
      <c r="G535">
        <f t="shared" si="535"/>
        <v>122</v>
      </c>
      <c r="I535" s="8">
        <f>IFERROR(__xludf.DUMMYFUNCTION("""COMPUTED_VALUE"""),42535.0)</f>
        <v>42535</v>
      </c>
      <c r="J535">
        <f t="shared" si="3"/>
        <v>12</v>
      </c>
    </row>
    <row r="536">
      <c r="A536" s="8">
        <f>IFERROR(__xludf.DUMMYFUNCTION("""COMPUTED_VALUE"""),42533.0)</f>
        <v>42533</v>
      </c>
      <c r="B536">
        <f>IFERROR(__xludf.DUMMYFUNCTION("""COMPUTED_VALUE"""),3.0)</f>
        <v>3</v>
      </c>
      <c r="C536">
        <f>IFERROR(__xludf.DUMMYFUNCTION("""COMPUTED_VALUE"""),1.0)</f>
        <v>1</v>
      </c>
      <c r="E536" s="8">
        <f>IFERROR(__xludf.DUMMYFUNCTION("""COMPUTED_VALUE"""),42533.0)</f>
        <v>42533</v>
      </c>
      <c r="F536">
        <f t="shared" ref="F536:G536" si="536">B536+F537</f>
        <v>130</v>
      </c>
      <c r="G536">
        <f t="shared" si="536"/>
        <v>119</v>
      </c>
      <c r="I536" s="8">
        <f>IFERROR(__xludf.DUMMYFUNCTION("""COMPUTED_VALUE"""),42533.0)</f>
        <v>42533</v>
      </c>
      <c r="J536">
        <f t="shared" si="3"/>
        <v>11</v>
      </c>
    </row>
    <row r="537">
      <c r="A537" s="8">
        <f>IFERROR(__xludf.DUMMYFUNCTION("""COMPUTED_VALUE"""),42532.0)</f>
        <v>42532</v>
      </c>
      <c r="B537">
        <f>IFERROR(__xludf.DUMMYFUNCTION("""COMPUTED_VALUE"""),2.0)</f>
        <v>2</v>
      </c>
      <c r="C537">
        <f>IFERROR(__xludf.DUMMYFUNCTION("""COMPUTED_VALUE"""),1.0)</f>
        <v>1</v>
      </c>
      <c r="E537" s="8">
        <f>IFERROR(__xludf.DUMMYFUNCTION("""COMPUTED_VALUE"""),42532.0)</f>
        <v>42532</v>
      </c>
      <c r="F537">
        <f t="shared" ref="F537:G537" si="537">B537+F538</f>
        <v>127</v>
      </c>
      <c r="G537">
        <f t="shared" si="537"/>
        <v>118</v>
      </c>
      <c r="I537" s="8">
        <f>IFERROR(__xludf.DUMMYFUNCTION("""COMPUTED_VALUE"""),42532.0)</f>
        <v>42532</v>
      </c>
      <c r="J537">
        <f t="shared" si="3"/>
        <v>9</v>
      </c>
    </row>
    <row r="538">
      <c r="A538" s="8">
        <f>IFERROR(__xludf.DUMMYFUNCTION("""COMPUTED_VALUE"""),42532.0)</f>
        <v>42532</v>
      </c>
      <c r="B538">
        <f>IFERROR(__xludf.DUMMYFUNCTION("""COMPUTED_VALUE"""),3.0)</f>
        <v>3</v>
      </c>
      <c r="C538">
        <f>IFERROR(__xludf.DUMMYFUNCTION("""COMPUTED_VALUE"""),2.0)</f>
        <v>2</v>
      </c>
      <c r="E538" s="8">
        <f>IFERROR(__xludf.DUMMYFUNCTION("""COMPUTED_VALUE"""),42532.0)</f>
        <v>42532</v>
      </c>
      <c r="F538">
        <f t="shared" ref="F538:G538" si="538">B538+F539</f>
        <v>125</v>
      </c>
      <c r="G538">
        <f t="shared" si="538"/>
        <v>117</v>
      </c>
      <c r="I538" s="8">
        <f>IFERROR(__xludf.DUMMYFUNCTION("""COMPUTED_VALUE"""),42532.0)</f>
        <v>42532</v>
      </c>
      <c r="J538">
        <f t="shared" si="3"/>
        <v>8</v>
      </c>
    </row>
    <row r="539">
      <c r="A539" s="8"/>
      <c r="B539">
        <f>IFERROR(__xludf.DUMMYFUNCTION("""COMPUTED_VALUE"""),5.0)</f>
        <v>5</v>
      </c>
      <c r="C539">
        <f>IFERROR(__xludf.DUMMYFUNCTION("""COMPUTED_VALUE"""),4.0)</f>
        <v>4</v>
      </c>
      <c r="E539" s="8"/>
      <c r="F539">
        <f t="shared" ref="F539:G539" si="539">B539+F540</f>
        <v>122</v>
      </c>
      <c r="G539">
        <f t="shared" si="539"/>
        <v>115</v>
      </c>
      <c r="I539" s="8"/>
      <c r="J539">
        <f t="shared" si="3"/>
        <v>7</v>
      </c>
    </row>
    <row r="540">
      <c r="A540" s="8"/>
      <c r="B540">
        <f>IFERROR(__xludf.DUMMYFUNCTION("""COMPUTED_VALUE"""),2.0)</f>
        <v>2</v>
      </c>
      <c r="C540">
        <f>IFERROR(__xludf.DUMMYFUNCTION("""COMPUTED_VALUE"""),3.0)</f>
        <v>3</v>
      </c>
      <c r="E540" s="8"/>
      <c r="F540">
        <f t="shared" ref="F540:G540" si="540">B540+F541</f>
        <v>117</v>
      </c>
      <c r="G540">
        <f t="shared" si="540"/>
        <v>111</v>
      </c>
      <c r="I540" s="8"/>
      <c r="J540">
        <f t="shared" si="3"/>
        <v>6</v>
      </c>
    </row>
    <row r="541">
      <c r="A541" s="8"/>
      <c r="B541">
        <f>IFERROR(__xludf.DUMMYFUNCTION("""COMPUTED_VALUE"""),2.0)</f>
        <v>2</v>
      </c>
      <c r="C541">
        <f>IFERROR(__xludf.DUMMYFUNCTION("""COMPUTED_VALUE"""),1.0)</f>
        <v>1</v>
      </c>
      <c r="E541" s="8"/>
      <c r="F541">
        <f t="shared" ref="F541:G541" si="541">B541+F542</f>
        <v>115</v>
      </c>
      <c r="G541">
        <f t="shared" si="541"/>
        <v>108</v>
      </c>
      <c r="I541" s="8"/>
      <c r="J541">
        <f t="shared" si="3"/>
        <v>7</v>
      </c>
    </row>
    <row r="542">
      <c r="A542" s="8"/>
      <c r="B542">
        <f>IFERROR(__xludf.DUMMYFUNCTION("""COMPUTED_VALUE"""),2.0)</f>
        <v>2</v>
      </c>
      <c r="C542">
        <f>IFERROR(__xludf.DUMMYFUNCTION("""COMPUTED_VALUE"""),1.0)</f>
        <v>1</v>
      </c>
      <c r="E542" s="8"/>
      <c r="F542">
        <f t="shared" ref="F542:G542" si="542">B542+F543</f>
        <v>113</v>
      </c>
      <c r="G542">
        <f t="shared" si="542"/>
        <v>107</v>
      </c>
      <c r="I542" s="8"/>
      <c r="J542">
        <f t="shared" si="3"/>
        <v>6</v>
      </c>
    </row>
    <row r="543">
      <c r="A543" s="8"/>
      <c r="B543">
        <f>IFERROR(__xludf.DUMMYFUNCTION("""COMPUTED_VALUE"""),3.0)</f>
        <v>3</v>
      </c>
      <c r="C543">
        <f>IFERROR(__xludf.DUMMYFUNCTION("""COMPUTED_VALUE"""),1.0)</f>
        <v>1</v>
      </c>
      <c r="E543" s="8"/>
      <c r="F543">
        <f t="shared" ref="F543:G543" si="543">B543+F544</f>
        <v>111</v>
      </c>
      <c r="G543">
        <f t="shared" si="543"/>
        <v>106</v>
      </c>
      <c r="I543" s="8"/>
      <c r="J543">
        <f t="shared" si="3"/>
        <v>5</v>
      </c>
    </row>
    <row r="544">
      <c r="A544" s="8"/>
      <c r="B544">
        <f>IFERROR(__xludf.DUMMYFUNCTION("""COMPUTED_VALUE"""),3.0)</f>
        <v>3</v>
      </c>
      <c r="C544">
        <f>IFERROR(__xludf.DUMMYFUNCTION("""COMPUTED_VALUE"""),1.0)</f>
        <v>1</v>
      </c>
      <c r="E544" s="8"/>
      <c r="F544">
        <f t="shared" ref="F544:G544" si="544">B544+F545</f>
        <v>108</v>
      </c>
      <c r="G544">
        <f t="shared" si="544"/>
        <v>105</v>
      </c>
      <c r="I544" s="8"/>
      <c r="J544">
        <f t="shared" si="3"/>
        <v>3</v>
      </c>
    </row>
    <row r="545">
      <c r="A545" s="8"/>
      <c r="B545">
        <f>IFERROR(__xludf.DUMMYFUNCTION("""COMPUTED_VALUE"""),2.0)</f>
        <v>2</v>
      </c>
      <c r="C545">
        <f>IFERROR(__xludf.DUMMYFUNCTION("""COMPUTED_VALUE"""),1.0)</f>
        <v>1</v>
      </c>
      <c r="E545" s="8"/>
      <c r="F545">
        <f t="shared" ref="F545:G545" si="545">B545+F546</f>
        <v>105</v>
      </c>
      <c r="G545">
        <f t="shared" si="545"/>
        <v>104</v>
      </c>
      <c r="I545" s="8"/>
      <c r="J545">
        <f t="shared" si="3"/>
        <v>1</v>
      </c>
    </row>
    <row r="546">
      <c r="A546" s="8"/>
      <c r="B546">
        <f>IFERROR(__xludf.DUMMYFUNCTION("""COMPUTED_VALUE"""),2.0)</f>
        <v>2</v>
      </c>
      <c r="C546">
        <f>IFERROR(__xludf.DUMMYFUNCTION("""COMPUTED_VALUE"""),1.0)</f>
        <v>1</v>
      </c>
      <c r="E546" s="8"/>
      <c r="F546">
        <f t="shared" ref="F546:G546" si="546">B546+F547</f>
        <v>103</v>
      </c>
      <c r="G546">
        <f t="shared" si="546"/>
        <v>103</v>
      </c>
      <c r="I546" s="8"/>
      <c r="J546">
        <f t="shared" si="3"/>
        <v>0</v>
      </c>
    </row>
    <row r="547">
      <c r="A547" s="8"/>
      <c r="B547">
        <f>IFERROR(__xludf.DUMMYFUNCTION("""COMPUTED_VALUE"""),2.0)</f>
        <v>2</v>
      </c>
      <c r="C547">
        <f>IFERROR(__xludf.DUMMYFUNCTION("""COMPUTED_VALUE"""),1.0)</f>
        <v>1</v>
      </c>
      <c r="E547" s="8"/>
      <c r="F547">
        <f t="shared" ref="F547:G547" si="547">B547+F548</f>
        <v>101</v>
      </c>
      <c r="G547">
        <f t="shared" si="547"/>
        <v>102</v>
      </c>
      <c r="I547" s="8"/>
      <c r="J547">
        <f t="shared" si="3"/>
        <v>-1</v>
      </c>
    </row>
    <row r="548">
      <c r="A548" s="8"/>
      <c r="B548">
        <f>IFERROR(__xludf.DUMMYFUNCTION("""COMPUTED_VALUE"""),2.0)</f>
        <v>2</v>
      </c>
      <c r="C548">
        <f>IFERROR(__xludf.DUMMYFUNCTION("""COMPUTED_VALUE"""),1.0)</f>
        <v>1</v>
      </c>
      <c r="E548" s="8"/>
      <c r="F548">
        <f t="shared" ref="F548:G548" si="548">B548+F549</f>
        <v>99</v>
      </c>
      <c r="G548">
        <f t="shared" si="548"/>
        <v>101</v>
      </c>
      <c r="I548" s="8"/>
      <c r="J548">
        <f t="shared" si="3"/>
        <v>-2</v>
      </c>
    </row>
    <row r="549">
      <c r="A549" s="8"/>
      <c r="B549">
        <f>IFERROR(__xludf.DUMMYFUNCTION("""COMPUTED_VALUE"""),1.0)</f>
        <v>1</v>
      </c>
      <c r="C549">
        <f>IFERROR(__xludf.DUMMYFUNCTION("""COMPUTED_VALUE"""),2.0)</f>
        <v>2</v>
      </c>
      <c r="E549" s="8"/>
      <c r="F549">
        <f t="shared" ref="F549:G549" si="549">B549+F550</f>
        <v>97</v>
      </c>
      <c r="G549">
        <f t="shared" si="549"/>
        <v>100</v>
      </c>
      <c r="I549" s="8"/>
      <c r="J549">
        <f t="shared" si="3"/>
        <v>-3</v>
      </c>
    </row>
    <row r="550">
      <c r="A550" s="8"/>
      <c r="B550">
        <f>IFERROR(__xludf.DUMMYFUNCTION("""COMPUTED_VALUE"""),2.0)</f>
        <v>2</v>
      </c>
      <c r="C550">
        <f>IFERROR(__xludf.DUMMYFUNCTION("""COMPUTED_VALUE"""),3.0)</f>
        <v>3</v>
      </c>
      <c r="E550" s="8"/>
      <c r="F550">
        <f t="shared" ref="F550:G550" si="550">B550+F551</f>
        <v>96</v>
      </c>
      <c r="G550">
        <f t="shared" si="550"/>
        <v>98</v>
      </c>
      <c r="I550" s="8"/>
      <c r="J550">
        <f t="shared" si="3"/>
        <v>-2</v>
      </c>
    </row>
    <row r="551">
      <c r="A551" s="8"/>
      <c r="B551">
        <f>IFERROR(__xludf.DUMMYFUNCTION("""COMPUTED_VALUE"""),3.0)</f>
        <v>3</v>
      </c>
      <c r="C551">
        <f>IFERROR(__xludf.DUMMYFUNCTION("""COMPUTED_VALUE"""),1.0)</f>
        <v>1</v>
      </c>
      <c r="E551" s="8"/>
      <c r="F551">
        <f t="shared" ref="F551:G551" si="551">B551+F552</f>
        <v>94</v>
      </c>
      <c r="G551">
        <f t="shared" si="551"/>
        <v>95</v>
      </c>
      <c r="I551" s="8"/>
      <c r="J551">
        <f t="shared" si="3"/>
        <v>-1</v>
      </c>
    </row>
    <row r="552">
      <c r="A552" s="8"/>
      <c r="B552">
        <f>IFERROR(__xludf.DUMMYFUNCTION("""COMPUTED_VALUE"""),2.0)</f>
        <v>2</v>
      </c>
      <c r="C552">
        <f>IFERROR(__xludf.DUMMYFUNCTION("""COMPUTED_VALUE"""),1.0)</f>
        <v>1</v>
      </c>
      <c r="E552" s="8"/>
      <c r="F552">
        <f t="shared" ref="F552:G552" si="552">B552+F553</f>
        <v>91</v>
      </c>
      <c r="G552">
        <f t="shared" si="552"/>
        <v>94</v>
      </c>
      <c r="I552" s="8"/>
      <c r="J552">
        <f t="shared" si="3"/>
        <v>-3</v>
      </c>
    </row>
    <row r="553">
      <c r="A553" s="8"/>
      <c r="B553">
        <f>IFERROR(__xludf.DUMMYFUNCTION("""COMPUTED_VALUE"""),2.0)</f>
        <v>2</v>
      </c>
      <c r="C553">
        <f>IFERROR(__xludf.DUMMYFUNCTION("""COMPUTED_VALUE"""),3.0)</f>
        <v>3</v>
      </c>
      <c r="E553" s="8"/>
      <c r="F553">
        <f t="shared" ref="F553:G553" si="553">B553+F554</f>
        <v>89</v>
      </c>
      <c r="G553">
        <f t="shared" si="553"/>
        <v>93</v>
      </c>
      <c r="I553" s="8"/>
      <c r="J553">
        <f t="shared" si="3"/>
        <v>-4</v>
      </c>
    </row>
    <row r="554">
      <c r="A554" s="8"/>
      <c r="B554">
        <f>IFERROR(__xludf.DUMMYFUNCTION("""COMPUTED_VALUE"""),1.0)</f>
        <v>1</v>
      </c>
      <c r="C554">
        <f>IFERROR(__xludf.DUMMYFUNCTION("""COMPUTED_VALUE"""),2.0)</f>
        <v>2</v>
      </c>
      <c r="E554" s="8"/>
      <c r="F554">
        <f t="shared" ref="F554:G554" si="554">B554+F555</f>
        <v>87</v>
      </c>
      <c r="G554">
        <f t="shared" si="554"/>
        <v>90</v>
      </c>
      <c r="I554" s="8"/>
      <c r="J554">
        <f t="shared" si="3"/>
        <v>-3</v>
      </c>
    </row>
    <row r="555">
      <c r="A555" s="8"/>
      <c r="B555">
        <f>IFERROR(__xludf.DUMMYFUNCTION("""COMPUTED_VALUE"""),3.0)</f>
        <v>3</v>
      </c>
      <c r="C555">
        <f>IFERROR(__xludf.DUMMYFUNCTION("""COMPUTED_VALUE"""),1.0)</f>
        <v>1</v>
      </c>
      <c r="E555" s="8"/>
      <c r="F555">
        <f t="shared" ref="F555:G555" si="555">B555+F556</f>
        <v>86</v>
      </c>
      <c r="G555">
        <f t="shared" si="555"/>
        <v>88</v>
      </c>
      <c r="I555" s="8"/>
      <c r="J555">
        <f t="shared" si="3"/>
        <v>-2</v>
      </c>
    </row>
    <row r="556">
      <c r="A556" s="8"/>
      <c r="B556">
        <f>IFERROR(__xludf.DUMMYFUNCTION("""COMPUTED_VALUE"""),3.0)</f>
        <v>3</v>
      </c>
      <c r="C556">
        <f>IFERROR(__xludf.DUMMYFUNCTION("""COMPUTED_VALUE"""),2.0)</f>
        <v>2</v>
      </c>
      <c r="E556" s="8"/>
      <c r="F556">
        <f t="shared" ref="F556:G556" si="556">B556+F557</f>
        <v>83</v>
      </c>
      <c r="G556">
        <f t="shared" si="556"/>
        <v>87</v>
      </c>
      <c r="I556" s="8"/>
      <c r="J556">
        <f t="shared" si="3"/>
        <v>-4</v>
      </c>
    </row>
    <row r="557">
      <c r="A557" s="8"/>
      <c r="B557">
        <f>IFERROR(__xludf.DUMMYFUNCTION("""COMPUTED_VALUE"""),1.0)</f>
        <v>1</v>
      </c>
      <c r="C557">
        <f>IFERROR(__xludf.DUMMYFUNCTION("""COMPUTED_VALUE"""),2.0)</f>
        <v>2</v>
      </c>
      <c r="E557" s="8"/>
      <c r="F557">
        <f t="shared" ref="F557:G557" si="557">B557+F558</f>
        <v>80</v>
      </c>
      <c r="G557">
        <f t="shared" si="557"/>
        <v>85</v>
      </c>
      <c r="I557" s="8"/>
      <c r="J557">
        <f t="shared" si="3"/>
        <v>-5</v>
      </c>
    </row>
    <row r="558">
      <c r="A558" s="8"/>
      <c r="B558">
        <f>IFERROR(__xludf.DUMMYFUNCTION("""COMPUTED_VALUE"""),2.0)</f>
        <v>2</v>
      </c>
      <c r="C558">
        <f>IFERROR(__xludf.DUMMYFUNCTION("""COMPUTED_VALUE"""),1.0)</f>
        <v>1</v>
      </c>
      <c r="E558" s="8"/>
      <c r="F558">
        <f t="shared" ref="F558:G558" si="558">B558+F559</f>
        <v>79</v>
      </c>
      <c r="G558">
        <f t="shared" si="558"/>
        <v>83</v>
      </c>
      <c r="I558" s="8"/>
      <c r="J558">
        <f t="shared" si="3"/>
        <v>-4</v>
      </c>
    </row>
    <row r="559">
      <c r="A559" s="8"/>
      <c r="B559">
        <f>IFERROR(__xludf.DUMMYFUNCTION("""COMPUTED_VALUE"""),1.0)</f>
        <v>1</v>
      </c>
      <c r="C559">
        <f>IFERROR(__xludf.DUMMYFUNCTION("""COMPUTED_VALUE"""),2.0)</f>
        <v>2</v>
      </c>
      <c r="E559" s="8"/>
      <c r="F559">
        <f t="shared" ref="F559:G559" si="559">B559+F560</f>
        <v>77</v>
      </c>
      <c r="G559">
        <f t="shared" si="559"/>
        <v>82</v>
      </c>
      <c r="I559" s="8"/>
      <c r="J559">
        <f t="shared" si="3"/>
        <v>-5</v>
      </c>
    </row>
    <row r="560">
      <c r="A560" s="8"/>
      <c r="B560">
        <f>IFERROR(__xludf.DUMMYFUNCTION("""COMPUTED_VALUE"""),2.0)</f>
        <v>2</v>
      </c>
      <c r="C560">
        <f>IFERROR(__xludf.DUMMYFUNCTION("""COMPUTED_VALUE"""),3.0)</f>
        <v>3</v>
      </c>
      <c r="E560" s="8"/>
      <c r="F560">
        <f t="shared" ref="F560:G560" si="560">B560+F561</f>
        <v>76</v>
      </c>
      <c r="G560">
        <f t="shared" si="560"/>
        <v>80</v>
      </c>
      <c r="I560" s="8"/>
      <c r="J560">
        <f t="shared" si="3"/>
        <v>-4</v>
      </c>
    </row>
    <row r="561">
      <c r="A561" s="8"/>
      <c r="B561">
        <f>IFERROR(__xludf.DUMMYFUNCTION("""COMPUTED_VALUE"""),2.0)</f>
        <v>2</v>
      </c>
      <c r="C561">
        <f>IFERROR(__xludf.DUMMYFUNCTION("""COMPUTED_VALUE"""),2.0)</f>
        <v>2</v>
      </c>
      <c r="E561" s="8"/>
      <c r="F561">
        <f t="shared" ref="F561:G561" si="561">B561+F562</f>
        <v>74</v>
      </c>
      <c r="G561">
        <f t="shared" si="561"/>
        <v>77</v>
      </c>
      <c r="I561" s="8"/>
      <c r="J561">
        <f t="shared" si="3"/>
        <v>-3</v>
      </c>
    </row>
    <row r="562">
      <c r="A562" s="8"/>
      <c r="B562">
        <f>IFERROR(__xludf.DUMMYFUNCTION("""COMPUTED_VALUE"""),3.0)</f>
        <v>3</v>
      </c>
      <c r="C562">
        <f>IFERROR(__xludf.DUMMYFUNCTION("""COMPUTED_VALUE"""),2.0)</f>
        <v>2</v>
      </c>
      <c r="E562" s="8"/>
      <c r="F562">
        <f t="shared" ref="F562:G562" si="562">B562+F563</f>
        <v>72</v>
      </c>
      <c r="G562">
        <f t="shared" si="562"/>
        <v>75</v>
      </c>
      <c r="I562" s="8"/>
      <c r="J562">
        <f t="shared" si="3"/>
        <v>-3</v>
      </c>
    </row>
    <row r="563">
      <c r="A563" s="8"/>
      <c r="B563">
        <f>IFERROR(__xludf.DUMMYFUNCTION("""COMPUTED_VALUE"""),1.0)</f>
        <v>1</v>
      </c>
      <c r="C563">
        <f>IFERROR(__xludf.DUMMYFUNCTION("""COMPUTED_VALUE"""),3.0)</f>
        <v>3</v>
      </c>
      <c r="E563" s="8"/>
      <c r="F563">
        <f t="shared" ref="F563:G563" si="563">B563+F564</f>
        <v>69</v>
      </c>
      <c r="G563">
        <f t="shared" si="563"/>
        <v>73</v>
      </c>
      <c r="I563" s="8"/>
      <c r="J563">
        <f t="shared" si="3"/>
        <v>-4</v>
      </c>
    </row>
    <row r="564">
      <c r="A564" s="8"/>
      <c r="B564">
        <f>IFERROR(__xludf.DUMMYFUNCTION("""COMPUTED_VALUE"""),1.0)</f>
        <v>1</v>
      </c>
      <c r="C564">
        <f>IFERROR(__xludf.DUMMYFUNCTION("""COMPUTED_VALUE"""),2.0)</f>
        <v>2</v>
      </c>
      <c r="E564" s="8"/>
      <c r="F564">
        <f t="shared" ref="F564:G564" si="564">B564+F565</f>
        <v>68</v>
      </c>
      <c r="G564">
        <f t="shared" si="564"/>
        <v>70</v>
      </c>
      <c r="I564" s="8"/>
      <c r="J564">
        <f t="shared" si="3"/>
        <v>-2</v>
      </c>
    </row>
    <row r="565">
      <c r="A565" s="8"/>
      <c r="B565">
        <f>IFERROR(__xludf.DUMMYFUNCTION("""COMPUTED_VALUE"""),1.0)</f>
        <v>1</v>
      </c>
      <c r="C565">
        <f>IFERROR(__xludf.DUMMYFUNCTION("""COMPUTED_VALUE"""),3.0)</f>
        <v>3</v>
      </c>
      <c r="E565" s="8"/>
      <c r="F565">
        <f t="shared" ref="F565:G565" si="565">B565+F566</f>
        <v>67</v>
      </c>
      <c r="G565">
        <f t="shared" si="565"/>
        <v>68</v>
      </c>
      <c r="I565" s="8"/>
      <c r="J565">
        <f t="shared" si="3"/>
        <v>-1</v>
      </c>
    </row>
    <row r="566">
      <c r="A566" s="8"/>
      <c r="B566">
        <f>IFERROR(__xludf.DUMMYFUNCTION("""COMPUTED_VALUE"""),2.0)</f>
        <v>2</v>
      </c>
      <c r="C566">
        <f>IFERROR(__xludf.DUMMYFUNCTION("""COMPUTED_VALUE"""),1.0)</f>
        <v>1</v>
      </c>
      <c r="E566" s="8"/>
      <c r="F566">
        <f t="shared" ref="F566:G566" si="566">B566+F567</f>
        <v>66</v>
      </c>
      <c r="G566">
        <f t="shared" si="566"/>
        <v>65</v>
      </c>
      <c r="I566" s="8"/>
      <c r="J566">
        <f t="shared" si="3"/>
        <v>1</v>
      </c>
    </row>
    <row r="567">
      <c r="A567" s="8"/>
      <c r="B567">
        <f>IFERROR(__xludf.DUMMYFUNCTION("""COMPUTED_VALUE"""),2.0)</f>
        <v>2</v>
      </c>
      <c r="C567">
        <f>IFERROR(__xludf.DUMMYFUNCTION("""COMPUTED_VALUE"""),3.0)</f>
        <v>3</v>
      </c>
      <c r="E567" s="8"/>
      <c r="F567">
        <f t="shared" ref="F567:G567" si="567">B567+F568</f>
        <v>64</v>
      </c>
      <c r="G567">
        <f t="shared" si="567"/>
        <v>64</v>
      </c>
      <c r="I567" s="8"/>
      <c r="J567">
        <f t="shared" si="3"/>
        <v>0</v>
      </c>
    </row>
    <row r="568">
      <c r="A568" s="8"/>
      <c r="B568">
        <f>IFERROR(__xludf.DUMMYFUNCTION("""COMPUTED_VALUE"""),3.0)</f>
        <v>3</v>
      </c>
      <c r="C568">
        <f>IFERROR(__xludf.DUMMYFUNCTION("""COMPUTED_VALUE"""),2.0)</f>
        <v>2</v>
      </c>
      <c r="E568" s="8"/>
      <c r="F568">
        <f t="shared" ref="F568:G568" si="568">B568+F569</f>
        <v>62</v>
      </c>
      <c r="G568">
        <f t="shared" si="568"/>
        <v>61</v>
      </c>
      <c r="I568" s="8"/>
      <c r="J568">
        <f t="shared" si="3"/>
        <v>1</v>
      </c>
    </row>
    <row r="569">
      <c r="A569" s="8"/>
      <c r="B569">
        <f>IFERROR(__xludf.DUMMYFUNCTION("""COMPUTED_VALUE"""),2.0)</f>
        <v>2</v>
      </c>
      <c r="C569">
        <f>IFERROR(__xludf.DUMMYFUNCTION("""COMPUTED_VALUE"""),3.0)</f>
        <v>3</v>
      </c>
      <c r="E569" s="8"/>
      <c r="F569">
        <f t="shared" ref="F569:G569" si="569">B569+F570</f>
        <v>59</v>
      </c>
      <c r="G569">
        <f t="shared" si="569"/>
        <v>59</v>
      </c>
      <c r="I569" s="8"/>
      <c r="J569">
        <f t="shared" si="3"/>
        <v>0</v>
      </c>
    </row>
    <row r="570">
      <c r="A570" s="8"/>
      <c r="B570">
        <f>IFERROR(__xludf.DUMMYFUNCTION("""COMPUTED_VALUE"""),1.0)</f>
        <v>1</v>
      </c>
      <c r="C570">
        <f>IFERROR(__xludf.DUMMYFUNCTION("""COMPUTED_VALUE"""),2.0)</f>
        <v>2</v>
      </c>
      <c r="E570" s="8"/>
      <c r="F570">
        <f t="shared" ref="F570:G570" si="570">B570+F571</f>
        <v>57</v>
      </c>
      <c r="G570">
        <f t="shared" si="570"/>
        <v>56</v>
      </c>
      <c r="I570" s="8"/>
      <c r="J570">
        <f t="shared" si="3"/>
        <v>1</v>
      </c>
    </row>
    <row r="571">
      <c r="A571" s="8"/>
      <c r="B571">
        <f>IFERROR(__xludf.DUMMYFUNCTION("""COMPUTED_VALUE"""),1.0)</f>
        <v>1</v>
      </c>
      <c r="C571">
        <f>IFERROR(__xludf.DUMMYFUNCTION("""COMPUTED_VALUE"""),3.0)</f>
        <v>3</v>
      </c>
      <c r="E571" s="8"/>
      <c r="F571">
        <f t="shared" ref="F571:G571" si="571">B571+F572</f>
        <v>56</v>
      </c>
      <c r="G571">
        <f t="shared" si="571"/>
        <v>54</v>
      </c>
      <c r="I571" s="8"/>
      <c r="J571">
        <f t="shared" si="3"/>
        <v>2</v>
      </c>
    </row>
    <row r="572">
      <c r="A572" s="8"/>
      <c r="B572">
        <f>IFERROR(__xludf.DUMMYFUNCTION("""COMPUTED_VALUE"""),2.0)</f>
        <v>2</v>
      </c>
      <c r="C572">
        <f>IFERROR(__xludf.DUMMYFUNCTION("""COMPUTED_VALUE"""),3.0)</f>
        <v>3</v>
      </c>
      <c r="E572" s="8"/>
      <c r="F572">
        <f t="shared" ref="F572:G572" si="572">B572+F573</f>
        <v>55</v>
      </c>
      <c r="G572">
        <f t="shared" si="572"/>
        <v>51</v>
      </c>
      <c r="I572" s="8"/>
      <c r="J572">
        <f t="shared" si="3"/>
        <v>4</v>
      </c>
    </row>
    <row r="573">
      <c r="A573" s="8"/>
      <c r="B573">
        <f>IFERROR(__xludf.DUMMYFUNCTION("""COMPUTED_VALUE"""),1.0)</f>
        <v>1</v>
      </c>
      <c r="C573">
        <f>IFERROR(__xludf.DUMMYFUNCTION("""COMPUTED_VALUE"""),3.0)</f>
        <v>3</v>
      </c>
      <c r="E573" s="8"/>
      <c r="F573">
        <f t="shared" ref="F573:G573" si="573">B573+F574</f>
        <v>53</v>
      </c>
      <c r="G573">
        <f t="shared" si="573"/>
        <v>48</v>
      </c>
      <c r="I573" s="8"/>
      <c r="J573">
        <f t="shared" si="3"/>
        <v>5</v>
      </c>
    </row>
    <row r="574">
      <c r="A574" s="8"/>
      <c r="B574">
        <f>IFERROR(__xludf.DUMMYFUNCTION("""COMPUTED_VALUE"""),2.0)</f>
        <v>2</v>
      </c>
      <c r="C574">
        <f>IFERROR(__xludf.DUMMYFUNCTION("""COMPUTED_VALUE"""),3.0)</f>
        <v>3</v>
      </c>
      <c r="E574" s="8"/>
      <c r="F574">
        <f t="shared" ref="F574:G574" si="574">B574+F575</f>
        <v>52</v>
      </c>
      <c r="G574">
        <f t="shared" si="574"/>
        <v>45</v>
      </c>
      <c r="I574" s="8"/>
      <c r="J574">
        <f t="shared" si="3"/>
        <v>7</v>
      </c>
    </row>
    <row r="575">
      <c r="A575" s="8"/>
      <c r="B575">
        <f>IFERROR(__xludf.DUMMYFUNCTION("""COMPUTED_VALUE"""),1.0)</f>
        <v>1</v>
      </c>
      <c r="C575">
        <f>IFERROR(__xludf.DUMMYFUNCTION("""COMPUTED_VALUE"""),3.0)</f>
        <v>3</v>
      </c>
      <c r="E575" s="8"/>
      <c r="F575">
        <f t="shared" ref="F575:G575" si="575">B575+F576</f>
        <v>50</v>
      </c>
      <c r="G575">
        <f t="shared" si="575"/>
        <v>42</v>
      </c>
      <c r="I575" s="8"/>
      <c r="J575">
        <f t="shared" si="3"/>
        <v>8</v>
      </c>
    </row>
    <row r="576">
      <c r="A576" s="8"/>
      <c r="B576">
        <f>IFERROR(__xludf.DUMMYFUNCTION("""COMPUTED_VALUE"""),3.0)</f>
        <v>3</v>
      </c>
      <c r="C576">
        <f>IFERROR(__xludf.DUMMYFUNCTION("""COMPUTED_VALUE"""),1.0)</f>
        <v>1</v>
      </c>
      <c r="E576" s="8"/>
      <c r="F576">
        <f t="shared" ref="F576:G576" si="576">B576+F577</f>
        <v>49</v>
      </c>
      <c r="G576">
        <f t="shared" si="576"/>
        <v>39</v>
      </c>
      <c r="I576" s="8"/>
      <c r="J576">
        <f t="shared" si="3"/>
        <v>10</v>
      </c>
    </row>
    <row r="577">
      <c r="A577" s="8"/>
      <c r="B577">
        <f>IFERROR(__xludf.DUMMYFUNCTION("""COMPUTED_VALUE"""),3.0)</f>
        <v>3</v>
      </c>
      <c r="C577">
        <f>IFERROR(__xludf.DUMMYFUNCTION("""COMPUTED_VALUE"""),2.0)</f>
        <v>2</v>
      </c>
      <c r="E577" s="8"/>
      <c r="F577">
        <f t="shared" ref="F577:G577" si="577">B577+F578</f>
        <v>46</v>
      </c>
      <c r="G577">
        <f t="shared" si="577"/>
        <v>38</v>
      </c>
      <c r="I577" s="8"/>
      <c r="J577">
        <f t="shared" si="3"/>
        <v>8</v>
      </c>
    </row>
    <row r="578">
      <c r="A578" s="8"/>
      <c r="B578">
        <f>IFERROR(__xludf.DUMMYFUNCTION("""COMPUTED_VALUE"""),3.0)</f>
        <v>3</v>
      </c>
      <c r="C578">
        <f>IFERROR(__xludf.DUMMYFUNCTION("""COMPUTED_VALUE"""),1.0)</f>
        <v>1</v>
      </c>
      <c r="E578" s="8"/>
      <c r="F578">
        <f t="shared" ref="F578:G578" si="578">B578+F579</f>
        <v>43</v>
      </c>
      <c r="G578">
        <f t="shared" si="578"/>
        <v>36</v>
      </c>
      <c r="I578" s="8"/>
      <c r="J578">
        <f t="shared" si="3"/>
        <v>7</v>
      </c>
    </row>
    <row r="579">
      <c r="A579" s="8"/>
      <c r="B579">
        <f>IFERROR(__xludf.DUMMYFUNCTION("""COMPUTED_VALUE"""),3.0)</f>
        <v>3</v>
      </c>
      <c r="C579">
        <f>IFERROR(__xludf.DUMMYFUNCTION("""COMPUTED_VALUE"""),4.0)</f>
        <v>4</v>
      </c>
      <c r="E579" s="8"/>
      <c r="F579">
        <f t="shared" ref="F579:G579" si="579">B579+F580</f>
        <v>40</v>
      </c>
      <c r="G579">
        <f t="shared" si="579"/>
        <v>35</v>
      </c>
      <c r="I579" s="8"/>
      <c r="J579">
        <f t="shared" si="3"/>
        <v>5</v>
      </c>
    </row>
    <row r="580">
      <c r="A580" s="8"/>
      <c r="B580">
        <f>IFERROR(__xludf.DUMMYFUNCTION("""COMPUTED_VALUE"""),3.0)</f>
        <v>3</v>
      </c>
      <c r="C580">
        <f>IFERROR(__xludf.DUMMYFUNCTION("""COMPUTED_VALUE"""),1.0)</f>
        <v>1</v>
      </c>
      <c r="E580" s="8"/>
      <c r="F580">
        <f t="shared" ref="F580:G580" si="580">B580+F581</f>
        <v>37</v>
      </c>
      <c r="G580">
        <f t="shared" si="580"/>
        <v>31</v>
      </c>
      <c r="I580" s="8"/>
      <c r="J580">
        <f t="shared" si="3"/>
        <v>6</v>
      </c>
    </row>
    <row r="581">
      <c r="A581" s="8"/>
      <c r="B581">
        <f>IFERROR(__xludf.DUMMYFUNCTION("""COMPUTED_VALUE"""),3.0)</f>
        <v>3</v>
      </c>
      <c r="C581">
        <f>IFERROR(__xludf.DUMMYFUNCTION("""COMPUTED_VALUE"""),2.0)</f>
        <v>2</v>
      </c>
      <c r="E581" s="8"/>
      <c r="F581">
        <f t="shared" ref="F581:G581" si="581">B581+F582</f>
        <v>34</v>
      </c>
      <c r="G581">
        <f t="shared" si="581"/>
        <v>30</v>
      </c>
      <c r="I581" s="8"/>
      <c r="J581">
        <f t="shared" si="3"/>
        <v>4</v>
      </c>
    </row>
    <row r="582">
      <c r="A582" s="8"/>
      <c r="B582">
        <f>IFERROR(__xludf.DUMMYFUNCTION("""COMPUTED_VALUE"""),2.0)</f>
        <v>2</v>
      </c>
      <c r="C582">
        <f>IFERROR(__xludf.DUMMYFUNCTION("""COMPUTED_VALUE"""),1.0)</f>
        <v>1</v>
      </c>
      <c r="E582" s="8"/>
      <c r="F582">
        <f t="shared" ref="F582:G582" si="582">B582+F583</f>
        <v>31</v>
      </c>
      <c r="G582">
        <f t="shared" si="582"/>
        <v>28</v>
      </c>
      <c r="I582" s="8"/>
      <c r="J582">
        <f t="shared" si="3"/>
        <v>3</v>
      </c>
    </row>
    <row r="583">
      <c r="A583" s="8"/>
      <c r="B583">
        <f>IFERROR(__xludf.DUMMYFUNCTION("""COMPUTED_VALUE"""),3.0)</f>
        <v>3</v>
      </c>
      <c r="C583">
        <f>IFERROR(__xludf.DUMMYFUNCTION("""COMPUTED_VALUE"""),2.0)</f>
        <v>2</v>
      </c>
      <c r="E583" s="8"/>
      <c r="F583">
        <f t="shared" ref="F583:G583" si="583">B583+F584</f>
        <v>29</v>
      </c>
      <c r="G583">
        <f t="shared" si="583"/>
        <v>27</v>
      </c>
      <c r="I583" s="8"/>
      <c r="J583">
        <f t="shared" si="3"/>
        <v>2</v>
      </c>
    </row>
    <row r="584">
      <c r="A584" s="8"/>
      <c r="B584">
        <f>IFERROR(__xludf.DUMMYFUNCTION("""COMPUTED_VALUE"""),1.0)</f>
        <v>1</v>
      </c>
      <c r="C584">
        <f>IFERROR(__xludf.DUMMYFUNCTION("""COMPUTED_VALUE"""),2.0)</f>
        <v>2</v>
      </c>
      <c r="E584" s="8"/>
      <c r="F584">
        <f t="shared" ref="F584:G584" si="584">B584+F585</f>
        <v>26</v>
      </c>
      <c r="G584">
        <f t="shared" si="584"/>
        <v>25</v>
      </c>
      <c r="I584" s="8"/>
      <c r="J584">
        <f t="shared" si="3"/>
        <v>1</v>
      </c>
    </row>
    <row r="585">
      <c r="A585" s="8"/>
      <c r="B585">
        <f>IFERROR(__xludf.DUMMYFUNCTION("""COMPUTED_VALUE"""),2.0)</f>
        <v>2</v>
      </c>
      <c r="C585">
        <f>IFERROR(__xludf.DUMMYFUNCTION("""COMPUTED_VALUE"""),1.0)</f>
        <v>1</v>
      </c>
      <c r="E585" s="8"/>
      <c r="F585">
        <f t="shared" ref="F585:G585" si="585">B585+F586</f>
        <v>25</v>
      </c>
      <c r="G585">
        <f t="shared" si="585"/>
        <v>23</v>
      </c>
      <c r="I585" s="8"/>
      <c r="J585">
        <f t="shared" si="3"/>
        <v>2</v>
      </c>
    </row>
    <row r="586">
      <c r="A586" s="8"/>
      <c r="B586">
        <f>IFERROR(__xludf.DUMMYFUNCTION("""COMPUTED_VALUE"""),2.0)</f>
        <v>2</v>
      </c>
      <c r="C586">
        <f>IFERROR(__xludf.DUMMYFUNCTION("""COMPUTED_VALUE"""),1.0)</f>
        <v>1</v>
      </c>
      <c r="E586" s="8"/>
      <c r="F586">
        <f t="shared" ref="F586:G586" si="586">B586+F587</f>
        <v>23</v>
      </c>
      <c r="G586">
        <f t="shared" si="586"/>
        <v>22</v>
      </c>
      <c r="I586" s="8"/>
      <c r="J586">
        <f t="shared" si="3"/>
        <v>1</v>
      </c>
    </row>
    <row r="587">
      <c r="A587" s="8"/>
      <c r="B587">
        <f>IFERROR(__xludf.DUMMYFUNCTION("""COMPUTED_VALUE"""),3.0)</f>
        <v>3</v>
      </c>
      <c r="C587">
        <f>IFERROR(__xludf.DUMMYFUNCTION("""COMPUTED_VALUE"""),1.0)</f>
        <v>1</v>
      </c>
      <c r="E587" s="8"/>
      <c r="F587">
        <f t="shared" ref="F587:G587" si="587">B587+F588</f>
        <v>21</v>
      </c>
      <c r="G587">
        <f t="shared" si="587"/>
        <v>21</v>
      </c>
      <c r="I587" s="8"/>
      <c r="J587">
        <f t="shared" si="3"/>
        <v>0</v>
      </c>
    </row>
    <row r="588">
      <c r="A588" s="8"/>
      <c r="B588">
        <f>IFERROR(__xludf.DUMMYFUNCTION("""COMPUTED_VALUE"""),3.0)</f>
        <v>3</v>
      </c>
      <c r="C588">
        <f>IFERROR(__xludf.DUMMYFUNCTION("""COMPUTED_VALUE"""),1.0)</f>
        <v>1</v>
      </c>
      <c r="E588" s="8"/>
      <c r="F588">
        <f t="shared" ref="F588:G588" si="588">B588+F589</f>
        <v>18</v>
      </c>
      <c r="G588">
        <f t="shared" si="588"/>
        <v>20</v>
      </c>
      <c r="I588" s="8"/>
      <c r="J588">
        <f t="shared" si="3"/>
        <v>-2</v>
      </c>
    </row>
    <row r="589">
      <c r="A589" s="8"/>
      <c r="B589">
        <f>IFERROR(__xludf.DUMMYFUNCTION("""COMPUTED_VALUE"""),1.0)</f>
        <v>1</v>
      </c>
      <c r="C589">
        <f>IFERROR(__xludf.DUMMYFUNCTION("""COMPUTED_VALUE"""),2.0)</f>
        <v>2</v>
      </c>
      <c r="E589" s="8"/>
      <c r="F589">
        <f t="shared" ref="F589:G589" si="589">B589+F590</f>
        <v>15</v>
      </c>
      <c r="G589">
        <f t="shared" si="589"/>
        <v>19</v>
      </c>
      <c r="I589" s="8"/>
      <c r="J589">
        <f t="shared" si="3"/>
        <v>-4</v>
      </c>
    </row>
    <row r="590">
      <c r="A590" s="8"/>
      <c r="B590">
        <f>IFERROR(__xludf.DUMMYFUNCTION("""COMPUTED_VALUE"""),1.0)</f>
        <v>1</v>
      </c>
      <c r="C590">
        <f>IFERROR(__xludf.DUMMYFUNCTION("""COMPUTED_VALUE"""),1.0)</f>
        <v>1</v>
      </c>
      <c r="E590" s="8"/>
      <c r="F590">
        <f t="shared" ref="F590:G590" si="590">B590+F591</f>
        <v>14</v>
      </c>
      <c r="G590">
        <f t="shared" si="590"/>
        <v>17</v>
      </c>
      <c r="I590" s="8"/>
      <c r="J590">
        <f t="shared" si="3"/>
        <v>-3</v>
      </c>
    </row>
    <row r="591">
      <c r="A591" s="8"/>
      <c r="B591">
        <f>IFERROR(__xludf.DUMMYFUNCTION("""COMPUTED_VALUE"""),2.0)</f>
        <v>2</v>
      </c>
      <c r="C591">
        <f>IFERROR(__xludf.DUMMYFUNCTION("""COMPUTED_VALUE"""),3.0)</f>
        <v>3</v>
      </c>
      <c r="E591" s="8"/>
      <c r="F591">
        <f t="shared" ref="F591:G591" si="591">B591+F592</f>
        <v>13</v>
      </c>
      <c r="G591">
        <f t="shared" si="591"/>
        <v>16</v>
      </c>
      <c r="I591" s="8"/>
      <c r="J591">
        <f t="shared" si="3"/>
        <v>-3</v>
      </c>
    </row>
    <row r="592">
      <c r="A592" s="8"/>
      <c r="B592">
        <f>IFERROR(__xludf.DUMMYFUNCTION("""COMPUTED_VALUE"""),1.0)</f>
        <v>1</v>
      </c>
      <c r="C592">
        <f>IFERROR(__xludf.DUMMYFUNCTION("""COMPUTED_VALUE"""),2.0)</f>
        <v>2</v>
      </c>
      <c r="E592" s="8"/>
      <c r="F592">
        <f t="shared" ref="F592:G592" si="592">B592+F593</f>
        <v>11</v>
      </c>
      <c r="G592">
        <f t="shared" si="592"/>
        <v>13</v>
      </c>
      <c r="I592" s="8"/>
      <c r="J592">
        <f t="shared" si="3"/>
        <v>-2</v>
      </c>
    </row>
    <row r="593">
      <c r="A593" s="8"/>
      <c r="B593">
        <f>IFERROR(__xludf.DUMMYFUNCTION("""COMPUTED_VALUE"""),1.0)</f>
        <v>1</v>
      </c>
      <c r="C593">
        <f>IFERROR(__xludf.DUMMYFUNCTION("""COMPUTED_VALUE"""),2.0)</f>
        <v>2</v>
      </c>
      <c r="E593" s="8"/>
      <c r="F593">
        <f t="shared" ref="F593:G593" si="593">B593+F594</f>
        <v>10</v>
      </c>
      <c r="G593">
        <f t="shared" si="593"/>
        <v>11</v>
      </c>
      <c r="I593" s="8"/>
      <c r="J593">
        <f t="shared" si="3"/>
        <v>-1</v>
      </c>
    </row>
    <row r="594">
      <c r="A594" s="8"/>
      <c r="B594">
        <f>IFERROR(__xludf.DUMMYFUNCTION("""COMPUTED_VALUE"""),1.0)</f>
        <v>1</v>
      </c>
      <c r="C594">
        <f>IFERROR(__xludf.DUMMYFUNCTION("""COMPUTED_VALUE"""),2.0)</f>
        <v>2</v>
      </c>
      <c r="E594" s="8"/>
      <c r="F594">
        <f t="shared" ref="F594:G594" si="594">B594+F595</f>
        <v>9</v>
      </c>
      <c r="G594">
        <f t="shared" si="594"/>
        <v>9</v>
      </c>
      <c r="I594" s="8"/>
      <c r="J594">
        <f t="shared" si="3"/>
        <v>0</v>
      </c>
    </row>
    <row r="595">
      <c r="A595" s="8"/>
      <c r="B595">
        <f>IFERROR(__xludf.DUMMYFUNCTION("""COMPUTED_VALUE"""),3.0)</f>
        <v>3</v>
      </c>
      <c r="C595">
        <f>IFERROR(__xludf.DUMMYFUNCTION("""COMPUTED_VALUE"""),1.0)</f>
        <v>1</v>
      </c>
      <c r="E595" s="8"/>
      <c r="F595">
        <f t="shared" ref="F595:G595" si="595">B595+F596</f>
        <v>8</v>
      </c>
      <c r="G595">
        <f t="shared" si="595"/>
        <v>7</v>
      </c>
      <c r="I595" s="8"/>
      <c r="J595">
        <f t="shared" si="3"/>
        <v>1</v>
      </c>
    </row>
    <row r="596">
      <c r="A596" s="8"/>
      <c r="B596">
        <f>IFERROR(__xludf.DUMMYFUNCTION("""COMPUTED_VALUE"""),3.0)</f>
        <v>3</v>
      </c>
      <c r="C596">
        <f>IFERROR(__xludf.DUMMYFUNCTION("""COMPUTED_VALUE"""),1.0)</f>
        <v>1</v>
      </c>
      <c r="E596" s="8"/>
      <c r="F596">
        <f t="shared" ref="F596:G596" si="596">B596+F597</f>
        <v>5</v>
      </c>
      <c r="G596">
        <f t="shared" si="596"/>
        <v>6</v>
      </c>
      <c r="I596" s="8"/>
      <c r="J596">
        <f t="shared" si="3"/>
        <v>-1</v>
      </c>
    </row>
    <row r="597">
      <c r="A597" s="8"/>
      <c r="B597">
        <f>IFERROR(__xludf.DUMMYFUNCTION("""COMPUTED_VALUE"""),1.0)</f>
        <v>1</v>
      </c>
      <c r="C597">
        <f>IFERROR(__xludf.DUMMYFUNCTION("""COMPUTED_VALUE"""),3.0)</f>
        <v>3</v>
      </c>
      <c r="E597" s="8"/>
      <c r="F597">
        <f t="shared" ref="F597:G597" si="597">B597+F598</f>
        <v>2</v>
      </c>
      <c r="G597">
        <f t="shared" si="597"/>
        <v>5</v>
      </c>
      <c r="I597" s="8"/>
      <c r="J597">
        <f t="shared" si="3"/>
        <v>-3</v>
      </c>
    </row>
    <row r="598">
      <c r="A598" s="8"/>
      <c r="B598">
        <f>IFERROR(__xludf.DUMMYFUNCTION("""COMPUTED_VALUE"""),1.0)</f>
        <v>1</v>
      </c>
      <c r="C598">
        <f>IFERROR(__xludf.DUMMYFUNCTION("""COMPUTED_VALUE"""),2.0)</f>
        <v>2</v>
      </c>
      <c r="E598" s="8"/>
      <c r="F598">
        <f t="shared" ref="F598:G598" si="598">B598+F599</f>
        <v>1</v>
      </c>
      <c r="G598">
        <f t="shared" si="598"/>
        <v>2</v>
      </c>
      <c r="I598" s="8"/>
      <c r="J598">
        <f t="shared" si="3"/>
        <v>-1</v>
      </c>
    </row>
    <row r="599">
      <c r="E599" s="8"/>
      <c r="F599">
        <f t="shared" ref="F599:G599" si="599">B599+F600</f>
        <v>0</v>
      </c>
      <c r="G599">
        <f t="shared" si="599"/>
        <v>0</v>
      </c>
      <c r="I599" s="8"/>
      <c r="J599">
        <f t="shared" si="3"/>
        <v>0</v>
      </c>
    </row>
    <row r="600">
      <c r="E600" s="8"/>
      <c r="F600">
        <f t="shared" ref="F600:G600" si="600">B600+F601</f>
        <v>0</v>
      </c>
      <c r="G600">
        <f t="shared" si="600"/>
        <v>0</v>
      </c>
      <c r="I600" s="8"/>
      <c r="J600">
        <f t="shared" si="3"/>
        <v>0</v>
      </c>
    </row>
    <row r="601">
      <c r="E601" s="8"/>
      <c r="F601">
        <f t="shared" ref="F601:G601" si="601">B601+F602</f>
        <v>0</v>
      </c>
      <c r="G601">
        <f t="shared" si="601"/>
        <v>0</v>
      </c>
      <c r="I601" s="8"/>
      <c r="J601">
        <f t="shared" si="3"/>
        <v>0</v>
      </c>
    </row>
    <row r="602">
      <c r="E602" s="8"/>
      <c r="F602">
        <f t="shared" ref="F602:G602" si="602">B602+F603</f>
        <v>0</v>
      </c>
      <c r="G602">
        <f t="shared" si="602"/>
        <v>0</v>
      </c>
      <c r="I602" s="8"/>
      <c r="J602">
        <f t="shared" si="3"/>
        <v>0</v>
      </c>
    </row>
    <row r="603">
      <c r="E603" s="8"/>
      <c r="F603">
        <f t="shared" ref="F603:G603" si="603">B603+F604</f>
        <v>0</v>
      </c>
      <c r="G603">
        <f t="shared" si="603"/>
        <v>0</v>
      </c>
      <c r="I603" s="8"/>
      <c r="J603">
        <f t="shared" si="3"/>
        <v>0</v>
      </c>
    </row>
    <row r="604">
      <c r="E604" s="8"/>
      <c r="F604">
        <f t="shared" ref="F604:G604" si="604">B604+F605</f>
        <v>0</v>
      </c>
      <c r="G604">
        <f t="shared" si="604"/>
        <v>0</v>
      </c>
      <c r="I604" s="8"/>
      <c r="J604">
        <f t="shared" si="3"/>
        <v>0</v>
      </c>
    </row>
    <row r="605">
      <c r="E605" s="8"/>
      <c r="F605">
        <f t="shared" ref="F605:G605" si="605">B605+F606</f>
        <v>0</v>
      </c>
      <c r="G605">
        <f t="shared" si="605"/>
        <v>0</v>
      </c>
      <c r="I605" s="8"/>
      <c r="J605">
        <f t="shared" si="3"/>
        <v>0</v>
      </c>
    </row>
    <row r="606">
      <c r="E606" s="8"/>
      <c r="F606">
        <f t="shared" ref="F606:G606" si="606">B606+F607</f>
        <v>0</v>
      </c>
      <c r="G606">
        <f t="shared" si="606"/>
        <v>0</v>
      </c>
      <c r="I606" s="8"/>
      <c r="J606">
        <f t="shared" si="3"/>
        <v>0</v>
      </c>
    </row>
    <row r="607">
      <c r="E607" s="8"/>
      <c r="F607">
        <f t="shared" ref="F607:G607" si="607">B607+F608</f>
        <v>0</v>
      </c>
      <c r="G607">
        <f t="shared" si="607"/>
        <v>0</v>
      </c>
      <c r="I607" s="8"/>
      <c r="J607">
        <f t="shared" si="3"/>
        <v>0</v>
      </c>
    </row>
    <row r="608">
      <c r="E608" s="8"/>
      <c r="F608">
        <f t="shared" ref="F608:G608" si="608">B608+F609</f>
        <v>0</v>
      </c>
      <c r="G608">
        <f t="shared" si="608"/>
        <v>0</v>
      </c>
      <c r="I608" s="8"/>
      <c r="J608">
        <f t="shared" si="3"/>
        <v>0</v>
      </c>
    </row>
    <row r="609">
      <c r="E609" s="8"/>
      <c r="F609">
        <f t="shared" ref="F609:G609" si="609">B609+F610</f>
        <v>0</v>
      </c>
      <c r="G609">
        <f t="shared" si="609"/>
        <v>0</v>
      </c>
      <c r="I609" s="8"/>
      <c r="J609">
        <f t="shared" si="3"/>
        <v>0</v>
      </c>
    </row>
    <row r="610">
      <c r="E610" s="8"/>
      <c r="F610">
        <f t="shared" ref="F610:G610" si="610">B610+F611</f>
        <v>0</v>
      </c>
      <c r="G610">
        <f t="shared" si="610"/>
        <v>0</v>
      </c>
      <c r="I610" s="8"/>
      <c r="J610">
        <f t="shared" si="3"/>
        <v>0</v>
      </c>
    </row>
    <row r="611">
      <c r="E611" s="8"/>
      <c r="F611">
        <f t="shared" ref="F611:G611" si="611">B611+F612</f>
        <v>0</v>
      </c>
      <c r="G611">
        <f t="shared" si="611"/>
        <v>0</v>
      </c>
      <c r="I611" s="8"/>
      <c r="J611">
        <f t="shared" si="3"/>
        <v>0</v>
      </c>
    </row>
    <row r="612">
      <c r="E612" s="8"/>
      <c r="F612">
        <f t="shared" ref="F612:G612" si="612">B612+F613</f>
        <v>0</v>
      </c>
      <c r="G612">
        <f t="shared" si="612"/>
        <v>0</v>
      </c>
      <c r="I612" s="8"/>
      <c r="J612">
        <f t="shared" si="3"/>
        <v>0</v>
      </c>
    </row>
    <row r="613">
      <c r="E613" s="8"/>
      <c r="F613">
        <f t="shared" ref="F613:G613" si="613">B613+F614</f>
        <v>0</v>
      </c>
      <c r="G613">
        <f t="shared" si="613"/>
        <v>0</v>
      </c>
      <c r="I613" s="8"/>
      <c r="J613">
        <f t="shared" si="3"/>
        <v>0</v>
      </c>
    </row>
    <row r="614">
      <c r="E614" s="8"/>
      <c r="F614">
        <f t="shared" ref="F614:G614" si="614">B614+F615</f>
        <v>0</v>
      </c>
      <c r="G614">
        <f t="shared" si="614"/>
        <v>0</v>
      </c>
      <c r="I614" s="8"/>
      <c r="J614">
        <f t="shared" si="3"/>
        <v>0</v>
      </c>
    </row>
    <row r="615">
      <c r="E615" s="8"/>
      <c r="F615">
        <f t="shared" ref="F615:G615" si="615">B615+F616</f>
        <v>0</v>
      </c>
      <c r="G615">
        <f t="shared" si="615"/>
        <v>0</v>
      </c>
      <c r="I615" s="8"/>
      <c r="J615">
        <f t="shared" si="3"/>
        <v>0</v>
      </c>
    </row>
    <row r="616">
      <c r="E616" s="8"/>
      <c r="F616">
        <f t="shared" ref="F616:G616" si="616">B616+F617</f>
        <v>0</v>
      </c>
      <c r="G616">
        <f t="shared" si="616"/>
        <v>0</v>
      </c>
      <c r="I616" s="8"/>
      <c r="J616">
        <f t="shared" si="3"/>
        <v>0</v>
      </c>
    </row>
    <row r="617">
      <c r="E617" s="8"/>
      <c r="F617">
        <f t="shared" ref="F617:G617" si="617">B617+F618</f>
        <v>0</v>
      </c>
      <c r="G617">
        <f t="shared" si="617"/>
        <v>0</v>
      </c>
      <c r="I617" s="8"/>
      <c r="J617">
        <f t="shared" si="3"/>
        <v>0</v>
      </c>
    </row>
    <row r="618">
      <c r="E618" s="8"/>
      <c r="F618">
        <f t="shared" ref="F618:G618" si="618">B618+F619</f>
        <v>0</v>
      </c>
      <c r="G618">
        <f t="shared" si="618"/>
        <v>0</v>
      </c>
      <c r="I618" s="8"/>
      <c r="J618">
        <f t="shared" si="3"/>
        <v>0</v>
      </c>
    </row>
    <row r="619">
      <c r="E619" s="8"/>
      <c r="F619">
        <f t="shared" ref="F619:G619" si="619">B619+F620</f>
        <v>0</v>
      </c>
      <c r="G619">
        <f t="shared" si="619"/>
        <v>0</v>
      </c>
      <c r="I619" s="8"/>
      <c r="J619">
        <f t="shared" si="3"/>
        <v>0</v>
      </c>
    </row>
    <row r="620">
      <c r="E620" s="8"/>
      <c r="F620">
        <f t="shared" ref="F620:G620" si="620">B620+F621</f>
        <v>0</v>
      </c>
      <c r="G620">
        <f t="shared" si="620"/>
        <v>0</v>
      </c>
      <c r="I620" s="8"/>
      <c r="J620">
        <f t="shared" si="3"/>
        <v>0</v>
      </c>
    </row>
    <row r="621">
      <c r="E621" s="8"/>
      <c r="F621">
        <f t="shared" ref="F621:G621" si="621">B621+F622</f>
        <v>0</v>
      </c>
      <c r="G621">
        <f t="shared" si="621"/>
        <v>0</v>
      </c>
      <c r="I621" s="8"/>
      <c r="J621">
        <f t="shared" si="3"/>
        <v>0</v>
      </c>
    </row>
    <row r="622">
      <c r="E622" s="8"/>
      <c r="F622">
        <f t="shared" ref="F622:G622" si="622">B622+F623</f>
        <v>0</v>
      </c>
      <c r="G622">
        <f t="shared" si="622"/>
        <v>0</v>
      </c>
      <c r="I622" s="8"/>
      <c r="J622">
        <f t="shared" si="3"/>
        <v>0</v>
      </c>
    </row>
    <row r="623">
      <c r="E623" s="8"/>
      <c r="F623">
        <f t="shared" ref="F623:G623" si="623">B623+F624</f>
        <v>0</v>
      </c>
      <c r="G623">
        <f t="shared" si="623"/>
        <v>0</v>
      </c>
      <c r="I623" s="8"/>
      <c r="J623">
        <f t="shared" si="3"/>
        <v>0</v>
      </c>
    </row>
    <row r="624">
      <c r="E624" s="8"/>
      <c r="F624">
        <f t="shared" ref="F624:G624" si="624">B624+F625</f>
        <v>0</v>
      </c>
      <c r="G624">
        <f t="shared" si="624"/>
        <v>0</v>
      </c>
      <c r="I624" s="8"/>
      <c r="J624">
        <f t="shared" si="3"/>
        <v>0</v>
      </c>
    </row>
    <row r="625">
      <c r="E625" s="8"/>
      <c r="F625">
        <f t="shared" ref="F625:G625" si="625">B625+F626</f>
        <v>0</v>
      </c>
      <c r="G625">
        <f t="shared" si="625"/>
        <v>0</v>
      </c>
      <c r="I625" s="8"/>
      <c r="J625">
        <f t="shared" si="3"/>
        <v>0</v>
      </c>
    </row>
    <row r="626">
      <c r="E626" s="8"/>
      <c r="F626">
        <f t="shared" ref="F626:G626" si="626">B626+F627</f>
        <v>0</v>
      </c>
      <c r="G626">
        <f t="shared" si="626"/>
        <v>0</v>
      </c>
      <c r="I626" s="8"/>
      <c r="J626">
        <f t="shared" si="3"/>
        <v>0</v>
      </c>
    </row>
    <row r="627">
      <c r="E627" s="8"/>
      <c r="F627">
        <f t="shared" ref="F627:G627" si="627">B627+F628</f>
        <v>0</v>
      </c>
      <c r="G627">
        <f t="shared" si="627"/>
        <v>0</v>
      </c>
      <c r="I627" s="8"/>
      <c r="J627">
        <f t="shared" si="3"/>
        <v>0</v>
      </c>
    </row>
    <row r="628">
      <c r="E628" s="8"/>
      <c r="F628">
        <f t="shared" ref="F628:G628" si="628">B628+F629</f>
        <v>0</v>
      </c>
      <c r="G628">
        <f t="shared" si="628"/>
        <v>0</v>
      </c>
      <c r="I628" s="8"/>
      <c r="J628">
        <f t="shared" si="3"/>
        <v>0</v>
      </c>
    </row>
    <row r="629">
      <c r="E629" s="8"/>
      <c r="F629">
        <f t="shared" ref="F629:G629" si="629">B629+F630</f>
        <v>0</v>
      </c>
      <c r="G629">
        <f t="shared" si="629"/>
        <v>0</v>
      </c>
      <c r="I629" s="8"/>
      <c r="J629">
        <f t="shared" si="3"/>
        <v>0</v>
      </c>
    </row>
    <row r="630">
      <c r="E630" s="8"/>
      <c r="F630">
        <f t="shared" ref="F630:G630" si="630">B630+F631</f>
        <v>0</v>
      </c>
      <c r="G630">
        <f t="shared" si="630"/>
        <v>0</v>
      </c>
      <c r="I630" s="8"/>
      <c r="J630">
        <f t="shared" si="3"/>
        <v>0</v>
      </c>
    </row>
    <row r="631">
      <c r="E631" s="8"/>
      <c r="F631">
        <f t="shared" ref="F631:G631" si="631">B631+F632</f>
        <v>0</v>
      </c>
      <c r="G631">
        <f t="shared" si="631"/>
        <v>0</v>
      </c>
      <c r="I631" s="8"/>
      <c r="J631">
        <f t="shared" si="3"/>
        <v>0</v>
      </c>
    </row>
    <row r="632">
      <c r="E632" s="8"/>
      <c r="F632">
        <f t="shared" ref="F632:G632" si="632">B632+F633</f>
        <v>0</v>
      </c>
      <c r="G632">
        <f t="shared" si="632"/>
        <v>0</v>
      </c>
      <c r="I632" s="8"/>
      <c r="J632">
        <f t="shared" si="3"/>
        <v>0</v>
      </c>
    </row>
    <row r="633">
      <c r="E633" s="8"/>
      <c r="F633">
        <f t="shared" ref="F633:G633" si="633">B633+F634</f>
        <v>0</v>
      </c>
      <c r="G633">
        <f t="shared" si="633"/>
        <v>0</v>
      </c>
      <c r="I633" s="8"/>
      <c r="J633">
        <f t="shared" si="3"/>
        <v>0</v>
      </c>
    </row>
    <row r="634">
      <c r="E634" s="8"/>
      <c r="F634">
        <f t="shared" ref="F634:G634" si="634">B634+F635</f>
        <v>0</v>
      </c>
      <c r="G634">
        <f t="shared" si="634"/>
        <v>0</v>
      </c>
      <c r="I634" s="8"/>
      <c r="J634">
        <f t="shared" si="3"/>
        <v>0</v>
      </c>
    </row>
    <row r="635">
      <c r="E635" s="8"/>
      <c r="F635">
        <f t="shared" ref="F635:G635" si="635">B635+F636</f>
        <v>0</v>
      </c>
      <c r="G635">
        <f t="shared" si="635"/>
        <v>0</v>
      </c>
      <c r="I635" s="8"/>
      <c r="J635">
        <f t="shared" si="3"/>
        <v>0</v>
      </c>
    </row>
    <row r="636">
      <c r="E636" s="8"/>
      <c r="F636">
        <f t="shared" ref="F636:G636" si="636">B636+F637</f>
        <v>0</v>
      </c>
      <c r="G636">
        <f t="shared" si="636"/>
        <v>0</v>
      </c>
      <c r="I636" s="8"/>
      <c r="J636">
        <f t="shared" si="3"/>
        <v>0</v>
      </c>
    </row>
    <row r="637">
      <c r="E637" s="8"/>
      <c r="F637">
        <f t="shared" ref="F637:G637" si="637">B637+F638</f>
        <v>0</v>
      </c>
      <c r="G637">
        <f t="shared" si="637"/>
        <v>0</v>
      </c>
      <c r="I637" s="8"/>
      <c r="J637">
        <f t="shared" si="3"/>
        <v>0</v>
      </c>
    </row>
    <row r="638">
      <c r="E638" s="8"/>
      <c r="F638">
        <f t="shared" ref="F638:G638" si="638">B638+F639</f>
        <v>0</v>
      </c>
      <c r="G638">
        <f t="shared" si="638"/>
        <v>0</v>
      </c>
      <c r="I638" s="8"/>
      <c r="J638">
        <f t="shared" si="3"/>
        <v>0</v>
      </c>
    </row>
    <row r="639">
      <c r="E639" s="8"/>
      <c r="F639">
        <f t="shared" ref="F639:G639" si="639">B639+F640</f>
        <v>0</v>
      </c>
      <c r="G639">
        <f t="shared" si="639"/>
        <v>0</v>
      </c>
      <c r="I639" s="8"/>
      <c r="J639">
        <f t="shared" si="3"/>
        <v>0</v>
      </c>
    </row>
    <row r="640">
      <c r="E640" s="8"/>
      <c r="F640">
        <f t="shared" ref="F640:G640" si="640">B640+F641</f>
        <v>0</v>
      </c>
      <c r="G640">
        <f t="shared" si="640"/>
        <v>0</v>
      </c>
      <c r="I640" s="8"/>
      <c r="J640">
        <f t="shared" si="3"/>
        <v>0</v>
      </c>
    </row>
    <row r="641">
      <c r="E641" s="8"/>
      <c r="F641">
        <f t="shared" ref="F641:G641" si="641">B641+F642</f>
        <v>0</v>
      </c>
      <c r="G641">
        <f t="shared" si="641"/>
        <v>0</v>
      </c>
      <c r="I641" s="8"/>
      <c r="J641">
        <f t="shared" si="3"/>
        <v>0</v>
      </c>
    </row>
    <row r="642">
      <c r="E642" s="8"/>
      <c r="F642">
        <f t="shared" ref="F642:G642" si="642">B642+F643</f>
        <v>0</v>
      </c>
      <c r="G642">
        <f t="shared" si="642"/>
        <v>0</v>
      </c>
      <c r="I642" s="8"/>
      <c r="J642">
        <f t="shared" si="3"/>
        <v>0</v>
      </c>
    </row>
    <row r="643">
      <c r="E643" s="8"/>
      <c r="F643">
        <f t="shared" ref="F643:G643" si="643">B643+F644</f>
        <v>0</v>
      </c>
      <c r="G643">
        <f t="shared" si="643"/>
        <v>0</v>
      </c>
      <c r="I643" s="8"/>
      <c r="J643">
        <f t="shared" si="3"/>
        <v>0</v>
      </c>
    </row>
    <row r="644">
      <c r="E644" s="8"/>
      <c r="F644">
        <f t="shared" ref="F644:G644" si="644">B644+F645</f>
        <v>0</v>
      </c>
      <c r="G644">
        <f t="shared" si="644"/>
        <v>0</v>
      </c>
      <c r="I644" s="8"/>
      <c r="J644">
        <f t="shared" si="3"/>
        <v>0</v>
      </c>
    </row>
    <row r="645">
      <c r="E645" s="8"/>
      <c r="F645">
        <f t="shared" ref="F645:G645" si="645">B645+F646</f>
        <v>0</v>
      </c>
      <c r="G645">
        <f t="shared" si="645"/>
        <v>0</v>
      </c>
      <c r="I645" s="8"/>
      <c r="J645">
        <f t="shared" si="3"/>
        <v>0</v>
      </c>
    </row>
    <row r="646">
      <c r="E646" s="8"/>
      <c r="F646">
        <f t="shared" ref="F646:G646" si="646">B646+F647</f>
        <v>0</v>
      </c>
      <c r="G646">
        <f t="shared" si="646"/>
        <v>0</v>
      </c>
      <c r="I646" s="8"/>
      <c r="J646">
        <f t="shared" si="3"/>
        <v>0</v>
      </c>
    </row>
    <row r="647">
      <c r="E647" s="8"/>
      <c r="F647">
        <f t="shared" ref="F647:G647" si="647">B647+F648</f>
        <v>0</v>
      </c>
      <c r="G647">
        <f t="shared" si="647"/>
        <v>0</v>
      </c>
      <c r="I647" s="8"/>
      <c r="J647">
        <f t="shared" si="3"/>
        <v>0</v>
      </c>
    </row>
    <row r="648">
      <c r="E648" s="8"/>
      <c r="F648">
        <f t="shared" ref="F648:G648" si="648">B648+F649</f>
        <v>0</v>
      </c>
      <c r="G648">
        <f t="shared" si="648"/>
        <v>0</v>
      </c>
      <c r="I648" s="8"/>
      <c r="J648">
        <f t="shared" si="3"/>
        <v>0</v>
      </c>
    </row>
    <row r="649">
      <c r="E649" s="8"/>
      <c r="F649">
        <f t="shared" ref="F649:G649" si="649">B649+F650</f>
        <v>0</v>
      </c>
      <c r="G649">
        <f t="shared" si="649"/>
        <v>0</v>
      </c>
      <c r="I649" s="8"/>
      <c r="J649">
        <f t="shared" si="3"/>
        <v>0</v>
      </c>
    </row>
    <row r="650">
      <c r="E650" s="8"/>
      <c r="F650">
        <f t="shared" ref="F650:G650" si="650">B650+F651</f>
        <v>0</v>
      </c>
      <c r="G650">
        <f t="shared" si="650"/>
        <v>0</v>
      </c>
      <c r="I650" s="8"/>
      <c r="J650">
        <f t="shared" si="3"/>
        <v>0</v>
      </c>
    </row>
    <row r="651">
      <c r="E651" s="8"/>
      <c r="F651">
        <f t="shared" ref="F651:G651" si="651">B651+F652</f>
        <v>0</v>
      </c>
      <c r="G651">
        <f t="shared" si="651"/>
        <v>0</v>
      </c>
      <c r="I651" s="8"/>
      <c r="J651">
        <f t="shared" si="3"/>
        <v>0</v>
      </c>
    </row>
    <row r="652">
      <c r="E652" s="8"/>
      <c r="F652">
        <f t="shared" ref="F652:G652" si="652">B652+F653</f>
        <v>0</v>
      </c>
      <c r="G652">
        <f t="shared" si="652"/>
        <v>0</v>
      </c>
      <c r="I652" s="8"/>
      <c r="J652">
        <f t="shared" si="3"/>
        <v>0</v>
      </c>
    </row>
    <row r="653">
      <c r="E653" s="8"/>
      <c r="F653">
        <f t="shared" ref="F653:G653" si="653">B653+F654</f>
        <v>0</v>
      </c>
      <c r="G653">
        <f t="shared" si="653"/>
        <v>0</v>
      </c>
      <c r="I653" s="8"/>
      <c r="J653">
        <f t="shared" si="3"/>
        <v>0</v>
      </c>
    </row>
    <row r="654">
      <c r="E654" s="8"/>
      <c r="F654">
        <f t="shared" ref="F654:G654" si="654">B654+F655</f>
        <v>0</v>
      </c>
      <c r="G654">
        <f t="shared" si="654"/>
        <v>0</v>
      </c>
      <c r="I654" s="8"/>
      <c r="J654">
        <f t="shared" si="3"/>
        <v>0</v>
      </c>
    </row>
    <row r="655">
      <c r="E655" s="8"/>
      <c r="F655">
        <f t="shared" ref="F655:G655" si="655">B655+F656</f>
        <v>0</v>
      </c>
      <c r="G655">
        <f t="shared" si="655"/>
        <v>0</v>
      </c>
      <c r="I655" s="8"/>
      <c r="J655">
        <f t="shared" si="3"/>
        <v>0</v>
      </c>
    </row>
    <row r="656">
      <c r="E656" s="8"/>
      <c r="F656">
        <f t="shared" ref="F656:G656" si="656">B656+F657</f>
        <v>0</v>
      </c>
      <c r="G656">
        <f t="shared" si="656"/>
        <v>0</v>
      </c>
      <c r="I656" s="8"/>
      <c r="J656">
        <f t="shared" si="3"/>
        <v>0</v>
      </c>
    </row>
    <row r="657">
      <c r="E657" s="8"/>
      <c r="F657">
        <f t="shared" ref="F657:G657" si="657">B657+F658</f>
        <v>0</v>
      </c>
      <c r="G657">
        <f t="shared" si="657"/>
        <v>0</v>
      </c>
      <c r="I657" s="8"/>
      <c r="J657">
        <f t="shared" si="3"/>
        <v>0</v>
      </c>
    </row>
    <row r="658">
      <c r="E658" s="8"/>
      <c r="F658">
        <f t="shared" ref="F658:G658" si="658">B658+F659</f>
        <v>0</v>
      </c>
      <c r="G658">
        <f t="shared" si="658"/>
        <v>0</v>
      </c>
      <c r="I658" s="8"/>
      <c r="J658">
        <f t="shared" si="3"/>
        <v>0</v>
      </c>
    </row>
    <row r="659">
      <c r="E659" s="8"/>
      <c r="F659">
        <f t="shared" ref="F659:G659" si="659">B659+F660</f>
        <v>0</v>
      </c>
      <c r="G659">
        <f t="shared" si="659"/>
        <v>0</v>
      </c>
      <c r="I659" s="8"/>
      <c r="J659">
        <f t="shared" si="3"/>
        <v>0</v>
      </c>
    </row>
    <row r="660">
      <c r="E660" s="8"/>
      <c r="F660">
        <f t="shared" ref="F660:G660" si="660">B660+F661</f>
        <v>0</v>
      </c>
      <c r="G660">
        <f t="shared" si="660"/>
        <v>0</v>
      </c>
      <c r="I660" s="8"/>
      <c r="J660">
        <f t="shared" si="3"/>
        <v>0</v>
      </c>
    </row>
    <row r="661">
      <c r="E661" s="8"/>
      <c r="F661">
        <f t="shared" ref="F661:G661" si="661">B661+F662</f>
        <v>0</v>
      </c>
      <c r="G661">
        <f t="shared" si="661"/>
        <v>0</v>
      </c>
      <c r="I661" s="8"/>
      <c r="J661">
        <f t="shared" si="3"/>
        <v>0</v>
      </c>
    </row>
    <row r="662">
      <c r="E662" s="8"/>
      <c r="F662">
        <f t="shared" ref="F662:G662" si="662">B662+F663</f>
        <v>0</v>
      </c>
      <c r="G662">
        <f t="shared" si="662"/>
        <v>0</v>
      </c>
      <c r="I662" s="8"/>
      <c r="J662">
        <f t="shared" si="3"/>
        <v>0</v>
      </c>
    </row>
    <row r="663">
      <c r="E663" s="8"/>
      <c r="F663">
        <f t="shared" ref="F663:G663" si="663">B663+F664</f>
        <v>0</v>
      </c>
      <c r="G663">
        <f t="shared" si="663"/>
        <v>0</v>
      </c>
      <c r="I663" s="8"/>
      <c r="J663">
        <f t="shared" si="3"/>
        <v>0</v>
      </c>
    </row>
    <row r="664">
      <c r="E664" s="8"/>
      <c r="F664">
        <f t="shared" ref="F664:G664" si="664">B664+F665</f>
        <v>0</v>
      </c>
      <c r="G664">
        <f t="shared" si="664"/>
        <v>0</v>
      </c>
      <c r="I664" s="8"/>
      <c r="J664">
        <f t="shared" si="3"/>
        <v>0</v>
      </c>
    </row>
    <row r="665">
      <c r="E665" s="8"/>
      <c r="F665">
        <f t="shared" ref="F665:G665" si="665">B665+F666</f>
        <v>0</v>
      </c>
      <c r="G665">
        <f t="shared" si="665"/>
        <v>0</v>
      </c>
      <c r="I665" s="8"/>
      <c r="J665">
        <f t="shared" si="3"/>
        <v>0</v>
      </c>
    </row>
    <row r="666">
      <c r="E666" s="8"/>
      <c r="F666">
        <f t="shared" ref="F666:G666" si="666">B666+F667</f>
        <v>0</v>
      </c>
      <c r="G666">
        <f t="shared" si="666"/>
        <v>0</v>
      </c>
      <c r="I666" s="8"/>
      <c r="J666">
        <f t="shared" si="3"/>
        <v>0</v>
      </c>
    </row>
    <row r="667">
      <c r="E667" s="8"/>
      <c r="F667">
        <f t="shared" ref="F667:G667" si="667">B667+F668</f>
        <v>0</v>
      </c>
      <c r="G667">
        <f t="shared" si="667"/>
        <v>0</v>
      </c>
      <c r="I667" s="8"/>
      <c r="J667">
        <f t="shared" si="3"/>
        <v>0</v>
      </c>
    </row>
    <row r="668">
      <c r="E668" s="8"/>
      <c r="F668">
        <f t="shared" ref="F668:G668" si="668">B668+F669</f>
        <v>0</v>
      </c>
      <c r="G668">
        <f t="shared" si="668"/>
        <v>0</v>
      </c>
      <c r="I668" s="8"/>
      <c r="J668">
        <f t="shared" si="3"/>
        <v>0</v>
      </c>
    </row>
    <row r="669">
      <c r="E669" s="8"/>
      <c r="F669">
        <f t="shared" ref="F669:G669" si="669">B669+F670</f>
        <v>0</v>
      </c>
      <c r="G669">
        <f t="shared" si="669"/>
        <v>0</v>
      </c>
      <c r="I669" s="8"/>
      <c r="J669">
        <f t="shared" si="3"/>
        <v>0</v>
      </c>
    </row>
    <row r="670">
      <c r="E670" s="8"/>
      <c r="F670">
        <f t="shared" ref="F670:G670" si="670">B670+F671</f>
        <v>0</v>
      </c>
      <c r="G670">
        <f t="shared" si="670"/>
        <v>0</v>
      </c>
      <c r="I670" s="8"/>
      <c r="J670">
        <f t="shared" si="3"/>
        <v>0</v>
      </c>
    </row>
    <row r="671">
      <c r="E671" s="8"/>
      <c r="F671">
        <f t="shared" ref="F671:G671" si="671">B671+F672</f>
        <v>0</v>
      </c>
      <c r="G671">
        <f t="shared" si="671"/>
        <v>0</v>
      </c>
      <c r="I671" s="8"/>
      <c r="J671">
        <f t="shared" si="3"/>
        <v>0</v>
      </c>
    </row>
    <row r="672">
      <c r="E672" s="8"/>
      <c r="F672">
        <f t="shared" ref="F672:G672" si="672">B672+F673</f>
        <v>0</v>
      </c>
      <c r="G672">
        <f t="shared" si="672"/>
        <v>0</v>
      </c>
      <c r="I672" s="8"/>
      <c r="J672">
        <f t="shared" si="3"/>
        <v>0</v>
      </c>
    </row>
    <row r="673">
      <c r="E673" s="8"/>
      <c r="F673">
        <f t="shared" ref="F673:G673" si="673">B673+F674</f>
        <v>0</v>
      </c>
      <c r="G673">
        <f t="shared" si="673"/>
        <v>0</v>
      </c>
      <c r="I673" s="8"/>
      <c r="J673">
        <f t="shared" si="3"/>
        <v>0</v>
      </c>
    </row>
    <row r="674">
      <c r="E674" s="8"/>
      <c r="F674">
        <f t="shared" ref="F674:G674" si="674">B674+F675</f>
        <v>0</v>
      </c>
      <c r="G674">
        <f t="shared" si="674"/>
        <v>0</v>
      </c>
      <c r="I674" s="8"/>
      <c r="J674">
        <f t="shared" si="3"/>
        <v>0</v>
      </c>
    </row>
    <row r="675">
      <c r="E675" s="8"/>
      <c r="F675">
        <f t="shared" ref="F675:G675" si="675">B675+F676</f>
        <v>0</v>
      </c>
      <c r="G675">
        <f t="shared" si="675"/>
        <v>0</v>
      </c>
      <c r="I675" s="8"/>
      <c r="J675">
        <f t="shared" si="3"/>
        <v>0</v>
      </c>
    </row>
    <row r="676">
      <c r="E676" s="8"/>
      <c r="F676">
        <f t="shared" ref="F676:G676" si="676">B676+F677</f>
        <v>0</v>
      </c>
      <c r="G676">
        <f t="shared" si="676"/>
        <v>0</v>
      </c>
      <c r="I676" s="8"/>
      <c r="J676">
        <f t="shared" si="3"/>
        <v>0</v>
      </c>
    </row>
    <row r="677">
      <c r="E677" s="8"/>
      <c r="F677">
        <f t="shared" ref="F677:G677" si="677">B677+F678</f>
        <v>0</v>
      </c>
      <c r="G677">
        <f t="shared" si="677"/>
        <v>0</v>
      </c>
      <c r="I677" s="8"/>
      <c r="J677">
        <f t="shared" si="3"/>
        <v>0</v>
      </c>
    </row>
    <row r="678">
      <c r="E678" s="8"/>
      <c r="F678">
        <f t="shared" ref="F678:G678" si="678">B678+F679</f>
        <v>0</v>
      </c>
      <c r="G678">
        <f t="shared" si="678"/>
        <v>0</v>
      </c>
      <c r="I678" s="8"/>
      <c r="J678">
        <f t="shared" si="3"/>
        <v>0</v>
      </c>
    </row>
    <row r="679">
      <c r="E679" s="8"/>
      <c r="F679">
        <f t="shared" ref="F679:G679" si="679">B679+F680</f>
        <v>0</v>
      </c>
      <c r="G679">
        <f t="shared" si="679"/>
        <v>0</v>
      </c>
      <c r="I679" s="8"/>
      <c r="J679">
        <f t="shared" si="3"/>
        <v>0</v>
      </c>
    </row>
    <row r="680">
      <c r="E680" s="8"/>
      <c r="F680">
        <f t="shared" ref="F680:G680" si="680">B680+F681</f>
        <v>0</v>
      </c>
      <c r="G680">
        <f t="shared" si="680"/>
        <v>0</v>
      </c>
      <c r="I680" s="8"/>
      <c r="J680">
        <f t="shared" si="3"/>
        <v>0</v>
      </c>
    </row>
    <row r="681">
      <c r="E681" s="8"/>
      <c r="F681">
        <f t="shared" ref="F681:G681" si="681">B681+F682</f>
        <v>0</v>
      </c>
      <c r="G681">
        <f t="shared" si="681"/>
        <v>0</v>
      </c>
      <c r="I681" s="8"/>
      <c r="J681">
        <f t="shared" si="3"/>
        <v>0</v>
      </c>
    </row>
    <row r="682">
      <c r="E682" s="8"/>
      <c r="F682">
        <f t="shared" ref="F682:G682" si="682">B682+F683</f>
        <v>0</v>
      </c>
      <c r="G682">
        <f t="shared" si="682"/>
        <v>0</v>
      </c>
      <c r="I682" s="8"/>
      <c r="J682">
        <f t="shared" si="3"/>
        <v>0</v>
      </c>
    </row>
    <row r="683">
      <c r="E683" s="8"/>
      <c r="F683">
        <f t="shared" ref="F683:G683" si="683">B683+F684</f>
        <v>0</v>
      </c>
      <c r="G683">
        <f t="shared" si="683"/>
        <v>0</v>
      </c>
      <c r="I683" s="8"/>
      <c r="J683">
        <f t="shared" si="3"/>
        <v>0</v>
      </c>
    </row>
    <row r="684">
      <c r="E684" s="8"/>
      <c r="F684">
        <f t="shared" ref="F684:G684" si="684">B684+F685</f>
        <v>0</v>
      </c>
      <c r="G684">
        <f t="shared" si="684"/>
        <v>0</v>
      </c>
      <c r="I684" s="8"/>
      <c r="J684">
        <f t="shared" si="3"/>
        <v>0</v>
      </c>
    </row>
    <row r="685">
      <c r="E685" s="8"/>
      <c r="F685">
        <f t="shared" ref="F685:G685" si="685">B685+F686</f>
        <v>0</v>
      </c>
      <c r="G685">
        <f t="shared" si="685"/>
        <v>0</v>
      </c>
      <c r="I685" s="8"/>
      <c r="J685">
        <f t="shared" si="3"/>
        <v>0</v>
      </c>
    </row>
    <row r="686">
      <c r="E686" s="8"/>
      <c r="F686">
        <f t="shared" ref="F686:G686" si="686">B686+F687</f>
        <v>0</v>
      </c>
      <c r="G686">
        <f t="shared" si="686"/>
        <v>0</v>
      </c>
      <c r="I686" s="8"/>
      <c r="J686">
        <f t="shared" si="3"/>
        <v>0</v>
      </c>
    </row>
    <row r="687">
      <c r="E687" s="8"/>
      <c r="F687">
        <f t="shared" ref="F687:G687" si="687">B687+F688</f>
        <v>0</v>
      </c>
      <c r="G687">
        <f t="shared" si="687"/>
        <v>0</v>
      </c>
      <c r="I687" s="8"/>
      <c r="J687">
        <f t="shared" si="3"/>
        <v>0</v>
      </c>
    </row>
    <row r="688">
      <c r="E688" s="8"/>
      <c r="F688">
        <f t="shared" ref="F688:G688" si="688">B688+F689</f>
        <v>0</v>
      </c>
      <c r="G688">
        <f t="shared" si="688"/>
        <v>0</v>
      </c>
      <c r="I688" s="8"/>
      <c r="J688">
        <f t="shared" si="3"/>
        <v>0</v>
      </c>
    </row>
    <row r="689">
      <c r="E689" s="8"/>
      <c r="F689">
        <f t="shared" ref="F689:G689" si="689">B689+F690</f>
        <v>0</v>
      </c>
      <c r="G689">
        <f t="shared" si="689"/>
        <v>0</v>
      </c>
      <c r="I689" s="8"/>
      <c r="J689">
        <f t="shared" si="3"/>
        <v>0</v>
      </c>
    </row>
    <row r="690">
      <c r="E690" s="8"/>
      <c r="F690">
        <f t="shared" ref="F690:G690" si="690">B690+F691</f>
        <v>0</v>
      </c>
      <c r="G690">
        <f t="shared" si="690"/>
        <v>0</v>
      </c>
      <c r="I690" s="8"/>
      <c r="J690">
        <f t="shared" si="3"/>
        <v>0</v>
      </c>
    </row>
    <row r="691">
      <c r="E691" s="8"/>
      <c r="F691">
        <f t="shared" ref="F691:G691" si="691">B691+F692</f>
        <v>0</v>
      </c>
      <c r="G691">
        <f t="shared" si="691"/>
        <v>0</v>
      </c>
      <c r="I691" s="8"/>
      <c r="J691">
        <f t="shared" si="3"/>
        <v>0</v>
      </c>
    </row>
    <row r="692">
      <c r="E692" s="8"/>
      <c r="F692">
        <f t="shared" ref="F692:G692" si="692">B692+F693</f>
        <v>0</v>
      </c>
      <c r="G692">
        <f t="shared" si="692"/>
        <v>0</v>
      </c>
      <c r="I692" s="8"/>
      <c r="J692">
        <f t="shared" si="3"/>
        <v>0</v>
      </c>
    </row>
    <row r="693">
      <c r="E693" s="8"/>
      <c r="F693">
        <f t="shared" ref="F693:G693" si="693">B693+F694</f>
        <v>0</v>
      </c>
      <c r="G693">
        <f t="shared" si="693"/>
        <v>0</v>
      </c>
      <c r="I693" s="8"/>
      <c r="J693">
        <f t="shared" si="3"/>
        <v>0</v>
      </c>
    </row>
    <row r="694">
      <c r="E694" s="8"/>
      <c r="F694">
        <f t="shared" ref="F694:G694" si="694">B694+F695</f>
        <v>0</v>
      </c>
      <c r="G694">
        <f t="shared" si="694"/>
        <v>0</v>
      </c>
      <c r="I694" s="8"/>
      <c r="J694">
        <f t="shared" si="3"/>
        <v>0</v>
      </c>
    </row>
    <row r="695">
      <c r="E695" s="8"/>
      <c r="F695">
        <f t="shared" ref="F695:G695" si="695">B695+F696</f>
        <v>0</v>
      </c>
      <c r="G695">
        <f t="shared" si="695"/>
        <v>0</v>
      </c>
      <c r="I695" s="8"/>
      <c r="J695">
        <f t="shared" si="3"/>
        <v>0</v>
      </c>
    </row>
    <row r="696">
      <c r="E696" s="8"/>
      <c r="F696">
        <f t="shared" ref="F696:G696" si="696">B696+F697</f>
        <v>0</v>
      </c>
      <c r="G696">
        <f t="shared" si="696"/>
        <v>0</v>
      </c>
      <c r="I696" s="8"/>
      <c r="J696">
        <f t="shared" si="3"/>
        <v>0</v>
      </c>
    </row>
    <row r="697">
      <c r="E697" s="8"/>
      <c r="F697">
        <f t="shared" ref="F697:G697" si="697">B697+F698</f>
        <v>0</v>
      </c>
      <c r="G697">
        <f t="shared" si="697"/>
        <v>0</v>
      </c>
      <c r="I697" s="8"/>
      <c r="J697">
        <f t="shared" si="3"/>
        <v>0</v>
      </c>
    </row>
    <row r="698">
      <c r="E698" s="8"/>
      <c r="F698">
        <f t="shared" ref="F698:G698" si="698">B698+F699</f>
        <v>0</v>
      </c>
      <c r="G698">
        <f t="shared" si="698"/>
        <v>0</v>
      </c>
      <c r="I698" s="8"/>
      <c r="J698">
        <f t="shared" si="3"/>
        <v>0</v>
      </c>
    </row>
    <row r="699">
      <c r="E699" s="8"/>
      <c r="F699">
        <f t="shared" ref="F699:G699" si="699">B699+F700</f>
        <v>0</v>
      </c>
      <c r="G699">
        <f t="shared" si="699"/>
        <v>0</v>
      </c>
      <c r="I699" s="8"/>
      <c r="J699">
        <f t="shared" si="3"/>
        <v>0</v>
      </c>
    </row>
    <row r="700">
      <c r="E700" s="8"/>
      <c r="F700">
        <f t="shared" ref="F700:G700" si="700">B700+F701</f>
        <v>0</v>
      </c>
      <c r="G700">
        <f t="shared" si="700"/>
        <v>0</v>
      </c>
      <c r="I700" s="8"/>
      <c r="J700">
        <f t="shared" si="3"/>
        <v>0</v>
      </c>
    </row>
    <row r="701">
      <c r="E701" s="8"/>
      <c r="F701">
        <f t="shared" ref="F701:G701" si="701">B701+F702</f>
        <v>0</v>
      </c>
      <c r="G701">
        <f t="shared" si="701"/>
        <v>0</v>
      </c>
      <c r="I701" s="8"/>
      <c r="J701">
        <f t="shared" si="3"/>
        <v>0</v>
      </c>
    </row>
    <row r="702">
      <c r="E702" s="8"/>
      <c r="F702">
        <f t="shared" ref="F702:G702" si="702">B702+F703</f>
        <v>0</v>
      </c>
      <c r="G702">
        <f t="shared" si="702"/>
        <v>0</v>
      </c>
      <c r="I702" s="8"/>
      <c r="J702">
        <f t="shared" si="3"/>
        <v>0</v>
      </c>
    </row>
    <row r="703">
      <c r="E703" s="8"/>
      <c r="F703">
        <f t="shared" ref="F703:G703" si="703">B703+F704</f>
        <v>0</v>
      </c>
      <c r="G703">
        <f t="shared" si="703"/>
        <v>0</v>
      </c>
      <c r="I703" s="8"/>
      <c r="J703">
        <f t="shared" si="3"/>
        <v>0</v>
      </c>
    </row>
    <row r="704">
      <c r="E704" s="8"/>
      <c r="F704">
        <f t="shared" ref="F704:G704" si="704">B704+F705</f>
        <v>0</v>
      </c>
      <c r="G704">
        <f t="shared" si="704"/>
        <v>0</v>
      </c>
      <c r="I704" s="8"/>
      <c r="J704">
        <f t="shared" si="3"/>
        <v>0</v>
      </c>
    </row>
    <row r="705">
      <c r="E705" s="8"/>
      <c r="F705">
        <f t="shared" ref="F705:G705" si="705">B705+F706</f>
        <v>0</v>
      </c>
      <c r="G705">
        <f t="shared" si="705"/>
        <v>0</v>
      </c>
      <c r="I705" s="8"/>
      <c r="J705">
        <f t="shared" si="3"/>
        <v>0</v>
      </c>
    </row>
    <row r="706">
      <c r="E706" s="8"/>
      <c r="F706">
        <f t="shared" ref="F706:G706" si="706">B706+F707</f>
        <v>0</v>
      </c>
      <c r="G706">
        <f t="shared" si="706"/>
        <v>0</v>
      </c>
      <c r="I706" s="8"/>
      <c r="J706">
        <f t="shared" si="3"/>
        <v>0</v>
      </c>
    </row>
    <row r="707">
      <c r="E707" s="8"/>
      <c r="F707">
        <f t="shared" ref="F707:G707" si="707">B707+F708</f>
        <v>0</v>
      </c>
      <c r="G707">
        <f t="shared" si="707"/>
        <v>0</v>
      </c>
      <c r="I707" s="8"/>
      <c r="J707">
        <f t="shared" si="3"/>
        <v>0</v>
      </c>
    </row>
    <row r="708">
      <c r="E708" s="8"/>
      <c r="F708">
        <f t="shared" ref="F708:G708" si="708">B708+F709</f>
        <v>0</v>
      </c>
      <c r="G708">
        <f t="shared" si="708"/>
        <v>0</v>
      </c>
      <c r="I708" s="8"/>
      <c r="J708">
        <f t="shared" si="3"/>
        <v>0</v>
      </c>
    </row>
    <row r="709">
      <c r="E709" s="8"/>
      <c r="F709">
        <f t="shared" ref="F709:G709" si="709">B709+F710</f>
        <v>0</v>
      </c>
      <c r="G709">
        <f t="shared" si="709"/>
        <v>0</v>
      </c>
      <c r="I709" s="8"/>
      <c r="J709">
        <f t="shared" si="3"/>
        <v>0</v>
      </c>
    </row>
    <row r="710">
      <c r="E710" s="8"/>
      <c r="F710">
        <f t="shared" ref="F710:G710" si="710">B710+F711</f>
        <v>0</v>
      </c>
      <c r="G710">
        <f t="shared" si="710"/>
        <v>0</v>
      </c>
      <c r="I710" s="8"/>
      <c r="J710">
        <f t="shared" si="3"/>
        <v>0</v>
      </c>
    </row>
    <row r="711">
      <c r="E711" s="8"/>
      <c r="F711">
        <f t="shared" ref="F711:G711" si="711">B711+F712</f>
        <v>0</v>
      </c>
      <c r="G711">
        <f t="shared" si="711"/>
        <v>0</v>
      </c>
      <c r="I711" s="8"/>
      <c r="J711">
        <f t="shared" si="3"/>
        <v>0</v>
      </c>
    </row>
    <row r="712">
      <c r="E712" s="8"/>
      <c r="F712">
        <f t="shared" ref="F712:G712" si="712">B712+F713</f>
        <v>0</v>
      </c>
      <c r="G712">
        <f t="shared" si="712"/>
        <v>0</v>
      </c>
      <c r="I712" s="8"/>
      <c r="J712">
        <f t="shared" si="3"/>
        <v>0</v>
      </c>
    </row>
    <row r="713">
      <c r="E713" s="8"/>
      <c r="F713">
        <f t="shared" ref="F713:G713" si="713">B713+F714</f>
        <v>0</v>
      </c>
      <c r="G713">
        <f t="shared" si="713"/>
        <v>0</v>
      </c>
      <c r="I713" s="8"/>
      <c r="J713">
        <f t="shared" si="3"/>
        <v>0</v>
      </c>
    </row>
    <row r="714">
      <c r="E714" s="8"/>
      <c r="F714">
        <f t="shared" ref="F714:G714" si="714">B714+F715</f>
        <v>0</v>
      </c>
      <c r="G714">
        <f t="shared" si="714"/>
        <v>0</v>
      </c>
      <c r="I714" s="8"/>
      <c r="J714">
        <f t="shared" si="3"/>
        <v>0</v>
      </c>
    </row>
    <row r="715">
      <c r="E715" s="8"/>
      <c r="F715">
        <f t="shared" ref="F715:G715" si="715">B715+F716</f>
        <v>0</v>
      </c>
      <c r="G715">
        <f t="shared" si="715"/>
        <v>0</v>
      </c>
      <c r="I715" s="8"/>
      <c r="J715">
        <f t="shared" si="3"/>
        <v>0</v>
      </c>
    </row>
    <row r="716">
      <c r="E716" s="8"/>
      <c r="F716">
        <f t="shared" ref="F716:G716" si="716">B716+F717</f>
        <v>0</v>
      </c>
      <c r="G716">
        <f t="shared" si="716"/>
        <v>0</v>
      </c>
      <c r="I716" s="8"/>
      <c r="J716">
        <f t="shared" si="3"/>
        <v>0</v>
      </c>
    </row>
    <row r="717">
      <c r="E717" s="8"/>
      <c r="F717">
        <f t="shared" ref="F717:G717" si="717">B717+F718</f>
        <v>0</v>
      </c>
      <c r="G717">
        <f t="shared" si="717"/>
        <v>0</v>
      </c>
      <c r="I717" s="8"/>
      <c r="J717">
        <f t="shared" si="3"/>
        <v>0</v>
      </c>
    </row>
    <row r="718">
      <c r="E718" s="8"/>
      <c r="F718">
        <f t="shared" ref="F718:G718" si="718">B718+F719</f>
        <v>0</v>
      </c>
      <c r="G718">
        <f t="shared" si="718"/>
        <v>0</v>
      </c>
      <c r="I718" s="8"/>
      <c r="J718">
        <f t="shared" si="3"/>
        <v>0</v>
      </c>
    </row>
    <row r="719">
      <c r="E719" s="8"/>
      <c r="F719">
        <f t="shared" ref="F719:G719" si="719">B719+F720</f>
        <v>0</v>
      </c>
      <c r="G719">
        <f t="shared" si="719"/>
        <v>0</v>
      </c>
      <c r="I719" s="8"/>
      <c r="J719">
        <f t="shared" si="3"/>
        <v>0</v>
      </c>
    </row>
    <row r="720">
      <c r="E720" s="8"/>
      <c r="F720">
        <f t="shared" ref="F720:G720" si="720">B720+F721</f>
        <v>0</v>
      </c>
      <c r="G720">
        <f t="shared" si="720"/>
        <v>0</v>
      </c>
      <c r="I720" s="8"/>
      <c r="J720">
        <f t="shared" si="3"/>
        <v>0</v>
      </c>
    </row>
    <row r="721">
      <c r="E721" s="8"/>
      <c r="F721">
        <f t="shared" ref="F721:G721" si="721">B721+F722</f>
        <v>0</v>
      </c>
      <c r="G721">
        <f t="shared" si="721"/>
        <v>0</v>
      </c>
      <c r="I721" s="8"/>
      <c r="J721">
        <f t="shared" si="3"/>
        <v>0</v>
      </c>
    </row>
    <row r="722">
      <c r="E722" s="8"/>
      <c r="F722">
        <f t="shared" ref="F722:G722" si="722">B722+F723</f>
        <v>0</v>
      </c>
      <c r="G722">
        <f t="shared" si="722"/>
        <v>0</v>
      </c>
      <c r="I722" s="8"/>
      <c r="J722">
        <f t="shared" si="3"/>
        <v>0</v>
      </c>
    </row>
    <row r="723">
      <c r="E723" s="8"/>
      <c r="F723">
        <f t="shared" ref="F723:G723" si="723">B723+F724</f>
        <v>0</v>
      </c>
      <c r="G723">
        <f t="shared" si="723"/>
        <v>0</v>
      </c>
      <c r="I723" s="8"/>
      <c r="J723">
        <f t="shared" si="3"/>
        <v>0</v>
      </c>
    </row>
    <row r="724">
      <c r="E724" s="8"/>
      <c r="F724">
        <f t="shared" ref="F724:G724" si="724">B724+F725</f>
        <v>0</v>
      </c>
      <c r="G724">
        <f t="shared" si="724"/>
        <v>0</v>
      </c>
      <c r="I724" s="8"/>
      <c r="J724">
        <f t="shared" si="3"/>
        <v>0</v>
      </c>
    </row>
    <row r="725">
      <c r="E725" s="8"/>
      <c r="F725">
        <f t="shared" ref="F725:G725" si="725">B725+F726</f>
        <v>0</v>
      </c>
      <c r="G725">
        <f t="shared" si="725"/>
        <v>0</v>
      </c>
      <c r="I725" s="8"/>
      <c r="J725">
        <f t="shared" si="3"/>
        <v>0</v>
      </c>
    </row>
    <row r="726">
      <c r="E726" s="8"/>
      <c r="F726">
        <f t="shared" ref="F726:G726" si="726">B726+F727</f>
        <v>0</v>
      </c>
      <c r="G726">
        <f t="shared" si="726"/>
        <v>0</v>
      </c>
      <c r="I726" s="8"/>
      <c r="J726">
        <f t="shared" si="3"/>
        <v>0</v>
      </c>
    </row>
    <row r="727">
      <c r="E727" s="8"/>
      <c r="F727">
        <f t="shared" ref="F727:G727" si="727">B727+F728</f>
        <v>0</v>
      </c>
      <c r="G727">
        <f t="shared" si="727"/>
        <v>0</v>
      </c>
      <c r="I727" s="8"/>
      <c r="J727">
        <f t="shared" si="3"/>
        <v>0</v>
      </c>
    </row>
    <row r="728">
      <c r="E728" s="8"/>
      <c r="F728">
        <f t="shared" ref="F728:G728" si="728">B728+F729</f>
        <v>0</v>
      </c>
      <c r="G728">
        <f t="shared" si="728"/>
        <v>0</v>
      </c>
      <c r="I728" s="8"/>
      <c r="J728">
        <f t="shared" si="3"/>
        <v>0</v>
      </c>
    </row>
    <row r="729">
      <c r="E729" s="8"/>
      <c r="F729">
        <f t="shared" ref="F729:G729" si="729">B729+F730</f>
        <v>0</v>
      </c>
      <c r="G729">
        <f t="shared" si="729"/>
        <v>0</v>
      </c>
      <c r="I729" s="8"/>
      <c r="J729">
        <f t="shared" si="3"/>
        <v>0</v>
      </c>
    </row>
    <row r="730">
      <c r="E730" s="8"/>
      <c r="F730">
        <f t="shared" ref="F730:G730" si="730">B730+F731</f>
        <v>0</v>
      </c>
      <c r="G730">
        <f t="shared" si="730"/>
        <v>0</v>
      </c>
      <c r="I730" s="8"/>
      <c r="J730">
        <f t="shared" si="3"/>
        <v>0</v>
      </c>
    </row>
    <row r="731">
      <c r="E731" s="8"/>
      <c r="F731">
        <f t="shared" ref="F731:G731" si="731">B731+F732</f>
        <v>0</v>
      </c>
      <c r="G731">
        <f t="shared" si="731"/>
        <v>0</v>
      </c>
      <c r="I731" s="8"/>
      <c r="J731">
        <f t="shared" si="3"/>
        <v>0</v>
      </c>
    </row>
    <row r="732">
      <c r="E732" s="8"/>
      <c r="F732">
        <f t="shared" ref="F732:G732" si="732">B732+F733</f>
        <v>0</v>
      </c>
      <c r="G732">
        <f t="shared" si="732"/>
        <v>0</v>
      </c>
      <c r="I732" s="8"/>
      <c r="J732">
        <f t="shared" si="3"/>
        <v>0</v>
      </c>
    </row>
    <row r="733">
      <c r="E733" s="8"/>
      <c r="F733">
        <f t="shared" ref="F733:G733" si="733">B733+F734</f>
        <v>0</v>
      </c>
      <c r="G733">
        <f t="shared" si="733"/>
        <v>0</v>
      </c>
      <c r="I733" s="8"/>
      <c r="J733">
        <f t="shared" si="3"/>
        <v>0</v>
      </c>
    </row>
    <row r="734">
      <c r="E734" s="8"/>
      <c r="F734">
        <f t="shared" ref="F734:G734" si="734">B734+F735</f>
        <v>0</v>
      </c>
      <c r="G734">
        <f t="shared" si="734"/>
        <v>0</v>
      </c>
      <c r="I734" s="8"/>
      <c r="J734">
        <f t="shared" si="3"/>
        <v>0</v>
      </c>
    </row>
    <row r="735">
      <c r="E735" s="8"/>
      <c r="F735">
        <f t="shared" ref="F735:G735" si="735">B735+F736</f>
        <v>0</v>
      </c>
      <c r="G735">
        <f t="shared" si="735"/>
        <v>0</v>
      </c>
      <c r="I735" s="8"/>
      <c r="J735">
        <f t="shared" si="3"/>
        <v>0</v>
      </c>
    </row>
    <row r="736">
      <c r="E736" s="8"/>
      <c r="F736">
        <f t="shared" ref="F736:G736" si="736">B736+F737</f>
        <v>0</v>
      </c>
      <c r="G736">
        <f t="shared" si="736"/>
        <v>0</v>
      </c>
      <c r="I736" s="8"/>
      <c r="J736">
        <f t="shared" si="3"/>
        <v>0</v>
      </c>
    </row>
    <row r="737">
      <c r="E737" s="8"/>
      <c r="F737">
        <f t="shared" ref="F737:G737" si="737">B737+F738</f>
        <v>0</v>
      </c>
      <c r="G737">
        <f t="shared" si="737"/>
        <v>0</v>
      </c>
      <c r="I737" s="8"/>
      <c r="J737">
        <f t="shared" si="3"/>
        <v>0</v>
      </c>
    </row>
    <row r="738">
      <c r="E738" s="8"/>
      <c r="F738">
        <f t="shared" ref="F738:G738" si="738">B738+F739</f>
        <v>0</v>
      </c>
      <c r="G738">
        <f t="shared" si="738"/>
        <v>0</v>
      </c>
      <c r="I738" s="8"/>
      <c r="J738">
        <f t="shared" si="3"/>
        <v>0</v>
      </c>
    </row>
    <row r="739">
      <c r="E739" s="8"/>
      <c r="F739">
        <f t="shared" ref="F739:G739" si="739">B739+F740</f>
        <v>0</v>
      </c>
      <c r="G739">
        <f t="shared" si="739"/>
        <v>0</v>
      </c>
      <c r="I739" s="8"/>
      <c r="J739">
        <f t="shared" si="3"/>
        <v>0</v>
      </c>
    </row>
    <row r="740">
      <c r="E740" s="8"/>
      <c r="F740">
        <f t="shared" ref="F740:G740" si="740">B740+F741</f>
        <v>0</v>
      </c>
      <c r="G740">
        <f t="shared" si="740"/>
        <v>0</v>
      </c>
      <c r="I740" s="8"/>
      <c r="J740">
        <f t="shared" si="3"/>
        <v>0</v>
      </c>
    </row>
    <row r="741">
      <c r="E741" s="8"/>
      <c r="F741">
        <f t="shared" ref="F741:G741" si="741">B741+F742</f>
        <v>0</v>
      </c>
      <c r="G741">
        <f t="shared" si="741"/>
        <v>0</v>
      </c>
      <c r="I741" s="8"/>
      <c r="J741">
        <f t="shared" si="3"/>
        <v>0</v>
      </c>
    </row>
    <row r="742">
      <c r="E742" s="8"/>
      <c r="F742">
        <f t="shared" ref="F742:G742" si="742">B742+F743</f>
        <v>0</v>
      </c>
      <c r="G742">
        <f t="shared" si="742"/>
        <v>0</v>
      </c>
      <c r="I742" s="8"/>
      <c r="J742">
        <f t="shared" si="3"/>
        <v>0</v>
      </c>
    </row>
    <row r="743">
      <c r="E743" s="8"/>
      <c r="F743">
        <f t="shared" ref="F743:G743" si="743">B743+F744</f>
        <v>0</v>
      </c>
      <c r="G743">
        <f t="shared" si="743"/>
        <v>0</v>
      </c>
      <c r="I743" s="8"/>
      <c r="J743">
        <f t="shared" si="3"/>
        <v>0</v>
      </c>
    </row>
    <row r="744">
      <c r="E744" s="8"/>
      <c r="F744">
        <f t="shared" ref="F744:G744" si="744">B744+F745</f>
        <v>0</v>
      </c>
      <c r="G744">
        <f t="shared" si="744"/>
        <v>0</v>
      </c>
      <c r="I744" s="8"/>
      <c r="J744">
        <f t="shared" si="3"/>
        <v>0</v>
      </c>
    </row>
    <row r="745">
      <c r="E745" s="8"/>
      <c r="F745">
        <f t="shared" ref="F745:G745" si="745">B745+F746</f>
        <v>0</v>
      </c>
      <c r="G745">
        <f t="shared" si="745"/>
        <v>0</v>
      </c>
      <c r="I745" s="8"/>
      <c r="J745">
        <f t="shared" si="3"/>
        <v>0</v>
      </c>
    </row>
    <row r="746">
      <c r="E746" s="8"/>
      <c r="F746">
        <f t="shared" ref="F746:G746" si="746">B746+F747</f>
        <v>0</v>
      </c>
      <c r="G746">
        <f t="shared" si="746"/>
        <v>0</v>
      </c>
      <c r="I746" s="8"/>
      <c r="J746">
        <f t="shared" si="3"/>
        <v>0</v>
      </c>
    </row>
    <row r="747">
      <c r="E747" s="8"/>
      <c r="F747">
        <f t="shared" ref="F747:G747" si="747">B747+F748</f>
        <v>0</v>
      </c>
      <c r="G747">
        <f t="shared" si="747"/>
        <v>0</v>
      </c>
      <c r="I747" s="8"/>
      <c r="J747">
        <f t="shared" si="3"/>
        <v>0</v>
      </c>
    </row>
    <row r="748">
      <c r="E748" s="8"/>
      <c r="F748">
        <f t="shared" ref="F748:G748" si="748">B748+F749</f>
        <v>0</v>
      </c>
      <c r="G748">
        <f t="shared" si="748"/>
        <v>0</v>
      </c>
      <c r="I748" s="8"/>
      <c r="J748">
        <f t="shared" si="3"/>
        <v>0</v>
      </c>
    </row>
    <row r="749">
      <c r="E749" s="8"/>
      <c r="F749">
        <f t="shared" ref="F749:G749" si="749">B749+F750</f>
        <v>0</v>
      </c>
      <c r="G749">
        <f t="shared" si="749"/>
        <v>0</v>
      </c>
      <c r="I749" s="8"/>
      <c r="J749">
        <f t="shared" si="3"/>
        <v>0</v>
      </c>
    </row>
    <row r="750">
      <c r="E750" s="8"/>
      <c r="F750">
        <f t="shared" ref="F750:G750" si="750">B750+F751</f>
        <v>0</v>
      </c>
      <c r="G750">
        <f t="shared" si="750"/>
        <v>0</v>
      </c>
      <c r="I750" s="8"/>
      <c r="J750">
        <f t="shared" si="3"/>
        <v>0</v>
      </c>
    </row>
    <row r="751">
      <c r="E751" s="8"/>
      <c r="F751">
        <f t="shared" ref="F751:G751" si="751">B751+F752</f>
        <v>0</v>
      </c>
      <c r="G751">
        <f t="shared" si="751"/>
        <v>0</v>
      </c>
      <c r="I751" s="8"/>
      <c r="J751">
        <f t="shared" si="3"/>
        <v>0</v>
      </c>
    </row>
    <row r="752">
      <c r="E752" s="8"/>
      <c r="F752">
        <f t="shared" ref="F752:G752" si="752">B752+F753</f>
        <v>0</v>
      </c>
      <c r="G752">
        <f t="shared" si="752"/>
        <v>0</v>
      </c>
      <c r="I752" s="8"/>
      <c r="J752">
        <f t="shared" si="3"/>
        <v>0</v>
      </c>
    </row>
    <row r="753">
      <c r="E753" s="8"/>
      <c r="F753">
        <f t="shared" ref="F753:G753" si="753">B753+F754</f>
        <v>0</v>
      </c>
      <c r="G753">
        <f t="shared" si="753"/>
        <v>0</v>
      </c>
      <c r="I753" s="8"/>
      <c r="J753">
        <f t="shared" si="3"/>
        <v>0</v>
      </c>
    </row>
    <row r="754">
      <c r="E754" s="8"/>
      <c r="F754">
        <f t="shared" ref="F754:G754" si="754">B754+F755</f>
        <v>0</v>
      </c>
      <c r="G754">
        <f t="shared" si="754"/>
        <v>0</v>
      </c>
      <c r="I754" s="8"/>
      <c r="J754">
        <f t="shared" si="3"/>
        <v>0</v>
      </c>
    </row>
    <row r="755">
      <c r="E755" s="8"/>
      <c r="F755">
        <f t="shared" ref="F755:G755" si="755">B755+F756</f>
        <v>0</v>
      </c>
      <c r="G755">
        <f t="shared" si="755"/>
        <v>0</v>
      </c>
      <c r="I755" s="8"/>
      <c r="J755">
        <f t="shared" si="3"/>
        <v>0</v>
      </c>
    </row>
    <row r="756">
      <c r="E756" s="8"/>
      <c r="F756">
        <f t="shared" ref="F756:G756" si="756">B756+F757</f>
        <v>0</v>
      </c>
      <c r="G756">
        <f t="shared" si="756"/>
        <v>0</v>
      </c>
      <c r="I756" s="8"/>
      <c r="J756">
        <f t="shared" si="3"/>
        <v>0</v>
      </c>
    </row>
    <row r="757">
      <c r="E757" s="8"/>
      <c r="F757">
        <f t="shared" ref="F757:G757" si="757">B757+F758</f>
        <v>0</v>
      </c>
      <c r="G757">
        <f t="shared" si="757"/>
        <v>0</v>
      </c>
      <c r="I757" s="8"/>
      <c r="J757">
        <f t="shared" si="3"/>
        <v>0</v>
      </c>
    </row>
    <row r="758">
      <c r="E758" s="8"/>
      <c r="F758">
        <f t="shared" ref="F758:G758" si="758">B758+F759</f>
        <v>0</v>
      </c>
      <c r="G758">
        <f t="shared" si="758"/>
        <v>0</v>
      </c>
      <c r="I758" s="8"/>
      <c r="J758">
        <f t="shared" si="3"/>
        <v>0</v>
      </c>
    </row>
    <row r="759">
      <c r="E759" s="8"/>
      <c r="F759">
        <f t="shared" ref="F759:G759" si="759">B759+F760</f>
        <v>0</v>
      </c>
      <c r="G759">
        <f t="shared" si="759"/>
        <v>0</v>
      </c>
      <c r="I759" s="8"/>
      <c r="J759">
        <f t="shared" si="3"/>
        <v>0</v>
      </c>
    </row>
    <row r="760">
      <c r="E760" s="8"/>
      <c r="F760">
        <f t="shared" ref="F760:G760" si="760">B760+F761</f>
        <v>0</v>
      </c>
      <c r="G760">
        <f t="shared" si="760"/>
        <v>0</v>
      </c>
      <c r="I760" s="8"/>
      <c r="J760">
        <f t="shared" si="3"/>
        <v>0</v>
      </c>
    </row>
    <row r="761">
      <c r="E761" s="8"/>
      <c r="F761">
        <f t="shared" ref="F761:G761" si="761">B761+F762</f>
        <v>0</v>
      </c>
      <c r="G761">
        <f t="shared" si="761"/>
        <v>0</v>
      </c>
      <c r="I761" s="8"/>
      <c r="J761">
        <f t="shared" si="3"/>
        <v>0</v>
      </c>
    </row>
    <row r="762">
      <c r="E762" s="8"/>
      <c r="F762">
        <f t="shared" ref="F762:G762" si="762">B762+F763</f>
        <v>0</v>
      </c>
      <c r="G762">
        <f t="shared" si="762"/>
        <v>0</v>
      </c>
      <c r="I762" s="8"/>
      <c r="J762">
        <f t="shared" si="3"/>
        <v>0</v>
      </c>
    </row>
    <row r="763">
      <c r="E763" s="8"/>
      <c r="F763">
        <f t="shared" ref="F763:G763" si="763">B763+F764</f>
        <v>0</v>
      </c>
      <c r="G763">
        <f t="shared" si="763"/>
        <v>0</v>
      </c>
      <c r="I763" s="8"/>
      <c r="J763">
        <f t="shared" si="3"/>
        <v>0</v>
      </c>
    </row>
    <row r="764">
      <c r="E764" s="8"/>
      <c r="F764">
        <f t="shared" ref="F764:G764" si="764">B764+F765</f>
        <v>0</v>
      </c>
      <c r="G764">
        <f t="shared" si="764"/>
        <v>0</v>
      </c>
      <c r="I764" s="8"/>
      <c r="J764">
        <f t="shared" si="3"/>
        <v>0</v>
      </c>
    </row>
    <row r="765">
      <c r="E765" s="8"/>
      <c r="F765">
        <f t="shared" ref="F765:G765" si="765">B765+F766</f>
        <v>0</v>
      </c>
      <c r="G765">
        <f t="shared" si="765"/>
        <v>0</v>
      </c>
      <c r="I765" s="8"/>
      <c r="J765">
        <f t="shared" si="3"/>
        <v>0</v>
      </c>
    </row>
    <row r="766">
      <c r="E766" s="8"/>
      <c r="F766">
        <f t="shared" ref="F766:G766" si="766">B766+F767</f>
        <v>0</v>
      </c>
      <c r="G766">
        <f t="shared" si="766"/>
        <v>0</v>
      </c>
      <c r="I766" s="8"/>
      <c r="J766">
        <f t="shared" si="3"/>
        <v>0</v>
      </c>
    </row>
    <row r="767">
      <c r="E767" s="8"/>
      <c r="F767">
        <f t="shared" ref="F767:G767" si="767">B767+F768</f>
        <v>0</v>
      </c>
      <c r="G767">
        <f t="shared" si="767"/>
        <v>0</v>
      </c>
      <c r="I767" s="8"/>
      <c r="J767">
        <f t="shared" si="3"/>
        <v>0</v>
      </c>
    </row>
    <row r="768">
      <c r="E768" s="8"/>
      <c r="F768">
        <f t="shared" ref="F768:G768" si="768">B768+F769</f>
        <v>0</v>
      </c>
      <c r="G768">
        <f t="shared" si="768"/>
        <v>0</v>
      </c>
      <c r="I768" s="8"/>
      <c r="J768">
        <f t="shared" si="3"/>
        <v>0</v>
      </c>
    </row>
    <row r="769">
      <c r="E769" s="8"/>
      <c r="F769">
        <f t="shared" ref="F769:G769" si="769">B769+F770</f>
        <v>0</v>
      </c>
      <c r="G769">
        <f t="shared" si="769"/>
        <v>0</v>
      </c>
      <c r="I769" s="8"/>
      <c r="J769">
        <f t="shared" si="3"/>
        <v>0</v>
      </c>
    </row>
    <row r="770">
      <c r="E770" s="8"/>
      <c r="F770">
        <f t="shared" ref="F770:G770" si="770">B770+F771</f>
        <v>0</v>
      </c>
      <c r="G770">
        <f t="shared" si="770"/>
        <v>0</v>
      </c>
      <c r="I770" s="8"/>
      <c r="J770">
        <f t="shared" si="3"/>
        <v>0</v>
      </c>
    </row>
    <row r="771">
      <c r="E771" s="8"/>
      <c r="F771">
        <f t="shared" ref="F771:G771" si="771">B771+F772</f>
        <v>0</v>
      </c>
      <c r="G771">
        <f t="shared" si="771"/>
        <v>0</v>
      </c>
      <c r="I771" s="8"/>
      <c r="J771">
        <f t="shared" si="3"/>
        <v>0</v>
      </c>
    </row>
    <row r="772">
      <c r="E772" s="8"/>
      <c r="F772">
        <f t="shared" ref="F772:G772" si="772">B772+F773</f>
        <v>0</v>
      </c>
      <c r="G772">
        <f t="shared" si="772"/>
        <v>0</v>
      </c>
      <c r="I772" s="8"/>
      <c r="J772">
        <f t="shared" si="3"/>
        <v>0</v>
      </c>
    </row>
    <row r="773">
      <c r="E773" s="8"/>
      <c r="F773">
        <f t="shared" ref="F773:G773" si="773">B773+F774</f>
        <v>0</v>
      </c>
      <c r="G773">
        <f t="shared" si="773"/>
        <v>0</v>
      </c>
      <c r="I773" s="8"/>
      <c r="J773">
        <f t="shared" si="3"/>
        <v>0</v>
      </c>
    </row>
    <row r="774">
      <c r="E774" s="8"/>
      <c r="F774">
        <f t="shared" ref="F774:G774" si="774">B774+F775</f>
        <v>0</v>
      </c>
      <c r="G774">
        <f t="shared" si="774"/>
        <v>0</v>
      </c>
      <c r="I774" s="8"/>
      <c r="J774">
        <f t="shared" si="3"/>
        <v>0</v>
      </c>
    </row>
    <row r="775">
      <c r="E775" s="8"/>
      <c r="F775">
        <f t="shared" ref="F775:G775" si="775">B775+F776</f>
        <v>0</v>
      </c>
      <c r="G775">
        <f t="shared" si="775"/>
        <v>0</v>
      </c>
      <c r="I775" s="8"/>
      <c r="J775">
        <f t="shared" si="3"/>
        <v>0</v>
      </c>
    </row>
    <row r="776">
      <c r="E776" s="8"/>
      <c r="F776">
        <f t="shared" ref="F776:G776" si="776">B776+F777</f>
        <v>0</v>
      </c>
      <c r="G776">
        <f t="shared" si="776"/>
        <v>0</v>
      </c>
      <c r="I776" s="8"/>
      <c r="J776">
        <f t="shared" si="3"/>
        <v>0</v>
      </c>
    </row>
    <row r="777">
      <c r="E777" s="8"/>
      <c r="F777">
        <f t="shared" ref="F777:G777" si="777">B777+F778</f>
        <v>0</v>
      </c>
      <c r="G777">
        <f t="shared" si="777"/>
        <v>0</v>
      </c>
      <c r="I777" s="8"/>
      <c r="J777">
        <f t="shared" si="3"/>
        <v>0</v>
      </c>
    </row>
    <row r="778">
      <c r="E778" s="8"/>
      <c r="F778">
        <f t="shared" ref="F778:G778" si="778">B778+F779</f>
        <v>0</v>
      </c>
      <c r="G778">
        <f t="shared" si="778"/>
        <v>0</v>
      </c>
      <c r="I778" s="8"/>
      <c r="J778">
        <f t="shared" si="3"/>
        <v>0</v>
      </c>
    </row>
    <row r="779">
      <c r="E779" s="8"/>
      <c r="F779">
        <f t="shared" ref="F779:G779" si="779">B779+F780</f>
        <v>0</v>
      </c>
      <c r="G779">
        <f t="shared" si="779"/>
        <v>0</v>
      </c>
      <c r="I779" s="8"/>
      <c r="J779">
        <f t="shared" si="3"/>
        <v>0</v>
      </c>
    </row>
    <row r="780">
      <c r="E780" s="8"/>
      <c r="F780">
        <f t="shared" ref="F780:G780" si="780">B780+F781</f>
        <v>0</v>
      </c>
      <c r="G780">
        <f t="shared" si="780"/>
        <v>0</v>
      </c>
      <c r="I780" s="8"/>
      <c r="J780">
        <f t="shared" si="3"/>
        <v>0</v>
      </c>
    </row>
    <row r="781">
      <c r="E781" s="8"/>
      <c r="F781">
        <f t="shared" ref="F781:G781" si="781">B781+F782</f>
        <v>0</v>
      </c>
      <c r="G781">
        <f t="shared" si="781"/>
        <v>0</v>
      </c>
      <c r="I781" s="8"/>
      <c r="J781">
        <f t="shared" si="3"/>
        <v>0</v>
      </c>
    </row>
    <row r="782">
      <c r="E782" s="8"/>
      <c r="F782">
        <f t="shared" ref="F782:G782" si="782">B782+F783</f>
        <v>0</v>
      </c>
      <c r="G782">
        <f t="shared" si="782"/>
        <v>0</v>
      </c>
      <c r="I782" s="8"/>
      <c r="J782">
        <f t="shared" si="3"/>
        <v>0</v>
      </c>
    </row>
    <row r="783">
      <c r="E783" s="8"/>
      <c r="F783">
        <f t="shared" ref="F783:G783" si="783">B783+F784</f>
        <v>0</v>
      </c>
      <c r="G783">
        <f t="shared" si="783"/>
        <v>0</v>
      </c>
      <c r="I783" s="8"/>
      <c r="J783">
        <f t="shared" si="3"/>
        <v>0</v>
      </c>
    </row>
    <row r="784">
      <c r="E784" s="8"/>
      <c r="F784">
        <f t="shared" ref="F784:G784" si="784">B784+F785</f>
        <v>0</v>
      </c>
      <c r="G784">
        <f t="shared" si="784"/>
        <v>0</v>
      </c>
      <c r="I784" s="8"/>
      <c r="J784">
        <f t="shared" si="3"/>
        <v>0</v>
      </c>
    </row>
    <row r="785">
      <c r="E785" s="8"/>
      <c r="F785">
        <f t="shared" ref="F785:G785" si="785">B785+F786</f>
        <v>0</v>
      </c>
      <c r="G785">
        <f t="shared" si="785"/>
        <v>0</v>
      </c>
      <c r="I785" s="8"/>
      <c r="J785">
        <f t="shared" si="3"/>
        <v>0</v>
      </c>
    </row>
    <row r="786">
      <c r="E786" s="8"/>
      <c r="F786">
        <f t="shared" ref="F786:G786" si="786">B786+F787</f>
        <v>0</v>
      </c>
      <c r="G786">
        <f t="shared" si="786"/>
        <v>0</v>
      </c>
      <c r="I786" s="8"/>
      <c r="J786">
        <f t="shared" si="3"/>
        <v>0</v>
      </c>
    </row>
    <row r="787">
      <c r="E787" s="8"/>
      <c r="F787">
        <f t="shared" ref="F787:G787" si="787">B787+F788</f>
        <v>0</v>
      </c>
      <c r="G787">
        <f t="shared" si="787"/>
        <v>0</v>
      </c>
      <c r="I787" s="8"/>
      <c r="J787">
        <f t="shared" si="3"/>
        <v>0</v>
      </c>
    </row>
    <row r="788">
      <c r="E788" s="8"/>
      <c r="F788">
        <f t="shared" ref="F788:G788" si="788">B788+F789</f>
        <v>0</v>
      </c>
      <c r="G788">
        <f t="shared" si="788"/>
        <v>0</v>
      </c>
      <c r="I788" s="8"/>
      <c r="J788">
        <f t="shared" si="3"/>
        <v>0</v>
      </c>
    </row>
    <row r="789">
      <c r="E789" s="8"/>
      <c r="F789">
        <f t="shared" ref="F789:G789" si="789">B789+F790</f>
        <v>0</v>
      </c>
      <c r="G789">
        <f t="shared" si="789"/>
        <v>0</v>
      </c>
      <c r="I789" s="8"/>
      <c r="J789">
        <f t="shared" si="3"/>
        <v>0</v>
      </c>
    </row>
    <row r="790">
      <c r="E790" s="8"/>
      <c r="F790">
        <f t="shared" ref="F790:G790" si="790">B790+F791</f>
        <v>0</v>
      </c>
      <c r="G790">
        <f t="shared" si="790"/>
        <v>0</v>
      </c>
      <c r="I790" s="8"/>
      <c r="J790">
        <f t="shared" si="3"/>
        <v>0</v>
      </c>
    </row>
    <row r="791">
      <c r="E791" s="8"/>
      <c r="F791">
        <f t="shared" ref="F791:G791" si="791">B791+F792</f>
        <v>0</v>
      </c>
      <c r="G791">
        <f t="shared" si="791"/>
        <v>0</v>
      </c>
      <c r="I791" s="8"/>
      <c r="J791">
        <f t="shared" si="3"/>
        <v>0</v>
      </c>
    </row>
    <row r="792">
      <c r="E792" s="8"/>
      <c r="F792">
        <f t="shared" ref="F792:G792" si="792">B792+F793</f>
        <v>0</v>
      </c>
      <c r="G792">
        <f t="shared" si="792"/>
        <v>0</v>
      </c>
      <c r="I792" s="8"/>
      <c r="J792">
        <f t="shared" si="3"/>
        <v>0</v>
      </c>
    </row>
    <row r="793">
      <c r="E793" s="8"/>
      <c r="F793">
        <f t="shared" ref="F793:G793" si="793">B793+F794</f>
        <v>0</v>
      </c>
      <c r="G793">
        <f t="shared" si="793"/>
        <v>0</v>
      </c>
      <c r="I793" s="8"/>
      <c r="J793">
        <f t="shared" si="3"/>
        <v>0</v>
      </c>
    </row>
    <row r="794">
      <c r="E794" s="8"/>
      <c r="F794">
        <f t="shared" ref="F794:G794" si="794">B794+F795</f>
        <v>0</v>
      </c>
      <c r="G794">
        <f t="shared" si="794"/>
        <v>0</v>
      </c>
      <c r="I794" s="8"/>
      <c r="J794">
        <f t="shared" si="3"/>
        <v>0</v>
      </c>
    </row>
    <row r="795">
      <c r="E795" s="8"/>
      <c r="F795">
        <f t="shared" ref="F795:G795" si="795">B795+F796</f>
        <v>0</v>
      </c>
      <c r="G795">
        <f t="shared" si="795"/>
        <v>0</v>
      </c>
      <c r="I795" s="8"/>
      <c r="J795">
        <f t="shared" si="3"/>
        <v>0</v>
      </c>
    </row>
    <row r="796">
      <c r="E796" s="8"/>
      <c r="F796">
        <f t="shared" ref="F796:G796" si="796">B796+F797</f>
        <v>0</v>
      </c>
      <c r="G796">
        <f t="shared" si="796"/>
        <v>0</v>
      </c>
      <c r="I796" s="8"/>
      <c r="J796">
        <f t="shared" si="3"/>
        <v>0</v>
      </c>
    </row>
    <row r="797">
      <c r="E797" s="8"/>
      <c r="F797">
        <f t="shared" ref="F797:G797" si="797">B797+F798</f>
        <v>0</v>
      </c>
      <c r="G797">
        <f t="shared" si="797"/>
        <v>0</v>
      </c>
      <c r="I797" s="8"/>
      <c r="J797">
        <f t="shared" si="3"/>
        <v>0</v>
      </c>
    </row>
    <row r="798">
      <c r="E798" s="8"/>
      <c r="F798">
        <f t="shared" ref="F798:G798" si="798">B798+F799</f>
        <v>0</v>
      </c>
      <c r="G798">
        <f t="shared" si="798"/>
        <v>0</v>
      </c>
      <c r="I798" s="8"/>
      <c r="J798">
        <f t="shared" si="3"/>
        <v>0</v>
      </c>
    </row>
    <row r="799">
      <c r="E799" s="8"/>
      <c r="F799">
        <f t="shared" ref="F799:G799" si="799">B799+F800</f>
        <v>0</v>
      </c>
      <c r="G799">
        <f t="shared" si="799"/>
        <v>0</v>
      </c>
      <c r="I799" s="8"/>
      <c r="J799">
        <f t="shared" si="3"/>
        <v>0</v>
      </c>
    </row>
    <row r="800">
      <c r="E800" s="8"/>
      <c r="F800">
        <f t="shared" ref="F800:G800" si="800">B800+F801</f>
        <v>0</v>
      </c>
      <c r="G800">
        <f t="shared" si="800"/>
        <v>0</v>
      </c>
      <c r="I800" s="8"/>
      <c r="J800">
        <f t="shared" si="3"/>
        <v>0</v>
      </c>
    </row>
    <row r="801">
      <c r="E801" s="8"/>
      <c r="F801">
        <f t="shared" ref="F801:G801" si="801">B801+F802</f>
        <v>0</v>
      </c>
      <c r="G801">
        <f t="shared" si="801"/>
        <v>0</v>
      </c>
      <c r="I801" s="8"/>
      <c r="J801">
        <f t="shared" si="3"/>
        <v>0</v>
      </c>
    </row>
    <row r="802">
      <c r="E802" s="8"/>
      <c r="F802">
        <f t="shared" ref="F802:G802" si="802">B802+F803</f>
        <v>0</v>
      </c>
      <c r="G802">
        <f t="shared" si="802"/>
        <v>0</v>
      </c>
      <c r="I802" s="8"/>
      <c r="J802">
        <f t="shared" si="3"/>
        <v>0</v>
      </c>
    </row>
    <row r="803">
      <c r="E803" s="8"/>
      <c r="F803">
        <f t="shared" ref="F803:G803" si="803">B803+F804</f>
        <v>0</v>
      </c>
      <c r="G803">
        <f t="shared" si="803"/>
        <v>0</v>
      </c>
      <c r="I803" s="8"/>
      <c r="J803">
        <f t="shared" si="3"/>
        <v>0</v>
      </c>
    </row>
    <row r="804">
      <c r="E804" s="8"/>
      <c r="F804">
        <f t="shared" ref="F804:G804" si="804">B804+F805</f>
        <v>0</v>
      </c>
      <c r="G804">
        <f t="shared" si="804"/>
        <v>0</v>
      </c>
      <c r="I804" s="8"/>
      <c r="J804">
        <f t="shared" si="3"/>
        <v>0</v>
      </c>
    </row>
    <row r="805">
      <c r="E805" s="8"/>
      <c r="F805">
        <f t="shared" ref="F805:G805" si="805">B805+F806</f>
        <v>0</v>
      </c>
      <c r="G805">
        <f t="shared" si="805"/>
        <v>0</v>
      </c>
      <c r="I805" s="8"/>
      <c r="J805">
        <f t="shared" si="3"/>
        <v>0</v>
      </c>
    </row>
    <row r="806">
      <c r="E806" s="8"/>
      <c r="F806">
        <f t="shared" ref="F806:G806" si="806">B806+F807</f>
        <v>0</v>
      </c>
      <c r="G806">
        <f t="shared" si="806"/>
        <v>0</v>
      </c>
      <c r="I806" s="8"/>
      <c r="J806">
        <f t="shared" si="3"/>
        <v>0</v>
      </c>
    </row>
    <row r="807">
      <c r="E807" s="8"/>
      <c r="F807">
        <f t="shared" ref="F807:G807" si="807">B807+F808</f>
        <v>0</v>
      </c>
      <c r="G807">
        <f t="shared" si="807"/>
        <v>0</v>
      </c>
      <c r="I807" s="8"/>
      <c r="J807">
        <f t="shared" si="3"/>
        <v>0</v>
      </c>
    </row>
    <row r="808">
      <c r="E808" s="8"/>
      <c r="F808">
        <f t="shared" ref="F808:G808" si="808">B808+F809</f>
        <v>0</v>
      </c>
      <c r="G808">
        <f t="shared" si="808"/>
        <v>0</v>
      </c>
      <c r="I808" s="8"/>
      <c r="J808">
        <f t="shared" si="3"/>
        <v>0</v>
      </c>
    </row>
    <row r="809">
      <c r="E809" s="8"/>
      <c r="F809">
        <f t="shared" ref="F809:G809" si="809">B809+F810</f>
        <v>0</v>
      </c>
      <c r="G809">
        <f t="shared" si="809"/>
        <v>0</v>
      </c>
      <c r="I809" s="8"/>
      <c r="J809">
        <f t="shared" si="3"/>
        <v>0</v>
      </c>
    </row>
    <row r="810">
      <c r="E810" s="8"/>
      <c r="F810">
        <f t="shared" ref="F810:G810" si="810">B810+F811</f>
        <v>0</v>
      </c>
      <c r="G810">
        <f t="shared" si="810"/>
        <v>0</v>
      </c>
      <c r="I810" s="8"/>
      <c r="J810">
        <f t="shared" si="3"/>
        <v>0</v>
      </c>
    </row>
    <row r="811">
      <c r="E811" s="8"/>
      <c r="F811">
        <f t="shared" ref="F811:G811" si="811">B811+F812</f>
        <v>0</v>
      </c>
      <c r="G811">
        <f t="shared" si="811"/>
        <v>0</v>
      </c>
      <c r="I811" s="8"/>
      <c r="J811">
        <f t="shared" si="3"/>
        <v>0</v>
      </c>
    </row>
    <row r="812">
      <c r="E812" s="8"/>
      <c r="F812">
        <f t="shared" ref="F812:G812" si="812">B812+F813</f>
        <v>0</v>
      </c>
      <c r="G812">
        <f t="shared" si="812"/>
        <v>0</v>
      </c>
      <c r="I812" s="8"/>
      <c r="J812">
        <f t="shared" si="3"/>
        <v>0</v>
      </c>
    </row>
    <row r="813">
      <c r="E813" s="8"/>
      <c r="F813">
        <f t="shared" ref="F813:G813" si="813">B813+F814</f>
        <v>0</v>
      </c>
      <c r="G813">
        <f t="shared" si="813"/>
        <v>0</v>
      </c>
      <c r="I813" s="8"/>
      <c r="J813">
        <f t="shared" si="3"/>
        <v>0</v>
      </c>
    </row>
    <row r="814">
      <c r="E814" s="8"/>
      <c r="F814">
        <f t="shared" ref="F814:G814" si="814">B814+F815</f>
        <v>0</v>
      </c>
      <c r="G814">
        <f t="shared" si="814"/>
        <v>0</v>
      </c>
      <c r="I814" s="8"/>
      <c r="J814">
        <f t="shared" si="3"/>
        <v>0</v>
      </c>
    </row>
    <row r="815">
      <c r="E815" s="8"/>
      <c r="F815">
        <f t="shared" ref="F815:G815" si="815">B815+F816</f>
        <v>0</v>
      </c>
      <c r="G815">
        <f t="shared" si="815"/>
        <v>0</v>
      </c>
      <c r="I815" s="8"/>
      <c r="J815">
        <f t="shared" si="3"/>
        <v>0</v>
      </c>
    </row>
    <row r="816">
      <c r="E816" s="8"/>
      <c r="F816">
        <f t="shared" ref="F816:G816" si="816">B816+F817</f>
        <v>0</v>
      </c>
      <c r="G816">
        <f t="shared" si="816"/>
        <v>0</v>
      </c>
      <c r="I816" s="8"/>
      <c r="J816">
        <f t="shared" si="3"/>
        <v>0</v>
      </c>
    </row>
    <row r="817">
      <c r="E817" s="8"/>
      <c r="F817">
        <f t="shared" ref="F817:G817" si="817">B817+F818</f>
        <v>0</v>
      </c>
      <c r="G817">
        <f t="shared" si="817"/>
        <v>0</v>
      </c>
      <c r="I817" s="8"/>
      <c r="J817">
        <f t="shared" si="3"/>
        <v>0</v>
      </c>
    </row>
    <row r="818">
      <c r="E818" s="8"/>
      <c r="F818">
        <f t="shared" ref="F818:G818" si="818">B818+F819</f>
        <v>0</v>
      </c>
      <c r="G818">
        <f t="shared" si="818"/>
        <v>0</v>
      </c>
      <c r="I818" s="8"/>
      <c r="J818">
        <f t="shared" si="3"/>
        <v>0</v>
      </c>
    </row>
    <row r="819">
      <c r="E819" s="8"/>
      <c r="F819">
        <f t="shared" ref="F819:G819" si="819">B819+F820</f>
        <v>0</v>
      </c>
      <c r="G819">
        <f t="shared" si="819"/>
        <v>0</v>
      </c>
      <c r="I819" s="8"/>
      <c r="J819">
        <f t="shared" si="3"/>
        <v>0</v>
      </c>
    </row>
    <row r="820">
      <c r="E820" s="8"/>
      <c r="F820">
        <f t="shared" ref="F820:G820" si="820">B820+F821</f>
        <v>0</v>
      </c>
      <c r="G820">
        <f t="shared" si="820"/>
        <v>0</v>
      </c>
      <c r="I820" s="8"/>
      <c r="J820">
        <f t="shared" si="3"/>
        <v>0</v>
      </c>
    </row>
    <row r="821">
      <c r="E821" s="8"/>
      <c r="F821">
        <f t="shared" ref="F821:G821" si="821">B821+F822</f>
        <v>0</v>
      </c>
      <c r="G821">
        <f t="shared" si="821"/>
        <v>0</v>
      </c>
      <c r="I821" s="8"/>
      <c r="J821">
        <f t="shared" si="3"/>
        <v>0</v>
      </c>
    </row>
    <row r="822">
      <c r="E822" s="8"/>
      <c r="F822">
        <f t="shared" ref="F822:G822" si="822">B822+F823</f>
        <v>0</v>
      </c>
      <c r="G822">
        <f t="shared" si="822"/>
        <v>0</v>
      </c>
      <c r="I822" s="8"/>
      <c r="J822">
        <f t="shared" si="3"/>
        <v>0</v>
      </c>
    </row>
    <row r="823">
      <c r="E823" s="8"/>
      <c r="F823">
        <f t="shared" ref="F823:G823" si="823">B823+F824</f>
        <v>0</v>
      </c>
      <c r="G823">
        <f t="shared" si="823"/>
        <v>0</v>
      </c>
      <c r="I823" s="8"/>
      <c r="J823">
        <f t="shared" si="3"/>
        <v>0</v>
      </c>
    </row>
    <row r="824">
      <c r="E824" s="8"/>
      <c r="F824">
        <f t="shared" ref="F824:G824" si="824">B824+F825</f>
        <v>0</v>
      </c>
      <c r="G824">
        <f t="shared" si="824"/>
        <v>0</v>
      </c>
      <c r="I824" s="8"/>
      <c r="J824">
        <f t="shared" si="3"/>
        <v>0</v>
      </c>
    </row>
    <row r="825">
      <c r="E825" s="8"/>
      <c r="F825">
        <f t="shared" ref="F825:G825" si="825">B825+F826</f>
        <v>0</v>
      </c>
      <c r="G825">
        <f t="shared" si="825"/>
        <v>0</v>
      </c>
      <c r="I825" s="8"/>
      <c r="J825">
        <f t="shared" si="3"/>
        <v>0</v>
      </c>
    </row>
    <row r="826">
      <c r="E826" s="8"/>
      <c r="F826">
        <f t="shared" ref="F826:G826" si="826">B826+F827</f>
        <v>0</v>
      </c>
      <c r="G826">
        <f t="shared" si="826"/>
        <v>0</v>
      </c>
      <c r="I826" s="8"/>
      <c r="J826">
        <f t="shared" si="3"/>
        <v>0</v>
      </c>
    </row>
    <row r="827">
      <c r="E827" s="8"/>
      <c r="F827">
        <f t="shared" ref="F827:G827" si="827">B827+F828</f>
        <v>0</v>
      </c>
      <c r="G827">
        <f t="shared" si="827"/>
        <v>0</v>
      </c>
      <c r="I827" s="8"/>
      <c r="J827">
        <f t="shared" si="3"/>
        <v>0</v>
      </c>
    </row>
    <row r="828">
      <c r="E828" s="8"/>
      <c r="F828">
        <f t="shared" ref="F828:G828" si="828">B828+F829</f>
        <v>0</v>
      </c>
      <c r="G828">
        <f t="shared" si="828"/>
        <v>0</v>
      </c>
      <c r="I828" s="8"/>
      <c r="J828">
        <f t="shared" si="3"/>
        <v>0</v>
      </c>
    </row>
    <row r="829">
      <c r="E829" s="8"/>
      <c r="F829">
        <f t="shared" ref="F829:G829" si="829">B829+F830</f>
        <v>0</v>
      </c>
      <c r="G829">
        <f t="shared" si="829"/>
        <v>0</v>
      </c>
      <c r="I829" s="8"/>
      <c r="J829">
        <f t="shared" si="3"/>
        <v>0</v>
      </c>
    </row>
    <row r="830">
      <c r="E830" s="8"/>
      <c r="F830">
        <f t="shared" ref="F830:G830" si="830">B830+F831</f>
        <v>0</v>
      </c>
      <c r="G830">
        <f t="shared" si="830"/>
        <v>0</v>
      </c>
      <c r="I830" s="8"/>
      <c r="J830">
        <f t="shared" si="3"/>
        <v>0</v>
      </c>
    </row>
    <row r="831">
      <c r="E831" s="8"/>
      <c r="F831">
        <f t="shared" ref="F831:G831" si="831">B831+F832</f>
        <v>0</v>
      </c>
      <c r="G831">
        <f t="shared" si="831"/>
        <v>0</v>
      </c>
      <c r="I831" s="8"/>
      <c r="J831">
        <f t="shared" si="3"/>
        <v>0</v>
      </c>
    </row>
    <row r="832">
      <c r="E832" s="8"/>
      <c r="F832">
        <f t="shared" ref="F832:G832" si="832">B832+F833</f>
        <v>0</v>
      </c>
      <c r="G832">
        <f t="shared" si="832"/>
        <v>0</v>
      </c>
      <c r="I832" s="8"/>
      <c r="J832">
        <f t="shared" si="3"/>
        <v>0</v>
      </c>
    </row>
    <row r="833">
      <c r="E833" s="8"/>
      <c r="F833">
        <f t="shared" ref="F833:G833" si="833">B833+F834</f>
        <v>0</v>
      </c>
      <c r="G833">
        <f t="shared" si="833"/>
        <v>0</v>
      </c>
      <c r="I833" s="8"/>
      <c r="J833">
        <f t="shared" si="3"/>
        <v>0</v>
      </c>
    </row>
    <row r="834">
      <c r="E834" s="8"/>
      <c r="F834">
        <f t="shared" ref="F834:G834" si="834">B834+F835</f>
        <v>0</v>
      </c>
      <c r="G834">
        <f t="shared" si="834"/>
        <v>0</v>
      </c>
      <c r="I834" s="8"/>
      <c r="J834">
        <f t="shared" si="3"/>
        <v>0</v>
      </c>
    </row>
    <row r="835">
      <c r="E835" s="8"/>
      <c r="F835">
        <f t="shared" ref="F835:G835" si="835">B835+F836</f>
        <v>0</v>
      </c>
      <c r="G835">
        <f t="shared" si="835"/>
        <v>0</v>
      </c>
      <c r="I835" s="8"/>
      <c r="J835">
        <f t="shared" si="3"/>
        <v>0</v>
      </c>
    </row>
    <row r="836">
      <c r="E836" s="8"/>
      <c r="F836">
        <f t="shared" ref="F836:G836" si="836">B836+F837</f>
        <v>0</v>
      </c>
      <c r="G836">
        <f t="shared" si="836"/>
        <v>0</v>
      </c>
      <c r="I836" s="8"/>
      <c r="J836">
        <f t="shared" si="3"/>
        <v>0</v>
      </c>
    </row>
    <row r="837">
      <c r="E837" s="8"/>
      <c r="F837">
        <f t="shared" ref="F837:G837" si="837">B837+F838</f>
        <v>0</v>
      </c>
      <c r="G837">
        <f t="shared" si="837"/>
        <v>0</v>
      </c>
      <c r="I837" s="8"/>
      <c r="J837">
        <f t="shared" si="3"/>
        <v>0</v>
      </c>
    </row>
    <row r="838">
      <c r="E838" s="8"/>
      <c r="F838">
        <f t="shared" ref="F838:G838" si="838">B838+F839</f>
        <v>0</v>
      </c>
      <c r="G838">
        <f t="shared" si="838"/>
        <v>0</v>
      </c>
      <c r="I838" s="8"/>
      <c r="J838">
        <f t="shared" si="3"/>
        <v>0</v>
      </c>
    </row>
    <row r="839">
      <c r="E839" s="8"/>
      <c r="F839">
        <f t="shared" ref="F839:G839" si="839">B839+F840</f>
        <v>0</v>
      </c>
      <c r="G839">
        <f t="shared" si="839"/>
        <v>0</v>
      </c>
      <c r="I839" s="8"/>
      <c r="J839">
        <f t="shared" si="3"/>
        <v>0</v>
      </c>
    </row>
    <row r="840">
      <c r="E840" s="8"/>
      <c r="F840">
        <f t="shared" ref="F840:G840" si="840">B840+F841</f>
        <v>0</v>
      </c>
      <c r="G840">
        <f t="shared" si="840"/>
        <v>0</v>
      </c>
      <c r="I840" s="8"/>
      <c r="J840">
        <f t="shared" si="3"/>
        <v>0</v>
      </c>
    </row>
    <row r="841">
      <c r="E841" s="8"/>
      <c r="F841">
        <f t="shared" ref="F841:G841" si="841">B841+F842</f>
        <v>0</v>
      </c>
      <c r="G841">
        <f t="shared" si="841"/>
        <v>0</v>
      </c>
      <c r="I841" s="8"/>
      <c r="J841">
        <f t="shared" si="3"/>
        <v>0</v>
      </c>
    </row>
    <row r="842">
      <c r="E842" s="8"/>
      <c r="F842">
        <f t="shared" ref="F842:G842" si="842">B842+F843</f>
        <v>0</v>
      </c>
      <c r="G842">
        <f t="shared" si="842"/>
        <v>0</v>
      </c>
      <c r="I842" s="8"/>
      <c r="J842">
        <f t="shared" si="3"/>
        <v>0</v>
      </c>
    </row>
    <row r="843">
      <c r="E843" s="8"/>
      <c r="F843">
        <f t="shared" ref="F843:G843" si="843">B843+F844</f>
        <v>0</v>
      </c>
      <c r="G843">
        <f t="shared" si="843"/>
        <v>0</v>
      </c>
      <c r="I843" s="8"/>
      <c r="J843">
        <f t="shared" si="3"/>
        <v>0</v>
      </c>
    </row>
    <row r="844">
      <c r="E844" s="8"/>
      <c r="F844">
        <f t="shared" ref="F844:G844" si="844">B844+F845</f>
        <v>0</v>
      </c>
      <c r="G844">
        <f t="shared" si="844"/>
        <v>0</v>
      </c>
      <c r="I844" s="8"/>
      <c r="J844">
        <f t="shared" si="3"/>
        <v>0</v>
      </c>
    </row>
    <row r="845">
      <c r="E845" s="8"/>
      <c r="F845">
        <f t="shared" ref="F845:G845" si="845">B845+F846</f>
        <v>0</v>
      </c>
      <c r="G845">
        <f t="shared" si="845"/>
        <v>0</v>
      </c>
      <c r="I845" s="8"/>
      <c r="J845">
        <f t="shared" si="3"/>
        <v>0</v>
      </c>
    </row>
    <row r="846">
      <c r="E846" s="8"/>
      <c r="F846">
        <f t="shared" ref="F846:G846" si="846">B846+F847</f>
        <v>0</v>
      </c>
      <c r="G846">
        <f t="shared" si="846"/>
        <v>0</v>
      </c>
      <c r="I846" s="8"/>
      <c r="J846">
        <f t="shared" si="3"/>
        <v>0</v>
      </c>
    </row>
    <row r="847">
      <c r="E847" s="8"/>
      <c r="F847">
        <f t="shared" ref="F847:G847" si="847">B847+F848</f>
        <v>0</v>
      </c>
      <c r="G847">
        <f t="shared" si="847"/>
        <v>0</v>
      </c>
      <c r="I847" s="8"/>
      <c r="J847">
        <f t="shared" si="3"/>
        <v>0</v>
      </c>
    </row>
    <row r="848">
      <c r="E848" s="8"/>
      <c r="F848">
        <f t="shared" ref="F848:G848" si="848">B848+F849</f>
        <v>0</v>
      </c>
      <c r="G848">
        <f t="shared" si="848"/>
        <v>0</v>
      </c>
      <c r="I848" s="8"/>
      <c r="J848">
        <f t="shared" si="3"/>
        <v>0</v>
      </c>
    </row>
    <row r="849">
      <c r="E849" s="8"/>
      <c r="F849">
        <f t="shared" ref="F849:G849" si="849">B849+F850</f>
        <v>0</v>
      </c>
      <c r="G849">
        <f t="shared" si="849"/>
        <v>0</v>
      </c>
      <c r="I849" s="8"/>
      <c r="J849">
        <f t="shared" si="3"/>
        <v>0</v>
      </c>
    </row>
    <row r="850">
      <c r="E850" s="8"/>
      <c r="F850">
        <f t="shared" ref="F850:G850" si="850">B850+F851</f>
        <v>0</v>
      </c>
      <c r="G850">
        <f t="shared" si="850"/>
        <v>0</v>
      </c>
      <c r="I850" s="8"/>
      <c r="J850">
        <f t="shared" si="3"/>
        <v>0</v>
      </c>
    </row>
    <row r="851">
      <c r="E851" s="8"/>
      <c r="F851">
        <f t="shared" ref="F851:G851" si="851">B851+F852</f>
        <v>0</v>
      </c>
      <c r="G851">
        <f t="shared" si="851"/>
        <v>0</v>
      </c>
      <c r="I851" s="8"/>
      <c r="J851">
        <f t="shared" si="3"/>
        <v>0</v>
      </c>
    </row>
    <row r="852">
      <c r="E852" s="8"/>
      <c r="F852">
        <f t="shared" ref="F852:G852" si="852">B852+F853</f>
        <v>0</v>
      </c>
      <c r="G852">
        <f t="shared" si="852"/>
        <v>0</v>
      </c>
      <c r="I852" s="8"/>
      <c r="J852">
        <f t="shared" si="3"/>
        <v>0</v>
      </c>
    </row>
    <row r="853">
      <c r="E853" s="8"/>
      <c r="F853">
        <f t="shared" ref="F853:G853" si="853">B853+F854</f>
        <v>0</v>
      </c>
      <c r="G853">
        <f t="shared" si="853"/>
        <v>0</v>
      </c>
      <c r="I853" s="8"/>
      <c r="J853">
        <f t="shared" si="3"/>
        <v>0</v>
      </c>
    </row>
    <row r="854">
      <c r="E854" s="8"/>
      <c r="F854">
        <f t="shared" ref="F854:G854" si="854">B854+F855</f>
        <v>0</v>
      </c>
      <c r="G854">
        <f t="shared" si="854"/>
        <v>0</v>
      </c>
      <c r="I854" s="8"/>
      <c r="J854">
        <f t="shared" si="3"/>
        <v>0</v>
      </c>
    </row>
    <row r="855">
      <c r="E855" s="8"/>
      <c r="F855">
        <f t="shared" ref="F855:G855" si="855">B855+F856</f>
        <v>0</v>
      </c>
      <c r="G855">
        <f t="shared" si="855"/>
        <v>0</v>
      </c>
      <c r="I855" s="8"/>
      <c r="J855">
        <f t="shared" si="3"/>
        <v>0</v>
      </c>
    </row>
    <row r="856">
      <c r="E856" s="8"/>
      <c r="F856">
        <f t="shared" ref="F856:G856" si="856">B856+F857</f>
        <v>0</v>
      </c>
      <c r="G856">
        <f t="shared" si="856"/>
        <v>0</v>
      </c>
      <c r="I856" s="8"/>
      <c r="J856">
        <f t="shared" si="3"/>
        <v>0</v>
      </c>
    </row>
    <row r="857">
      <c r="E857" s="8"/>
      <c r="F857">
        <f t="shared" ref="F857:G857" si="857">B857+F858</f>
        <v>0</v>
      </c>
      <c r="G857">
        <f t="shared" si="857"/>
        <v>0</v>
      </c>
      <c r="I857" s="8"/>
      <c r="J857">
        <f t="shared" si="3"/>
        <v>0</v>
      </c>
    </row>
    <row r="858">
      <c r="E858" s="8"/>
      <c r="F858">
        <f t="shared" ref="F858:G858" si="858">B858+F859</f>
        <v>0</v>
      </c>
      <c r="G858">
        <f t="shared" si="858"/>
        <v>0</v>
      </c>
      <c r="I858" s="8"/>
      <c r="J858">
        <f t="shared" si="3"/>
        <v>0</v>
      </c>
    </row>
    <row r="859">
      <c r="E859" s="8"/>
      <c r="F859">
        <f t="shared" ref="F859:G859" si="859">B859+F860</f>
        <v>0</v>
      </c>
      <c r="G859">
        <f t="shared" si="859"/>
        <v>0</v>
      </c>
      <c r="I859" s="8"/>
      <c r="J859">
        <f t="shared" si="3"/>
        <v>0</v>
      </c>
    </row>
    <row r="860">
      <c r="E860" s="8"/>
      <c r="F860">
        <f t="shared" ref="F860:G860" si="860">B860+F861</f>
        <v>0</v>
      </c>
      <c r="G860">
        <f t="shared" si="860"/>
        <v>0</v>
      </c>
      <c r="I860" s="8"/>
      <c r="J860">
        <f t="shared" si="3"/>
        <v>0</v>
      </c>
    </row>
    <row r="861">
      <c r="E861" s="8"/>
      <c r="F861">
        <f t="shared" ref="F861:G861" si="861">B861+F862</f>
        <v>0</v>
      </c>
      <c r="G861">
        <f t="shared" si="861"/>
        <v>0</v>
      </c>
      <c r="I861" s="8"/>
      <c r="J861">
        <f t="shared" si="3"/>
        <v>0</v>
      </c>
    </row>
    <row r="862">
      <c r="E862" s="8"/>
      <c r="F862">
        <f t="shared" ref="F862:G862" si="862">B862+F863</f>
        <v>0</v>
      </c>
      <c r="G862">
        <f t="shared" si="862"/>
        <v>0</v>
      </c>
      <c r="I862" s="8"/>
      <c r="J862">
        <f t="shared" si="3"/>
        <v>0</v>
      </c>
    </row>
    <row r="863">
      <c r="E863" s="8"/>
      <c r="F863">
        <f t="shared" ref="F863:G863" si="863">B863+F864</f>
        <v>0</v>
      </c>
      <c r="G863">
        <f t="shared" si="863"/>
        <v>0</v>
      </c>
      <c r="I863" s="8"/>
      <c r="J863">
        <f t="shared" si="3"/>
        <v>0</v>
      </c>
    </row>
    <row r="864">
      <c r="E864" s="8"/>
      <c r="F864">
        <f t="shared" ref="F864:G864" si="864">B864+F865</f>
        <v>0</v>
      </c>
      <c r="G864">
        <f t="shared" si="864"/>
        <v>0</v>
      </c>
      <c r="I864" s="8"/>
      <c r="J864">
        <f t="shared" si="3"/>
        <v>0</v>
      </c>
    </row>
    <row r="865">
      <c r="E865" s="8"/>
      <c r="F865">
        <f t="shared" ref="F865:G865" si="865">B865+F866</f>
        <v>0</v>
      </c>
      <c r="G865">
        <f t="shared" si="865"/>
        <v>0</v>
      </c>
      <c r="I865" s="8"/>
      <c r="J865">
        <f t="shared" si="3"/>
        <v>0</v>
      </c>
    </row>
    <row r="866">
      <c r="E866" s="8"/>
      <c r="F866">
        <f t="shared" ref="F866:G866" si="866">B866+F867</f>
        <v>0</v>
      </c>
      <c r="G866">
        <f t="shared" si="866"/>
        <v>0</v>
      </c>
      <c r="I866" s="8"/>
      <c r="J866">
        <f t="shared" si="3"/>
        <v>0</v>
      </c>
    </row>
    <row r="867">
      <c r="E867" s="8"/>
      <c r="F867">
        <f t="shared" ref="F867:G867" si="867">B867+F868</f>
        <v>0</v>
      </c>
      <c r="G867">
        <f t="shared" si="867"/>
        <v>0</v>
      </c>
      <c r="I867" s="8"/>
      <c r="J867">
        <f t="shared" si="3"/>
        <v>0</v>
      </c>
    </row>
    <row r="868">
      <c r="E868" s="8"/>
      <c r="F868">
        <f t="shared" ref="F868:G868" si="868">B868+F869</f>
        <v>0</v>
      </c>
      <c r="G868">
        <f t="shared" si="868"/>
        <v>0</v>
      </c>
      <c r="I868" s="8"/>
      <c r="J868">
        <f t="shared" si="3"/>
        <v>0</v>
      </c>
    </row>
    <row r="869">
      <c r="E869" s="8"/>
      <c r="F869">
        <f t="shared" ref="F869:G869" si="869">B869+F870</f>
        <v>0</v>
      </c>
      <c r="G869">
        <f t="shared" si="869"/>
        <v>0</v>
      </c>
      <c r="I869" s="8"/>
      <c r="J869">
        <f t="shared" si="3"/>
        <v>0</v>
      </c>
    </row>
    <row r="870">
      <c r="E870" s="8"/>
      <c r="F870">
        <f t="shared" ref="F870:G870" si="870">B870+F871</f>
        <v>0</v>
      </c>
      <c r="G870">
        <f t="shared" si="870"/>
        <v>0</v>
      </c>
      <c r="I870" s="8"/>
      <c r="J870">
        <f t="shared" si="3"/>
        <v>0</v>
      </c>
    </row>
    <row r="871">
      <c r="E871" s="8"/>
      <c r="F871">
        <f t="shared" ref="F871:G871" si="871">B871+F872</f>
        <v>0</v>
      </c>
      <c r="G871">
        <f t="shared" si="871"/>
        <v>0</v>
      </c>
      <c r="I871" s="8"/>
      <c r="J871">
        <f t="shared" si="3"/>
        <v>0</v>
      </c>
    </row>
    <row r="872">
      <c r="E872" s="8"/>
      <c r="F872">
        <f t="shared" ref="F872:G872" si="872">B872+F873</f>
        <v>0</v>
      </c>
      <c r="G872">
        <f t="shared" si="872"/>
        <v>0</v>
      </c>
      <c r="I872" s="8"/>
      <c r="J872">
        <f t="shared" si="3"/>
        <v>0</v>
      </c>
    </row>
    <row r="873">
      <c r="E873" s="8"/>
      <c r="F873">
        <f t="shared" ref="F873:G873" si="873">B873+F874</f>
        <v>0</v>
      </c>
      <c r="G873">
        <f t="shared" si="873"/>
        <v>0</v>
      </c>
      <c r="I873" s="8"/>
      <c r="J873">
        <f t="shared" si="3"/>
        <v>0</v>
      </c>
    </row>
    <row r="874">
      <c r="E874" s="8"/>
      <c r="F874">
        <f t="shared" ref="F874:G874" si="874">B874+F875</f>
        <v>0</v>
      </c>
      <c r="G874">
        <f t="shared" si="874"/>
        <v>0</v>
      </c>
      <c r="I874" s="8"/>
      <c r="J874">
        <f t="shared" si="3"/>
        <v>0</v>
      </c>
    </row>
    <row r="875">
      <c r="E875" s="8"/>
      <c r="F875">
        <f t="shared" ref="F875:G875" si="875">B875+F876</f>
        <v>0</v>
      </c>
      <c r="G875">
        <f t="shared" si="875"/>
        <v>0</v>
      </c>
      <c r="I875" s="8"/>
      <c r="J875">
        <f t="shared" si="3"/>
        <v>0</v>
      </c>
    </row>
    <row r="876">
      <c r="E876" s="8"/>
      <c r="F876">
        <f t="shared" ref="F876:G876" si="876">B876+F877</f>
        <v>0</v>
      </c>
      <c r="G876">
        <f t="shared" si="876"/>
        <v>0</v>
      </c>
      <c r="I876" s="8"/>
      <c r="J876">
        <f t="shared" si="3"/>
        <v>0</v>
      </c>
    </row>
    <row r="877">
      <c r="E877" s="8"/>
      <c r="F877">
        <f t="shared" ref="F877:G877" si="877">B877+F878</f>
        <v>0</v>
      </c>
      <c r="G877">
        <f t="shared" si="877"/>
        <v>0</v>
      </c>
      <c r="I877" s="8"/>
      <c r="J877">
        <f t="shared" si="3"/>
        <v>0</v>
      </c>
    </row>
    <row r="878">
      <c r="E878" s="8"/>
      <c r="F878">
        <f t="shared" ref="F878:G878" si="878">B878+F879</f>
        <v>0</v>
      </c>
      <c r="G878">
        <f t="shared" si="878"/>
        <v>0</v>
      </c>
      <c r="I878" s="8"/>
      <c r="J878">
        <f t="shared" si="3"/>
        <v>0</v>
      </c>
    </row>
    <row r="879">
      <c r="E879" s="8"/>
      <c r="F879">
        <f t="shared" ref="F879:G879" si="879">B879+F880</f>
        <v>0</v>
      </c>
      <c r="G879">
        <f t="shared" si="879"/>
        <v>0</v>
      </c>
      <c r="I879" s="8"/>
      <c r="J879">
        <f t="shared" si="3"/>
        <v>0</v>
      </c>
    </row>
    <row r="880">
      <c r="E880" s="8"/>
      <c r="F880">
        <f t="shared" ref="F880:G880" si="880">B880+F881</f>
        <v>0</v>
      </c>
      <c r="G880">
        <f t="shared" si="880"/>
        <v>0</v>
      </c>
      <c r="I880" s="8"/>
      <c r="J880">
        <f t="shared" si="3"/>
        <v>0</v>
      </c>
    </row>
    <row r="881">
      <c r="E881" s="8"/>
      <c r="F881">
        <f t="shared" ref="F881:G881" si="881">B881+F882</f>
        <v>0</v>
      </c>
      <c r="G881">
        <f t="shared" si="881"/>
        <v>0</v>
      </c>
      <c r="I881" s="8"/>
      <c r="J881">
        <f t="shared" si="3"/>
        <v>0</v>
      </c>
    </row>
    <row r="882">
      <c r="E882" s="8"/>
      <c r="F882">
        <f t="shared" ref="F882:G882" si="882">B882+F883</f>
        <v>0</v>
      </c>
      <c r="G882">
        <f t="shared" si="882"/>
        <v>0</v>
      </c>
      <c r="I882" s="8"/>
      <c r="J882">
        <f t="shared" si="3"/>
        <v>0</v>
      </c>
    </row>
    <row r="883">
      <c r="E883" s="8"/>
      <c r="F883">
        <f t="shared" ref="F883:G883" si="883">B883+F884</f>
        <v>0</v>
      </c>
      <c r="G883">
        <f t="shared" si="883"/>
        <v>0</v>
      </c>
      <c r="I883" s="8"/>
      <c r="J883">
        <f t="shared" si="3"/>
        <v>0</v>
      </c>
    </row>
    <row r="884">
      <c r="E884" s="8"/>
      <c r="F884">
        <f t="shared" ref="F884:G884" si="884">B884+F885</f>
        <v>0</v>
      </c>
      <c r="G884">
        <f t="shared" si="884"/>
        <v>0</v>
      </c>
      <c r="I884" s="8"/>
      <c r="J884">
        <f t="shared" si="3"/>
        <v>0</v>
      </c>
    </row>
    <row r="885">
      <c r="E885" s="8"/>
      <c r="F885">
        <f t="shared" ref="F885:G885" si="885">B885+F886</f>
        <v>0</v>
      </c>
      <c r="G885">
        <f t="shared" si="885"/>
        <v>0</v>
      </c>
      <c r="I885" s="8"/>
      <c r="J885">
        <f t="shared" si="3"/>
        <v>0</v>
      </c>
    </row>
    <row r="886">
      <c r="E886" s="8"/>
      <c r="F886">
        <f t="shared" ref="F886:G886" si="886">B886+F887</f>
        <v>0</v>
      </c>
      <c r="G886">
        <f t="shared" si="886"/>
        <v>0</v>
      </c>
      <c r="I886" s="8"/>
      <c r="J886">
        <f t="shared" si="3"/>
        <v>0</v>
      </c>
    </row>
    <row r="887">
      <c r="E887" s="8"/>
      <c r="F887">
        <f t="shared" ref="F887:G887" si="887">B887+F888</f>
        <v>0</v>
      </c>
      <c r="G887">
        <f t="shared" si="887"/>
        <v>0</v>
      </c>
      <c r="I887" s="8"/>
      <c r="J887">
        <f t="shared" si="3"/>
        <v>0</v>
      </c>
    </row>
    <row r="888">
      <c r="E888" s="8"/>
      <c r="F888">
        <f t="shared" ref="F888:G888" si="888">B888+F889</f>
        <v>0</v>
      </c>
      <c r="G888">
        <f t="shared" si="888"/>
        <v>0</v>
      </c>
      <c r="I888" s="8"/>
      <c r="J888">
        <f t="shared" si="3"/>
        <v>0</v>
      </c>
    </row>
    <row r="889">
      <c r="E889" s="8"/>
      <c r="F889">
        <f t="shared" ref="F889:G889" si="889">B889+F890</f>
        <v>0</v>
      </c>
      <c r="G889">
        <f t="shared" si="889"/>
        <v>0</v>
      </c>
      <c r="I889" s="8"/>
      <c r="J889">
        <f t="shared" si="3"/>
        <v>0</v>
      </c>
    </row>
    <row r="890">
      <c r="E890" s="8"/>
      <c r="F890">
        <f t="shared" ref="F890:G890" si="890">B890+F891</f>
        <v>0</v>
      </c>
      <c r="G890">
        <f t="shared" si="890"/>
        <v>0</v>
      </c>
      <c r="I890" s="8"/>
      <c r="J890">
        <f t="shared" si="3"/>
        <v>0</v>
      </c>
    </row>
    <row r="891">
      <c r="E891" s="8"/>
      <c r="F891">
        <f t="shared" ref="F891:G891" si="891">B891+F892</f>
        <v>0</v>
      </c>
      <c r="G891">
        <f t="shared" si="891"/>
        <v>0</v>
      </c>
      <c r="I891" s="8"/>
      <c r="J891">
        <f t="shared" si="3"/>
        <v>0</v>
      </c>
    </row>
    <row r="892">
      <c r="E892" s="8"/>
      <c r="F892">
        <f t="shared" ref="F892:G892" si="892">B892+F893</f>
        <v>0</v>
      </c>
      <c r="G892">
        <f t="shared" si="892"/>
        <v>0</v>
      </c>
      <c r="I892" s="8"/>
      <c r="J892">
        <f t="shared" si="3"/>
        <v>0</v>
      </c>
    </row>
    <row r="893">
      <c r="E893" s="8"/>
      <c r="F893">
        <f t="shared" ref="F893:G893" si="893">B893+F894</f>
        <v>0</v>
      </c>
      <c r="G893">
        <f t="shared" si="893"/>
        <v>0</v>
      </c>
      <c r="I893" s="8"/>
      <c r="J893">
        <f t="shared" si="3"/>
        <v>0</v>
      </c>
    </row>
    <row r="894">
      <c r="E894" s="8"/>
      <c r="F894">
        <f t="shared" ref="F894:G894" si="894">B894+F895</f>
        <v>0</v>
      </c>
      <c r="G894">
        <f t="shared" si="894"/>
        <v>0</v>
      </c>
      <c r="I894" s="8"/>
      <c r="J894">
        <f t="shared" si="3"/>
        <v>0</v>
      </c>
    </row>
    <row r="895">
      <c r="E895" s="8"/>
      <c r="F895">
        <f t="shared" ref="F895:G895" si="895">B895+F896</f>
        <v>0</v>
      </c>
      <c r="G895">
        <f t="shared" si="895"/>
        <v>0</v>
      </c>
      <c r="I895" s="8"/>
      <c r="J895">
        <f t="shared" si="3"/>
        <v>0</v>
      </c>
    </row>
    <row r="896">
      <c r="E896" s="8"/>
      <c r="F896">
        <f t="shared" ref="F896:G896" si="896">B896+F897</f>
        <v>0</v>
      </c>
      <c r="G896">
        <f t="shared" si="896"/>
        <v>0</v>
      </c>
      <c r="I896" s="8"/>
      <c r="J896">
        <f t="shared" si="3"/>
        <v>0</v>
      </c>
    </row>
    <row r="897">
      <c r="E897" s="8"/>
      <c r="F897">
        <f t="shared" ref="F897:G897" si="897">B897+F898</f>
        <v>0</v>
      </c>
      <c r="G897">
        <f t="shared" si="897"/>
        <v>0</v>
      </c>
      <c r="I897" s="8"/>
      <c r="J897">
        <f t="shared" si="3"/>
        <v>0</v>
      </c>
    </row>
    <row r="898">
      <c r="E898" s="8"/>
      <c r="F898">
        <f t="shared" ref="F898:G898" si="898">B898+F899</f>
        <v>0</v>
      </c>
      <c r="G898">
        <f t="shared" si="898"/>
        <v>0</v>
      </c>
      <c r="I898" s="8"/>
      <c r="J898">
        <f t="shared" si="3"/>
        <v>0</v>
      </c>
    </row>
    <row r="899">
      <c r="E899" s="8"/>
      <c r="F899">
        <f t="shared" ref="F899:G899" si="899">B899+F900</f>
        <v>0</v>
      </c>
      <c r="G899">
        <f t="shared" si="899"/>
        <v>0</v>
      </c>
      <c r="I899" s="8"/>
      <c r="J899">
        <f t="shared" si="3"/>
        <v>0</v>
      </c>
    </row>
    <row r="900">
      <c r="E900" s="8"/>
      <c r="F900">
        <f t="shared" ref="F900:G900" si="900">B900+F901</f>
        <v>0</v>
      </c>
      <c r="G900">
        <f t="shared" si="900"/>
        <v>0</v>
      </c>
      <c r="I900" s="8"/>
      <c r="J900">
        <f t="shared" si="3"/>
        <v>0</v>
      </c>
    </row>
    <row r="901">
      <c r="E901" s="8"/>
      <c r="F901">
        <f t="shared" ref="F901:G901" si="901">B901+F902</f>
        <v>0</v>
      </c>
      <c r="G901">
        <f t="shared" si="901"/>
        <v>0</v>
      </c>
      <c r="I901" s="8"/>
      <c r="J901">
        <f t="shared" si="3"/>
        <v>0</v>
      </c>
    </row>
    <row r="902">
      <c r="E902" s="8"/>
      <c r="F902">
        <f t="shared" ref="F902:G902" si="902">B902+F903</f>
        <v>0</v>
      </c>
      <c r="G902">
        <f t="shared" si="902"/>
        <v>0</v>
      </c>
      <c r="I902" s="8"/>
      <c r="J902">
        <f t="shared" si="3"/>
        <v>0</v>
      </c>
    </row>
    <row r="903">
      <c r="E903" s="8"/>
      <c r="F903">
        <f t="shared" ref="F903:G903" si="903">B903+F904</f>
        <v>0</v>
      </c>
      <c r="G903">
        <f t="shared" si="903"/>
        <v>0</v>
      </c>
      <c r="I903" s="8"/>
      <c r="J903">
        <f t="shared" si="3"/>
        <v>0</v>
      </c>
    </row>
    <row r="904">
      <c r="E904" s="8"/>
      <c r="F904">
        <f t="shared" ref="F904:G904" si="904">B904+F905</f>
        <v>0</v>
      </c>
      <c r="G904">
        <f t="shared" si="904"/>
        <v>0</v>
      </c>
      <c r="I904" s="8"/>
      <c r="J904">
        <f t="shared" si="3"/>
        <v>0</v>
      </c>
    </row>
    <row r="905">
      <c r="E905" s="8"/>
      <c r="F905">
        <f t="shared" ref="F905:G905" si="905">B905+F906</f>
        <v>0</v>
      </c>
      <c r="G905">
        <f t="shared" si="905"/>
        <v>0</v>
      </c>
      <c r="I905" s="8"/>
      <c r="J905">
        <f t="shared" si="3"/>
        <v>0</v>
      </c>
    </row>
    <row r="906">
      <c r="E906" s="8"/>
      <c r="F906">
        <f t="shared" ref="F906:G906" si="906">B906+F907</f>
        <v>0</v>
      </c>
      <c r="G906">
        <f t="shared" si="906"/>
        <v>0</v>
      </c>
      <c r="I906" s="8"/>
      <c r="J906">
        <f t="shared" si="3"/>
        <v>0</v>
      </c>
    </row>
    <row r="907">
      <c r="E907" s="8"/>
      <c r="F907">
        <f t="shared" ref="F907:G907" si="907">B907+F908</f>
        <v>0</v>
      </c>
      <c r="G907">
        <f t="shared" si="907"/>
        <v>0</v>
      </c>
      <c r="I907" s="8"/>
      <c r="J907">
        <f t="shared" si="3"/>
        <v>0</v>
      </c>
    </row>
    <row r="908">
      <c r="E908" s="8"/>
      <c r="F908">
        <f t="shared" ref="F908:G908" si="908">B908+F909</f>
        <v>0</v>
      </c>
      <c r="G908">
        <f t="shared" si="908"/>
        <v>0</v>
      </c>
      <c r="I908" s="8"/>
      <c r="J908">
        <f t="shared" si="3"/>
        <v>0</v>
      </c>
    </row>
    <row r="909">
      <c r="E909" s="8"/>
      <c r="F909">
        <f t="shared" ref="F909:G909" si="909">B909+F910</f>
        <v>0</v>
      </c>
      <c r="G909">
        <f t="shared" si="909"/>
        <v>0</v>
      </c>
      <c r="I909" s="8"/>
      <c r="J909">
        <f t="shared" si="3"/>
        <v>0</v>
      </c>
    </row>
    <row r="910">
      <c r="E910" s="8"/>
      <c r="F910">
        <f t="shared" ref="F910:G910" si="910">B910+F911</f>
        <v>0</v>
      </c>
      <c r="G910">
        <f t="shared" si="910"/>
        <v>0</v>
      </c>
      <c r="I910" s="8"/>
      <c r="J910">
        <f t="shared" si="3"/>
        <v>0</v>
      </c>
    </row>
    <row r="911">
      <c r="E911" s="8"/>
      <c r="F911">
        <f t="shared" ref="F911:G911" si="911">B911+F912</f>
        <v>0</v>
      </c>
      <c r="G911">
        <f t="shared" si="911"/>
        <v>0</v>
      </c>
      <c r="I911" s="8"/>
      <c r="J911">
        <f t="shared" si="3"/>
        <v>0</v>
      </c>
    </row>
    <row r="912">
      <c r="E912" s="8"/>
      <c r="F912">
        <f t="shared" ref="F912:G912" si="912">B912+F913</f>
        <v>0</v>
      </c>
      <c r="G912">
        <f t="shared" si="912"/>
        <v>0</v>
      </c>
      <c r="I912" s="8"/>
      <c r="J912">
        <f t="shared" si="3"/>
        <v>0</v>
      </c>
    </row>
    <row r="913">
      <c r="E913" s="8"/>
      <c r="F913">
        <f t="shared" ref="F913:G913" si="913">B913+F914</f>
        <v>0</v>
      </c>
      <c r="G913">
        <f t="shared" si="913"/>
        <v>0</v>
      </c>
      <c r="I913" s="8"/>
      <c r="J913">
        <f t="shared" si="3"/>
        <v>0</v>
      </c>
    </row>
    <row r="914">
      <c r="E914" s="8"/>
      <c r="F914">
        <f t="shared" ref="F914:G914" si="914">B914+F915</f>
        <v>0</v>
      </c>
      <c r="G914">
        <f t="shared" si="914"/>
        <v>0</v>
      </c>
      <c r="I914" s="8"/>
      <c r="J914">
        <f t="shared" si="3"/>
        <v>0</v>
      </c>
    </row>
    <row r="915">
      <c r="E915" s="8"/>
      <c r="F915">
        <f t="shared" ref="F915:G915" si="915">B915+F916</f>
        <v>0</v>
      </c>
      <c r="G915">
        <f t="shared" si="915"/>
        <v>0</v>
      </c>
      <c r="I915" s="8"/>
      <c r="J915">
        <f t="shared" si="3"/>
        <v>0</v>
      </c>
    </row>
    <row r="916">
      <c r="E916" s="8"/>
      <c r="F916">
        <f t="shared" ref="F916:G916" si="916">B916+F917</f>
        <v>0</v>
      </c>
      <c r="G916">
        <f t="shared" si="916"/>
        <v>0</v>
      </c>
      <c r="I916" s="8"/>
      <c r="J916">
        <f t="shared" si="3"/>
        <v>0</v>
      </c>
    </row>
    <row r="917">
      <c r="E917" s="8"/>
      <c r="F917">
        <f t="shared" ref="F917:G917" si="917">B917+F918</f>
        <v>0</v>
      </c>
      <c r="G917">
        <f t="shared" si="917"/>
        <v>0</v>
      </c>
      <c r="I917" s="8"/>
      <c r="J917">
        <f t="shared" si="3"/>
        <v>0</v>
      </c>
    </row>
    <row r="918">
      <c r="E918" s="8"/>
      <c r="F918">
        <f t="shared" ref="F918:G918" si="918">B918+F919</f>
        <v>0</v>
      </c>
      <c r="G918">
        <f t="shared" si="918"/>
        <v>0</v>
      </c>
      <c r="I918" s="8"/>
      <c r="J918">
        <f t="shared" si="3"/>
        <v>0</v>
      </c>
    </row>
    <row r="919">
      <c r="E919" s="8"/>
      <c r="F919">
        <f t="shared" ref="F919:G919" si="919">B919+F920</f>
        <v>0</v>
      </c>
      <c r="G919">
        <f t="shared" si="919"/>
        <v>0</v>
      </c>
      <c r="I919" s="8"/>
      <c r="J919">
        <f t="shared" si="3"/>
        <v>0</v>
      </c>
    </row>
    <row r="920">
      <c r="E920" s="8"/>
      <c r="F920">
        <f t="shared" ref="F920:G920" si="920">B920+F921</f>
        <v>0</v>
      </c>
      <c r="G920">
        <f t="shared" si="920"/>
        <v>0</v>
      </c>
      <c r="I920" s="8"/>
      <c r="J920">
        <f t="shared" si="3"/>
        <v>0</v>
      </c>
    </row>
    <row r="921">
      <c r="E921" s="8"/>
      <c r="F921">
        <f t="shared" ref="F921:G921" si="921">B921+F922</f>
        <v>0</v>
      </c>
      <c r="G921">
        <f t="shared" si="921"/>
        <v>0</v>
      </c>
      <c r="I921" s="8"/>
      <c r="J921">
        <f t="shared" si="3"/>
        <v>0</v>
      </c>
    </row>
    <row r="922">
      <c r="E922" s="8"/>
      <c r="F922">
        <f t="shared" ref="F922:G922" si="922">B922+F923</f>
        <v>0</v>
      </c>
      <c r="G922">
        <f t="shared" si="922"/>
        <v>0</v>
      </c>
      <c r="I922" s="8"/>
      <c r="J922">
        <f t="shared" si="3"/>
        <v>0</v>
      </c>
    </row>
    <row r="923">
      <c r="E923" s="8"/>
      <c r="F923">
        <f t="shared" ref="F923:G923" si="923">B923+F924</f>
        <v>0</v>
      </c>
      <c r="G923">
        <f t="shared" si="923"/>
        <v>0</v>
      </c>
      <c r="I923" s="8"/>
      <c r="J923">
        <f t="shared" si="3"/>
        <v>0</v>
      </c>
    </row>
    <row r="924">
      <c r="E924" s="8"/>
      <c r="F924">
        <f t="shared" ref="F924:G924" si="924">B924+F925</f>
        <v>0</v>
      </c>
      <c r="G924">
        <f t="shared" si="924"/>
        <v>0</v>
      </c>
      <c r="I924" s="8"/>
      <c r="J924">
        <f t="shared" si="3"/>
        <v>0</v>
      </c>
    </row>
    <row r="925">
      <c r="E925" s="8"/>
      <c r="F925">
        <f t="shared" ref="F925:G925" si="925">B925+F926</f>
        <v>0</v>
      </c>
      <c r="G925">
        <f t="shared" si="925"/>
        <v>0</v>
      </c>
      <c r="I925" s="8"/>
      <c r="J925">
        <f t="shared" si="3"/>
        <v>0</v>
      </c>
    </row>
    <row r="926">
      <c r="E926" s="8"/>
      <c r="F926">
        <f t="shared" ref="F926:G926" si="926">B926+F927</f>
        <v>0</v>
      </c>
      <c r="G926">
        <f t="shared" si="926"/>
        <v>0</v>
      </c>
      <c r="I926" s="8"/>
      <c r="J926">
        <f t="shared" si="3"/>
        <v>0</v>
      </c>
    </row>
    <row r="927">
      <c r="E927" s="8"/>
      <c r="F927">
        <f t="shared" ref="F927:G927" si="927">B927+F928</f>
        <v>0</v>
      </c>
      <c r="G927">
        <f t="shared" si="927"/>
        <v>0</v>
      </c>
      <c r="I927" s="8"/>
      <c r="J927">
        <f t="shared" si="3"/>
        <v>0</v>
      </c>
    </row>
    <row r="928">
      <c r="E928" s="8"/>
      <c r="F928">
        <f t="shared" ref="F928:G928" si="928">B928+F929</f>
        <v>0</v>
      </c>
      <c r="G928">
        <f t="shared" si="928"/>
        <v>0</v>
      </c>
      <c r="I928" s="8"/>
      <c r="J928">
        <f t="shared" si="3"/>
        <v>0</v>
      </c>
    </row>
    <row r="929">
      <c r="E929" s="8"/>
      <c r="F929">
        <f t="shared" ref="F929:G929" si="929">B929+F930</f>
        <v>0</v>
      </c>
      <c r="G929">
        <f t="shared" si="929"/>
        <v>0</v>
      </c>
      <c r="I929" s="8"/>
      <c r="J929">
        <f t="shared" si="3"/>
        <v>0</v>
      </c>
    </row>
    <row r="930">
      <c r="E930" s="8"/>
      <c r="F930">
        <f t="shared" ref="F930:G930" si="930">B930+F931</f>
        <v>0</v>
      </c>
      <c r="G930">
        <f t="shared" si="930"/>
        <v>0</v>
      </c>
      <c r="I930" s="8"/>
      <c r="J930">
        <f t="shared" si="3"/>
        <v>0</v>
      </c>
    </row>
    <row r="931">
      <c r="E931" s="8"/>
      <c r="F931">
        <f t="shared" ref="F931:G931" si="931">B931+F932</f>
        <v>0</v>
      </c>
      <c r="G931">
        <f t="shared" si="931"/>
        <v>0</v>
      </c>
      <c r="I931" s="8"/>
      <c r="J931">
        <f t="shared" si="3"/>
        <v>0</v>
      </c>
    </row>
    <row r="932">
      <c r="E932" s="8"/>
      <c r="F932">
        <f t="shared" ref="F932:G932" si="932">B932+F933</f>
        <v>0</v>
      </c>
      <c r="G932">
        <f t="shared" si="932"/>
        <v>0</v>
      </c>
      <c r="I932" s="8"/>
      <c r="J932">
        <f t="shared" si="3"/>
        <v>0</v>
      </c>
    </row>
    <row r="933">
      <c r="E933" s="8"/>
      <c r="F933">
        <f t="shared" ref="F933:G933" si="933">B933+F934</f>
        <v>0</v>
      </c>
      <c r="G933">
        <f t="shared" si="933"/>
        <v>0</v>
      </c>
      <c r="I933" s="8"/>
      <c r="J933">
        <f t="shared" si="3"/>
        <v>0</v>
      </c>
    </row>
    <row r="934">
      <c r="E934" s="8"/>
      <c r="F934">
        <f t="shared" ref="F934:G934" si="934">B934+F935</f>
        <v>0</v>
      </c>
      <c r="G934">
        <f t="shared" si="934"/>
        <v>0</v>
      </c>
      <c r="I934" s="8"/>
      <c r="J934">
        <f t="shared" si="3"/>
        <v>0</v>
      </c>
    </row>
    <row r="935">
      <c r="E935" s="8"/>
      <c r="F935">
        <f t="shared" ref="F935:G935" si="935">B935+F936</f>
        <v>0</v>
      </c>
      <c r="G935">
        <f t="shared" si="935"/>
        <v>0</v>
      </c>
      <c r="I935" s="8"/>
      <c r="J935">
        <f t="shared" si="3"/>
        <v>0</v>
      </c>
    </row>
    <row r="936">
      <c r="E936" s="8"/>
      <c r="F936">
        <f t="shared" ref="F936:G936" si="936">B936+F937</f>
        <v>0</v>
      </c>
      <c r="G936">
        <f t="shared" si="936"/>
        <v>0</v>
      </c>
      <c r="I936" s="8"/>
      <c r="J936">
        <f t="shared" si="3"/>
        <v>0</v>
      </c>
    </row>
    <row r="937">
      <c r="E937" s="8"/>
      <c r="F937">
        <f t="shared" ref="F937:G937" si="937">B937+F938</f>
        <v>0</v>
      </c>
      <c r="G937">
        <f t="shared" si="937"/>
        <v>0</v>
      </c>
      <c r="I937" s="8"/>
      <c r="J937">
        <f t="shared" si="3"/>
        <v>0</v>
      </c>
    </row>
    <row r="938">
      <c r="E938" s="8"/>
      <c r="F938">
        <f t="shared" ref="F938:G938" si="938">B938+F939</f>
        <v>0</v>
      </c>
      <c r="G938">
        <f t="shared" si="938"/>
        <v>0</v>
      </c>
      <c r="I938" s="8"/>
      <c r="J938">
        <f t="shared" si="3"/>
        <v>0</v>
      </c>
    </row>
    <row r="939">
      <c r="E939" s="8"/>
      <c r="F939">
        <f t="shared" ref="F939:G939" si="939">B939+F940</f>
        <v>0</v>
      </c>
      <c r="G939">
        <f t="shared" si="939"/>
        <v>0</v>
      </c>
      <c r="I939" s="8"/>
      <c r="J939">
        <f t="shared" si="3"/>
        <v>0</v>
      </c>
    </row>
    <row r="940">
      <c r="E940" s="8"/>
      <c r="F940">
        <f t="shared" ref="F940:G940" si="940">B940+F941</f>
        <v>0</v>
      </c>
      <c r="G940">
        <f t="shared" si="940"/>
        <v>0</v>
      </c>
      <c r="I940" s="8"/>
      <c r="J940">
        <f t="shared" si="3"/>
        <v>0</v>
      </c>
    </row>
    <row r="941">
      <c r="E941" s="8"/>
      <c r="F941">
        <f t="shared" ref="F941:G941" si="941">B941+F942</f>
        <v>0</v>
      </c>
      <c r="G941">
        <f t="shared" si="941"/>
        <v>0</v>
      </c>
      <c r="I941" s="8"/>
      <c r="J941">
        <f t="shared" si="3"/>
        <v>0</v>
      </c>
    </row>
    <row r="942">
      <c r="E942" s="8"/>
      <c r="F942">
        <f t="shared" ref="F942:G942" si="942">B942+F943</f>
        <v>0</v>
      </c>
      <c r="G942">
        <f t="shared" si="942"/>
        <v>0</v>
      </c>
      <c r="I942" s="8"/>
      <c r="J942">
        <f t="shared" si="3"/>
        <v>0</v>
      </c>
    </row>
    <row r="943">
      <c r="E943" s="8"/>
      <c r="F943">
        <f t="shared" ref="F943:G943" si="943">B943+F944</f>
        <v>0</v>
      </c>
      <c r="G943">
        <f t="shared" si="943"/>
        <v>0</v>
      </c>
      <c r="I943" s="8"/>
      <c r="J943">
        <f t="shared" si="3"/>
        <v>0</v>
      </c>
    </row>
    <row r="944">
      <c r="E944" s="8"/>
      <c r="F944">
        <f t="shared" ref="F944:G944" si="944">B944+F945</f>
        <v>0</v>
      </c>
      <c r="G944">
        <f t="shared" si="944"/>
        <v>0</v>
      </c>
      <c r="I944" s="8"/>
      <c r="J944">
        <f t="shared" si="3"/>
        <v>0</v>
      </c>
    </row>
    <row r="945">
      <c r="E945" s="8"/>
      <c r="F945">
        <f t="shared" ref="F945:G945" si="945">B945+F946</f>
        <v>0</v>
      </c>
      <c r="G945">
        <f t="shared" si="945"/>
        <v>0</v>
      </c>
      <c r="I945" s="8"/>
      <c r="J945">
        <f t="shared" si="3"/>
        <v>0</v>
      </c>
    </row>
    <row r="946">
      <c r="E946" s="8"/>
      <c r="F946">
        <f t="shared" ref="F946:G946" si="946">B946+F947</f>
        <v>0</v>
      </c>
      <c r="G946">
        <f t="shared" si="946"/>
        <v>0</v>
      </c>
      <c r="I946" s="8"/>
      <c r="J946">
        <f t="shared" si="3"/>
        <v>0</v>
      </c>
    </row>
    <row r="947">
      <c r="E947" s="8"/>
      <c r="F947">
        <f t="shared" ref="F947:G947" si="947">B947+F948</f>
        <v>0</v>
      </c>
      <c r="G947">
        <f t="shared" si="947"/>
        <v>0</v>
      </c>
      <c r="I947" s="8"/>
      <c r="J947">
        <f t="shared" si="3"/>
        <v>0</v>
      </c>
    </row>
    <row r="948">
      <c r="E948" s="8"/>
      <c r="F948">
        <f t="shared" ref="F948:G948" si="948">B948+F949</f>
        <v>0</v>
      </c>
      <c r="G948">
        <f t="shared" si="948"/>
        <v>0</v>
      </c>
      <c r="I948" s="8"/>
      <c r="J948">
        <f t="shared" si="3"/>
        <v>0</v>
      </c>
    </row>
    <row r="949">
      <c r="E949" s="8"/>
      <c r="F949">
        <f t="shared" ref="F949:G949" si="949">B949+F950</f>
        <v>0</v>
      </c>
      <c r="G949">
        <f t="shared" si="949"/>
        <v>0</v>
      </c>
      <c r="I949" s="8"/>
      <c r="J949">
        <f t="shared" si="3"/>
        <v>0</v>
      </c>
    </row>
    <row r="950">
      <c r="E950" s="8"/>
      <c r="F950">
        <f t="shared" ref="F950:G950" si="950">B950+F951</f>
        <v>0</v>
      </c>
      <c r="G950">
        <f t="shared" si="950"/>
        <v>0</v>
      </c>
      <c r="I950" s="8"/>
      <c r="J950">
        <f t="shared" si="3"/>
        <v>0</v>
      </c>
    </row>
    <row r="951">
      <c r="E951" s="8"/>
      <c r="F951">
        <f t="shared" ref="F951:G951" si="951">B951+F952</f>
        <v>0</v>
      </c>
      <c r="G951">
        <f t="shared" si="951"/>
        <v>0</v>
      </c>
      <c r="I951" s="8"/>
      <c r="J951">
        <f t="shared" si="3"/>
        <v>0</v>
      </c>
    </row>
    <row r="952">
      <c r="E952" s="8"/>
      <c r="F952">
        <f t="shared" ref="F952:G952" si="952">B952+F953</f>
        <v>0</v>
      </c>
      <c r="G952">
        <f t="shared" si="952"/>
        <v>0</v>
      </c>
      <c r="I952" s="8"/>
      <c r="J952">
        <f t="shared" si="3"/>
        <v>0</v>
      </c>
    </row>
    <row r="953">
      <c r="E953" s="8"/>
      <c r="F953">
        <f t="shared" ref="F953:G953" si="953">B953+F954</f>
        <v>0</v>
      </c>
      <c r="G953">
        <f t="shared" si="953"/>
        <v>0</v>
      </c>
      <c r="I953" s="8"/>
      <c r="J953">
        <f t="shared" si="3"/>
        <v>0</v>
      </c>
    </row>
    <row r="954">
      <c r="E954" s="8"/>
      <c r="F954">
        <f t="shared" ref="F954:G954" si="954">B954+F955</f>
        <v>0</v>
      </c>
      <c r="G954">
        <f t="shared" si="954"/>
        <v>0</v>
      </c>
      <c r="I954" s="8"/>
      <c r="J954">
        <f t="shared" si="3"/>
        <v>0</v>
      </c>
    </row>
    <row r="955">
      <c r="E955" s="8"/>
      <c r="F955">
        <f t="shared" ref="F955:G955" si="955">B955+F956</f>
        <v>0</v>
      </c>
      <c r="G955">
        <f t="shared" si="955"/>
        <v>0</v>
      </c>
      <c r="I955" s="8"/>
      <c r="J955">
        <f t="shared" si="3"/>
        <v>0</v>
      </c>
    </row>
    <row r="956">
      <c r="E956" s="8"/>
      <c r="F956">
        <f t="shared" ref="F956:G956" si="956">B956+F957</f>
        <v>0</v>
      </c>
      <c r="G956">
        <f t="shared" si="956"/>
        <v>0</v>
      </c>
      <c r="I956" s="8"/>
      <c r="J956">
        <f t="shared" si="3"/>
        <v>0</v>
      </c>
    </row>
    <row r="957">
      <c r="E957" s="8"/>
      <c r="F957">
        <f t="shared" ref="F957:G957" si="957">B957+F958</f>
        <v>0</v>
      </c>
      <c r="G957">
        <f t="shared" si="957"/>
        <v>0</v>
      </c>
      <c r="I957" s="8"/>
      <c r="J957">
        <f t="shared" si="3"/>
        <v>0</v>
      </c>
    </row>
    <row r="958">
      <c r="E958" s="8"/>
      <c r="F958">
        <f t="shared" ref="F958:G958" si="958">B958+F959</f>
        <v>0</v>
      </c>
      <c r="G958">
        <f t="shared" si="958"/>
        <v>0</v>
      </c>
      <c r="I958" s="8"/>
      <c r="J958">
        <f t="shared" si="3"/>
        <v>0</v>
      </c>
    </row>
    <row r="959">
      <c r="E959" s="8"/>
      <c r="F959">
        <f t="shared" ref="F959:G959" si="959">B959+F960</f>
        <v>0</v>
      </c>
      <c r="G959">
        <f t="shared" si="959"/>
        <v>0</v>
      </c>
      <c r="I959" s="8"/>
      <c r="J959">
        <f t="shared" si="3"/>
        <v>0</v>
      </c>
    </row>
    <row r="960">
      <c r="E960" s="8"/>
      <c r="F960">
        <f t="shared" ref="F960:G960" si="960">B960+F961</f>
        <v>0</v>
      </c>
      <c r="G960">
        <f t="shared" si="960"/>
        <v>0</v>
      </c>
      <c r="I960" s="8"/>
      <c r="J960">
        <f t="shared" si="3"/>
        <v>0</v>
      </c>
    </row>
    <row r="961">
      <c r="E961" s="8"/>
      <c r="F961">
        <f t="shared" ref="F961:G961" si="961">B961+F962</f>
        <v>0</v>
      </c>
      <c r="G961">
        <f t="shared" si="961"/>
        <v>0</v>
      </c>
      <c r="I961" s="8"/>
      <c r="J961">
        <f t="shared" si="3"/>
        <v>0</v>
      </c>
    </row>
    <row r="962">
      <c r="E962" s="8"/>
      <c r="F962">
        <f t="shared" ref="F962:G962" si="962">B962+F963</f>
        <v>0</v>
      </c>
      <c r="G962">
        <f t="shared" si="962"/>
        <v>0</v>
      </c>
      <c r="I962" s="8"/>
      <c r="J962">
        <f t="shared" si="3"/>
        <v>0</v>
      </c>
    </row>
    <row r="963">
      <c r="E963" s="8"/>
      <c r="F963">
        <f t="shared" ref="F963:G963" si="963">B963+F964</f>
        <v>0</v>
      </c>
      <c r="G963">
        <f t="shared" si="963"/>
        <v>0</v>
      </c>
      <c r="I963" s="8"/>
      <c r="J963">
        <f t="shared" si="3"/>
        <v>0</v>
      </c>
    </row>
    <row r="964">
      <c r="E964" s="8"/>
      <c r="F964">
        <f t="shared" ref="F964:G964" si="964">B964+F965</f>
        <v>0</v>
      </c>
      <c r="G964">
        <f t="shared" si="964"/>
        <v>0</v>
      </c>
      <c r="I964" s="8"/>
      <c r="J964">
        <f t="shared" si="3"/>
        <v>0</v>
      </c>
    </row>
    <row r="965">
      <c r="E965" s="8"/>
      <c r="F965">
        <f t="shared" ref="F965:G965" si="965">B965+F966</f>
        <v>0</v>
      </c>
      <c r="G965">
        <f t="shared" si="965"/>
        <v>0</v>
      </c>
      <c r="I965" s="8"/>
      <c r="J965">
        <f t="shared" si="3"/>
        <v>0</v>
      </c>
    </row>
    <row r="966">
      <c r="E966" s="8"/>
      <c r="F966">
        <f t="shared" ref="F966:G966" si="966">B966+F967</f>
        <v>0</v>
      </c>
      <c r="G966">
        <f t="shared" si="966"/>
        <v>0</v>
      </c>
      <c r="I966" s="8"/>
      <c r="J966">
        <f t="shared" si="3"/>
        <v>0</v>
      </c>
    </row>
    <row r="967">
      <c r="E967" s="8"/>
      <c r="F967">
        <f t="shared" ref="F967:G967" si="967">B967+F968</f>
        <v>0</v>
      </c>
      <c r="G967">
        <f t="shared" si="967"/>
        <v>0</v>
      </c>
      <c r="I967" s="8"/>
      <c r="J967">
        <f t="shared" si="3"/>
        <v>0</v>
      </c>
    </row>
    <row r="968">
      <c r="E968" s="8"/>
      <c r="F968">
        <f t="shared" ref="F968:G968" si="968">B968+F969</f>
        <v>0</v>
      </c>
      <c r="G968">
        <f t="shared" si="968"/>
        <v>0</v>
      </c>
      <c r="I968" s="8"/>
      <c r="J968">
        <f t="shared" si="3"/>
        <v>0</v>
      </c>
    </row>
    <row r="969">
      <c r="E969" s="8"/>
      <c r="F969">
        <f t="shared" ref="F969:G969" si="969">B969+F970</f>
        <v>0</v>
      </c>
      <c r="G969">
        <f t="shared" si="969"/>
        <v>0</v>
      </c>
      <c r="I969" s="8"/>
      <c r="J969">
        <f t="shared" si="3"/>
        <v>0</v>
      </c>
    </row>
    <row r="970">
      <c r="E970" s="8"/>
      <c r="F970">
        <f t="shared" ref="F970:G970" si="970">B970+F971</f>
        <v>0</v>
      </c>
      <c r="G970">
        <f t="shared" si="970"/>
        <v>0</v>
      </c>
      <c r="I970" s="8"/>
      <c r="J970">
        <f t="shared" si="3"/>
        <v>0</v>
      </c>
    </row>
    <row r="971">
      <c r="E971" s="8"/>
      <c r="F971">
        <f t="shared" ref="F971:G971" si="971">B971+F972</f>
        <v>0</v>
      </c>
      <c r="G971">
        <f t="shared" si="971"/>
        <v>0</v>
      </c>
      <c r="I971" s="8"/>
      <c r="J971">
        <f t="shared" si="3"/>
        <v>0</v>
      </c>
    </row>
    <row r="972">
      <c r="E972" s="8"/>
      <c r="F972">
        <f t="shared" ref="F972:G972" si="972">B972+F973</f>
        <v>0</v>
      </c>
      <c r="G972">
        <f t="shared" si="972"/>
        <v>0</v>
      </c>
      <c r="I972" s="8"/>
      <c r="J972">
        <f t="shared" si="3"/>
        <v>0</v>
      </c>
    </row>
    <row r="973">
      <c r="E973" s="8"/>
      <c r="F973">
        <f t="shared" ref="F973:G973" si="973">B973+F974</f>
        <v>0</v>
      </c>
      <c r="G973">
        <f t="shared" si="973"/>
        <v>0</v>
      </c>
      <c r="I973" s="8"/>
      <c r="J973">
        <f t="shared" si="3"/>
        <v>0</v>
      </c>
    </row>
    <row r="974">
      <c r="E974" s="8"/>
      <c r="F974">
        <f t="shared" ref="F974:G974" si="974">B974+F975</f>
        <v>0</v>
      </c>
      <c r="G974">
        <f t="shared" si="974"/>
        <v>0</v>
      </c>
      <c r="I974" s="8"/>
      <c r="J974">
        <f t="shared" si="3"/>
        <v>0</v>
      </c>
    </row>
    <row r="975">
      <c r="E975" s="8"/>
      <c r="F975">
        <f t="shared" ref="F975:G975" si="975">B975+F976</f>
        <v>0</v>
      </c>
      <c r="G975">
        <f t="shared" si="975"/>
        <v>0</v>
      </c>
      <c r="I975" s="8"/>
      <c r="J975">
        <f t="shared" si="3"/>
        <v>0</v>
      </c>
    </row>
    <row r="976">
      <c r="E976" s="8"/>
      <c r="F976">
        <f t="shared" ref="F976:G976" si="976">B976+F977</f>
        <v>0</v>
      </c>
      <c r="G976">
        <f t="shared" si="976"/>
        <v>0</v>
      </c>
      <c r="I976" s="8"/>
      <c r="J976">
        <f t="shared" si="3"/>
        <v>0</v>
      </c>
    </row>
    <row r="977">
      <c r="E977" s="8"/>
      <c r="F977">
        <f t="shared" ref="F977:G977" si="977">B977+F978</f>
        <v>0</v>
      </c>
      <c r="G977">
        <f t="shared" si="977"/>
        <v>0</v>
      </c>
      <c r="I977" s="8"/>
      <c r="J977">
        <f t="shared" si="3"/>
        <v>0</v>
      </c>
    </row>
    <row r="978">
      <c r="E978" s="8"/>
      <c r="F978">
        <f t="shared" ref="F978:G978" si="978">B978+F979</f>
        <v>0</v>
      </c>
      <c r="G978">
        <f t="shared" si="978"/>
        <v>0</v>
      </c>
      <c r="I978" s="8"/>
      <c r="J978">
        <f t="shared" si="3"/>
        <v>0</v>
      </c>
    </row>
    <row r="979">
      <c r="E979" s="8"/>
      <c r="F979">
        <f t="shared" ref="F979:G979" si="979">B979+F980</f>
        <v>0</v>
      </c>
      <c r="G979">
        <f t="shared" si="979"/>
        <v>0</v>
      </c>
      <c r="I979" s="8"/>
      <c r="J979">
        <f t="shared" si="3"/>
        <v>0</v>
      </c>
    </row>
    <row r="980">
      <c r="E980" s="8"/>
      <c r="F980">
        <f t="shared" ref="F980:G980" si="980">B980+F981</f>
        <v>0</v>
      </c>
      <c r="G980">
        <f t="shared" si="980"/>
        <v>0</v>
      </c>
      <c r="I980" s="8"/>
      <c r="J980">
        <f t="shared" si="3"/>
        <v>0</v>
      </c>
    </row>
    <row r="981">
      <c r="E981" s="8"/>
      <c r="F981">
        <f t="shared" ref="F981:G981" si="981">B981+F982</f>
        <v>0</v>
      </c>
      <c r="G981">
        <f t="shared" si="981"/>
        <v>0</v>
      </c>
      <c r="I981" s="8"/>
      <c r="J981">
        <f t="shared" si="3"/>
        <v>0</v>
      </c>
    </row>
    <row r="982">
      <c r="E982" s="8"/>
      <c r="F982">
        <f t="shared" ref="F982:G982" si="982">B982+F983</f>
        <v>0</v>
      </c>
      <c r="G982">
        <f t="shared" si="982"/>
        <v>0</v>
      </c>
      <c r="I982" s="8"/>
      <c r="J982">
        <f t="shared" si="3"/>
        <v>0</v>
      </c>
    </row>
    <row r="983">
      <c r="E983" s="8"/>
      <c r="F983">
        <f t="shared" ref="F983:G983" si="983">B983+F984</f>
        <v>0</v>
      </c>
      <c r="G983">
        <f t="shared" si="983"/>
        <v>0</v>
      </c>
      <c r="I983" s="8"/>
      <c r="J983">
        <f t="shared" si="3"/>
        <v>0</v>
      </c>
    </row>
    <row r="984">
      <c r="E984" s="8"/>
      <c r="F984">
        <f t="shared" ref="F984:G984" si="984">B984+F985</f>
        <v>0</v>
      </c>
      <c r="G984">
        <f t="shared" si="984"/>
        <v>0</v>
      </c>
      <c r="I984" s="8"/>
      <c r="J984">
        <f t="shared" si="3"/>
        <v>0</v>
      </c>
    </row>
    <row r="985">
      <c r="E985" s="8"/>
      <c r="F985">
        <f t="shared" ref="F985:G985" si="985">B985+F986</f>
        <v>0</v>
      </c>
      <c r="G985">
        <f t="shared" si="985"/>
        <v>0</v>
      </c>
      <c r="I985" s="8"/>
      <c r="J985">
        <f t="shared" si="3"/>
        <v>0</v>
      </c>
    </row>
    <row r="986">
      <c r="E986" s="8"/>
      <c r="F986">
        <f t="shared" ref="F986:G986" si="986">B986+F987</f>
        <v>0</v>
      </c>
      <c r="G986">
        <f t="shared" si="986"/>
        <v>0</v>
      </c>
      <c r="I986" s="8"/>
      <c r="J986">
        <f t="shared" si="3"/>
        <v>0</v>
      </c>
    </row>
    <row r="987">
      <c r="E987" s="8"/>
      <c r="F987">
        <f t="shared" ref="F987:G987" si="987">B987+F988</f>
        <v>0</v>
      </c>
      <c r="G987">
        <f t="shared" si="987"/>
        <v>0</v>
      </c>
      <c r="I987" s="8"/>
      <c r="J987">
        <f t="shared" si="3"/>
        <v>0</v>
      </c>
    </row>
    <row r="988">
      <c r="E988" s="8"/>
      <c r="F988">
        <f t="shared" ref="F988:G988" si="988">B988+F989</f>
        <v>0</v>
      </c>
      <c r="G988">
        <f t="shared" si="988"/>
        <v>0</v>
      </c>
      <c r="I988" s="8"/>
      <c r="J988">
        <f t="shared" si="3"/>
        <v>0</v>
      </c>
    </row>
    <row r="989">
      <c r="E989" s="8"/>
      <c r="F989">
        <f t="shared" ref="F989:G989" si="989">B989+F990</f>
        <v>0</v>
      </c>
      <c r="G989">
        <f t="shared" si="989"/>
        <v>0</v>
      </c>
      <c r="I989" s="8"/>
      <c r="J989">
        <f t="shared" si="3"/>
        <v>0</v>
      </c>
    </row>
    <row r="990">
      <c r="E990" s="8"/>
      <c r="F990">
        <f t="shared" ref="F990:G990" si="990">B990+F991</f>
        <v>0</v>
      </c>
      <c r="G990">
        <f t="shared" si="990"/>
        <v>0</v>
      </c>
      <c r="I990" s="8"/>
      <c r="J990">
        <f t="shared" si="3"/>
        <v>0</v>
      </c>
    </row>
    <row r="991">
      <c r="E991" s="8"/>
      <c r="F991">
        <f t="shared" ref="F991:G991" si="991">B991+F992</f>
        <v>0</v>
      </c>
      <c r="G991">
        <f t="shared" si="991"/>
        <v>0</v>
      </c>
      <c r="I991" s="8"/>
      <c r="J991">
        <f t="shared" si="3"/>
        <v>0</v>
      </c>
    </row>
    <row r="992">
      <c r="E992" s="8"/>
      <c r="F992">
        <f t="shared" ref="F992:G992" si="992">B992+F993</f>
        <v>0</v>
      </c>
      <c r="G992">
        <f t="shared" si="992"/>
        <v>0</v>
      </c>
      <c r="I992" s="8"/>
      <c r="J992">
        <f t="shared" si="3"/>
        <v>0</v>
      </c>
    </row>
    <row r="993">
      <c r="E993" s="8"/>
      <c r="F993">
        <f t="shared" ref="F993:G993" si="993">B993+F994</f>
        <v>0</v>
      </c>
      <c r="G993">
        <f t="shared" si="993"/>
        <v>0</v>
      </c>
      <c r="I993" s="8"/>
      <c r="J993">
        <f t="shared" si="3"/>
        <v>0</v>
      </c>
    </row>
    <row r="994">
      <c r="E994" s="8"/>
      <c r="F994">
        <f t="shared" ref="F994:G994" si="994">B994+F995</f>
        <v>0</v>
      </c>
      <c r="G994">
        <f t="shared" si="994"/>
        <v>0</v>
      </c>
      <c r="I994" s="8"/>
      <c r="J994">
        <f t="shared" si="3"/>
        <v>0</v>
      </c>
    </row>
    <row r="995">
      <c r="E995" s="8"/>
      <c r="F995">
        <f t="shared" ref="F995:G995" si="995">B995+F996</f>
        <v>0</v>
      </c>
      <c r="G995">
        <f t="shared" si="995"/>
        <v>0</v>
      </c>
      <c r="I995" s="8"/>
      <c r="J995">
        <f t="shared" si="3"/>
        <v>0</v>
      </c>
    </row>
    <row r="996">
      <c r="E996" s="8"/>
      <c r="F996">
        <f t="shared" ref="F996:G996" si="996">B996+F997</f>
        <v>0</v>
      </c>
      <c r="G996">
        <f t="shared" si="996"/>
        <v>0</v>
      </c>
      <c r="I996" s="8"/>
      <c r="J996">
        <f t="shared" si="3"/>
        <v>0</v>
      </c>
    </row>
    <row r="997">
      <c r="E997" s="8"/>
      <c r="F997">
        <f t="shared" ref="F997:G997" si="997">B997+F998</f>
        <v>0</v>
      </c>
      <c r="G997">
        <f t="shared" si="997"/>
        <v>0</v>
      </c>
      <c r="I997" s="8"/>
      <c r="J997">
        <f t="shared" si="3"/>
        <v>0</v>
      </c>
    </row>
    <row r="998">
      <c r="E998" s="8"/>
      <c r="F998">
        <f t="shared" ref="F998:G998" si="998">B998+F999</f>
        <v>0</v>
      </c>
      <c r="G998">
        <f t="shared" si="998"/>
        <v>0</v>
      </c>
      <c r="I998" s="8"/>
      <c r="J998">
        <f t="shared" si="3"/>
        <v>0</v>
      </c>
    </row>
    <row r="999">
      <c r="E999" s="8"/>
      <c r="F999">
        <f t="shared" ref="F999:G999" si="999">B999+F1000</f>
        <v>0</v>
      </c>
      <c r="G999">
        <f t="shared" si="999"/>
        <v>0</v>
      </c>
      <c r="I999" s="8"/>
      <c r="J999">
        <f t="shared" si="3"/>
        <v>0</v>
      </c>
    </row>
    <row r="1000">
      <c r="E1000" s="8"/>
      <c r="F1000">
        <f t="shared" ref="F1000:G1000" si="1000">B1000+F1001</f>
        <v>0</v>
      </c>
      <c r="G1000">
        <f t="shared" si="1000"/>
        <v>0</v>
      </c>
      <c r="I1000" s="8"/>
      <c r="J1000">
        <f t="shared" si="3"/>
        <v>0</v>
      </c>
    </row>
  </sheetData>
  <drawing r:id="rId1"/>
</worksheet>
</file>